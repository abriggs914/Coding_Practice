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3639C2E-FD82-4DE7-AD98-DBB99A56CBED}" xr6:coauthVersionLast="47" xr6:coauthVersionMax="47" xr10:uidLastSave="{00000000-0000-0000-0000-000000000000}"/>
  <bookViews>
    <workbookView xWindow="-120" yWindow="-120" windowWidth="29040" windowHeight="15840" xr2:uid="{BA8CC626-EC21-40D4-90D0-12FE6302FD13}"/>
  </bookViews>
  <sheets>
    <sheet name="JerseyData" sheetId="1" r:id="rId1"/>
    <sheet name="JerseyImageData" sheetId="8" r:id="rId2"/>
    <sheet name="NikeJerseys" sheetId="7" r:id="rId3"/>
    <sheet name="Wishlist" sheetId="6" r:id="rId4"/>
    <sheet name="Reporting" sheetId="5" r:id="rId5"/>
    <sheet name="NHLTeams" sheetId="2" r:id="rId6"/>
    <sheet name="Divisions" sheetId="3" r:id="rId7"/>
    <sheet name="Conferences" sheetId="4" r:id="rId8"/>
  </sheets>
  <functionGroups builtInGroupCount="19"/>
  <definedNames>
    <definedName name="_xlnm._FilterDatabase" localSheetId="0" hidden="1">JerseyData!$G$1:$G$103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76" i="1" l="1"/>
  <c r="AR77" i="1"/>
  <c r="AR78" i="1"/>
  <c r="AR79" i="1"/>
  <c r="AR80" i="1"/>
  <c r="AR81" i="1"/>
  <c r="AR82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2" i="1"/>
  <c r="H72" i="1"/>
  <c r="I73" i="1"/>
  <c r="H73" i="1"/>
  <c r="K9" i="5"/>
  <c r="P14" i="5"/>
  <c r="Q14" i="5"/>
  <c r="R14" i="5"/>
  <c r="P15" i="5"/>
  <c r="Q15" i="5"/>
  <c r="R15" i="5"/>
  <c r="H15" i="5"/>
  <c r="I15" i="5"/>
  <c r="J15" i="5"/>
  <c r="K15" i="5"/>
  <c r="L15" i="5"/>
  <c r="M15" i="5"/>
  <c r="N15" i="5"/>
  <c r="O15" i="5"/>
  <c r="G15" i="5"/>
  <c r="T6" i="5"/>
  <c r="T7" i="5"/>
  <c r="T8" i="5"/>
  <c r="T9" i="5"/>
  <c r="T10" i="5"/>
  <c r="T11" i="5"/>
  <c r="T12" i="5"/>
  <c r="T13" i="5"/>
  <c r="T5" i="5"/>
  <c r="S10" i="5"/>
  <c r="S11" i="5"/>
  <c r="S12" i="5"/>
  <c r="S13" i="5"/>
  <c r="M5" i="5"/>
  <c r="N5" i="5"/>
  <c r="O5" i="5"/>
  <c r="M6" i="5"/>
  <c r="N6" i="5"/>
  <c r="O6" i="5"/>
  <c r="M7" i="5"/>
  <c r="N7" i="5"/>
  <c r="O7" i="5"/>
  <c r="M8" i="5"/>
  <c r="N8" i="5"/>
  <c r="O8" i="5"/>
  <c r="M9" i="5"/>
  <c r="N9" i="5"/>
  <c r="O9" i="5"/>
  <c r="L5" i="5"/>
  <c r="L6" i="5"/>
  <c r="L7" i="5"/>
  <c r="L8" i="5"/>
  <c r="L9" i="5"/>
  <c r="G9" i="5"/>
  <c r="H9" i="5"/>
  <c r="I9" i="5"/>
  <c r="J9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G6" i="5"/>
  <c r="G7" i="5"/>
  <c r="G8" i="5"/>
  <c r="G5" i="5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I71" i="1"/>
  <c r="H71" i="1"/>
  <c r="I70" i="1"/>
  <c r="H70" i="1"/>
  <c r="I69" i="1"/>
  <c r="H69" i="1"/>
  <c r="I68" i="1"/>
  <c r="H68" i="1"/>
  <c r="I67" i="1"/>
  <c r="H67" i="1"/>
  <c r="I66" i="1"/>
  <c r="H66" i="1"/>
  <c r="D3" i="7"/>
  <c r="AS2" i="7"/>
  <c r="AR2" i="7"/>
  <c r="AG2" i="7"/>
  <c r="E2" i="7"/>
  <c r="D2" i="7"/>
  <c r="I65" i="1"/>
  <c r="H65" i="1"/>
  <c r="I64" i="1"/>
  <c r="H64" i="1"/>
  <c r="AC57" i="1"/>
  <c r="AC56" i="1"/>
  <c r="AC55" i="1"/>
  <c r="AC54" i="1"/>
  <c r="AC53" i="1"/>
  <c r="AC52" i="1"/>
  <c r="AC51" i="1"/>
  <c r="AB53" i="1"/>
  <c r="AF53" i="1" s="1"/>
  <c r="AG53" i="1" s="1"/>
  <c r="AB57" i="1"/>
  <c r="AB56" i="1"/>
  <c r="AB55" i="1"/>
  <c r="AB54" i="1"/>
  <c r="AB52" i="1"/>
  <c r="AB51" i="1"/>
  <c r="AF51" i="1" s="1"/>
  <c r="AG51" i="1" s="1"/>
  <c r="AF57" i="1"/>
  <c r="AG57" i="1" s="1"/>
  <c r="AF63" i="1"/>
  <c r="AG63" i="1" s="1"/>
  <c r="AF49" i="1"/>
  <c r="AF50" i="1"/>
  <c r="AF52" i="1"/>
  <c r="AG52" i="1" s="1"/>
  <c r="AF58" i="1"/>
  <c r="AF59" i="1"/>
  <c r="AF60" i="1"/>
  <c r="AG60" i="1" s="1"/>
  <c r="AF61" i="1"/>
  <c r="AF62" i="1"/>
  <c r="AG49" i="1"/>
  <c r="AG50" i="1"/>
  <c r="AG58" i="1"/>
  <c r="AG59" i="1"/>
  <c r="AG61" i="1"/>
  <c r="AG62" i="1"/>
  <c r="AG64" i="1"/>
  <c r="AG65" i="1"/>
  <c r="AG66" i="1"/>
  <c r="AG67" i="1"/>
  <c r="AG68" i="1"/>
  <c r="AG69" i="1"/>
  <c r="AR60" i="1"/>
  <c r="I63" i="1"/>
  <c r="H63" i="1"/>
  <c r="I62" i="1"/>
  <c r="H62" i="1"/>
  <c r="I61" i="1"/>
  <c r="H61" i="1"/>
  <c r="I60" i="1"/>
  <c r="H60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R2" i="1"/>
  <c r="AR6" i="1"/>
  <c r="AR5" i="1"/>
  <c r="AR4" i="1"/>
  <c r="AR3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D27" i="5"/>
  <c r="D26" i="5"/>
  <c r="I59" i="1"/>
  <c r="H59" i="1"/>
  <c r="I58" i="1"/>
  <c r="H58" i="1"/>
  <c r="C10" i="5" l="1"/>
  <c r="S5" i="5"/>
  <c r="N14" i="5"/>
  <c r="S8" i="5"/>
  <c r="J14" i="5"/>
  <c r="H14" i="5"/>
  <c r="M14" i="5"/>
  <c r="S7" i="5"/>
  <c r="I14" i="5"/>
  <c r="S6" i="5"/>
  <c r="L14" i="5"/>
  <c r="O14" i="5"/>
  <c r="G14" i="5"/>
  <c r="K14" i="5"/>
  <c r="S9" i="5"/>
  <c r="AF56" i="1"/>
  <c r="AG56" i="1" s="1"/>
  <c r="AF55" i="1"/>
  <c r="AG55" i="1" s="1"/>
  <c r="AF54" i="1"/>
  <c r="AG54" i="1" s="1"/>
  <c r="I57" i="1"/>
  <c r="H57" i="1"/>
  <c r="I56" i="1"/>
  <c r="H56" i="1"/>
  <c r="I55" i="1"/>
  <c r="H55" i="1"/>
  <c r="I51" i="1"/>
  <c r="H51" i="1"/>
  <c r="I54" i="1"/>
  <c r="H54" i="1"/>
  <c r="I53" i="1"/>
  <c r="H53" i="1"/>
  <c r="I52" i="1"/>
  <c r="H52" i="1"/>
  <c r="I50" i="1"/>
  <c r="H50" i="1"/>
  <c r="I49" i="1"/>
  <c r="H49" i="1"/>
  <c r="AC48" i="1"/>
  <c r="AC47" i="1"/>
  <c r="AF47" i="1" s="1"/>
  <c r="AG47" i="1" s="1"/>
  <c r="AC46" i="1"/>
  <c r="AF46" i="1" s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AA36" i="1"/>
  <c r="AF36" i="1" s="1"/>
  <c r="AG36" i="1" s="1"/>
  <c r="AA37" i="1"/>
  <c r="AA35" i="1"/>
  <c r="AF35" i="1" s="1"/>
  <c r="AG35" i="1" s="1"/>
  <c r="I36" i="1"/>
  <c r="H36" i="1"/>
  <c r="I37" i="1"/>
  <c r="H37" i="1"/>
  <c r="I35" i="1"/>
  <c r="H35" i="1"/>
  <c r="I34" i="1"/>
  <c r="H34" i="1"/>
  <c r="I33" i="1"/>
  <c r="H33" i="1"/>
  <c r="AB28" i="1"/>
  <c r="AF28" i="1" s="1"/>
  <c r="AG28" i="1" s="1"/>
  <c r="AB27" i="1"/>
  <c r="AF27" i="1" s="1"/>
  <c r="AG27" i="1" s="1"/>
  <c r="AB26" i="1"/>
  <c r="AF26" i="1" s="1"/>
  <c r="AG26" i="1" s="1"/>
  <c r="E25" i="5"/>
  <c r="D25" i="5"/>
  <c r="D24" i="5"/>
  <c r="D23" i="5"/>
  <c r="D22" i="5"/>
  <c r="D21" i="5"/>
  <c r="D20" i="5"/>
  <c r="AG34" i="1"/>
  <c r="AF34" i="1"/>
  <c r="AF33" i="1"/>
  <c r="AG33" i="1" s="1"/>
  <c r="AF32" i="1"/>
  <c r="AG32" i="1" s="1"/>
  <c r="AF31" i="1"/>
  <c r="AG31" i="1" s="1"/>
  <c r="AF30" i="1"/>
  <c r="AG30" i="1" s="1"/>
  <c r="AF29" i="1"/>
  <c r="AG29" i="1" s="1"/>
  <c r="I31" i="1"/>
  <c r="I32" i="1"/>
  <c r="I30" i="1"/>
  <c r="H32" i="1"/>
  <c r="H31" i="1"/>
  <c r="H30" i="1"/>
  <c r="I28" i="1"/>
  <c r="H28" i="1"/>
  <c r="I27" i="1"/>
  <c r="H27" i="1"/>
  <c r="I29" i="1"/>
  <c r="H29" i="1"/>
  <c r="I26" i="1"/>
  <c r="H26" i="1"/>
  <c r="I23" i="1"/>
  <c r="I24" i="1"/>
  <c r="I25" i="1"/>
  <c r="H25" i="1"/>
  <c r="H24" i="1"/>
  <c r="H23" i="1"/>
  <c r="I22" i="1"/>
  <c r="H22" i="1"/>
  <c r="C6" i="5"/>
  <c r="AF25" i="1"/>
  <c r="AG25" i="1" s="1"/>
  <c r="AF24" i="1"/>
  <c r="AG24" i="1" s="1"/>
  <c r="AF23" i="1"/>
  <c r="AG23" i="1" s="1"/>
  <c r="AF22" i="1"/>
  <c r="AG22" i="1" s="1"/>
  <c r="AC21" i="1"/>
  <c r="AF21" i="1" s="1"/>
  <c r="AG21" i="1" s="1"/>
  <c r="AC20" i="1"/>
  <c r="AF20" i="1" s="1"/>
  <c r="AG20" i="1" s="1"/>
  <c r="AC19" i="1"/>
  <c r="AF19" i="1" s="1"/>
  <c r="AG19" i="1" s="1"/>
  <c r="AC18" i="1"/>
  <c r="AF18" i="1" s="1"/>
  <c r="AG18" i="1" s="1"/>
  <c r="AC17" i="1"/>
  <c r="AF17" i="1" s="1"/>
  <c r="AG17" i="1" s="1"/>
  <c r="AC16" i="1"/>
  <c r="AF16" i="1" s="1"/>
  <c r="AG16" i="1" s="1"/>
  <c r="AC15" i="1"/>
  <c r="AF15" i="1" s="1"/>
  <c r="AG15" i="1" s="1"/>
  <c r="AF14" i="1"/>
  <c r="AG14" i="1" s="1"/>
  <c r="AF13" i="1"/>
  <c r="AG13" i="1" s="1"/>
  <c r="AF12" i="1"/>
  <c r="AG12" i="1" s="1"/>
  <c r="AF11" i="1"/>
  <c r="AG11" i="1" s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4" i="1"/>
  <c r="H3" i="1"/>
  <c r="H2" i="1"/>
  <c r="E10" i="1"/>
  <c r="E9" i="1"/>
  <c r="E8" i="1"/>
  <c r="E7" i="1"/>
  <c r="E6" i="1"/>
  <c r="E5" i="1"/>
  <c r="E4" i="1"/>
  <c r="E3" i="1"/>
  <c r="E2" i="1"/>
  <c r="F10" i="1"/>
  <c r="F9" i="1"/>
  <c r="F8" i="1"/>
  <c r="F7" i="1"/>
  <c r="F6" i="1"/>
  <c r="F5" i="1"/>
  <c r="F4" i="1"/>
  <c r="F3" i="1"/>
  <c r="F2" i="1"/>
  <c r="AC10" i="1"/>
  <c r="AF10" i="1" s="1"/>
  <c r="AG10" i="1" s="1"/>
  <c r="AC9" i="1"/>
  <c r="AF9" i="1" s="1"/>
  <c r="AG9" i="1" s="1"/>
  <c r="AC8" i="1"/>
  <c r="AF8" i="1" s="1"/>
  <c r="AG8" i="1" s="1"/>
  <c r="AD7" i="1"/>
  <c r="AD6" i="1"/>
  <c r="AD5" i="1"/>
  <c r="AC3" i="1"/>
  <c r="AF3" i="1" s="1"/>
  <c r="AG3" i="1" s="1"/>
  <c r="AC7" i="1"/>
  <c r="AC6" i="1"/>
  <c r="AC5" i="1"/>
  <c r="AF4" i="1"/>
  <c r="AG4" i="1" s="1"/>
  <c r="AG2" i="1"/>
  <c r="C5" i="5"/>
  <c r="S14" i="5" l="1"/>
  <c r="T15" i="5" s="1"/>
  <c r="AF48" i="1"/>
  <c r="AG48" i="1" s="1"/>
  <c r="AF37" i="1"/>
  <c r="AG37" i="1" s="1"/>
  <c r="C15" i="5"/>
  <c r="C11" i="5"/>
  <c r="C14" i="5"/>
  <c r="C17" i="5"/>
  <c r="C16" i="5"/>
  <c r="AF6" i="1"/>
  <c r="AG6" i="1" s="1"/>
  <c r="AF7" i="1"/>
  <c r="AG7" i="1" s="1"/>
  <c r="AF5" i="1"/>
  <c r="AG5" i="1" s="1"/>
  <c r="C7" i="5" l="1"/>
</calcChain>
</file>

<file path=xl/sharedStrings.xml><?xml version="1.0" encoding="utf-8"?>
<sst xmlns="http://schemas.openxmlformats.org/spreadsheetml/2006/main" count="1843" uniqueCount="760">
  <si>
    <t>Florida Panthers</t>
  </si>
  <si>
    <t>Matthew</t>
  </si>
  <si>
    <t>Tkachuk</t>
  </si>
  <si>
    <t>Red</t>
  </si>
  <si>
    <t>Home</t>
  </si>
  <si>
    <t>Calgary Flames</t>
  </si>
  <si>
    <t>Edmonton Oilers</t>
  </si>
  <si>
    <t>Jonathan</t>
  </si>
  <si>
    <t>Huberdeau</t>
  </si>
  <si>
    <t>Connor</t>
  </si>
  <si>
    <t>Blue</t>
  </si>
  <si>
    <t>OrderDate</t>
  </si>
  <si>
    <t>ReceiveDate</t>
  </si>
  <si>
    <t>Team</t>
  </si>
  <si>
    <t>PlayerFirst</t>
  </si>
  <si>
    <t>PlayerLast</t>
  </si>
  <si>
    <t>Colours</t>
  </si>
  <si>
    <t>Price</t>
  </si>
  <si>
    <t>MainColour</t>
  </si>
  <si>
    <t>SecondColour</t>
  </si>
  <si>
    <t>White</t>
  </si>
  <si>
    <t>Orange</t>
  </si>
  <si>
    <t>Yellow</t>
  </si>
  <si>
    <t>Number</t>
  </si>
  <si>
    <t>Washington Capitals</t>
  </si>
  <si>
    <t>Montreal Canadiens</t>
  </si>
  <si>
    <t>Colorado Avalanche</t>
  </si>
  <si>
    <t>Alexander</t>
  </si>
  <si>
    <t>Carey</t>
  </si>
  <si>
    <t>Nathan</t>
  </si>
  <si>
    <t>MacKinnon</t>
  </si>
  <si>
    <t>Ovechkin</t>
  </si>
  <si>
    <t>Burgandy</t>
  </si>
  <si>
    <t>Conference</t>
  </si>
  <si>
    <t>Division</t>
  </si>
  <si>
    <t>Atlantic</t>
  </si>
  <si>
    <t>Pacific</t>
  </si>
  <si>
    <t>Metropolitan</t>
  </si>
  <si>
    <t>Central</t>
  </si>
  <si>
    <t>StickerPrice</t>
  </si>
  <si>
    <t>Duty</t>
  </si>
  <si>
    <t>Shipping</t>
  </si>
  <si>
    <t>Discount</t>
  </si>
  <si>
    <t>Tax</t>
  </si>
  <si>
    <t>PriceC</t>
  </si>
  <si>
    <t>Size</t>
  </si>
  <si>
    <t>USSale</t>
  </si>
  <si>
    <t>IsUSPrice</t>
  </si>
  <si>
    <t>ExchangeRate</t>
  </si>
  <si>
    <t>DiscountReason</t>
  </si>
  <si>
    <t>30% Off</t>
  </si>
  <si>
    <t>25% Off</t>
  </si>
  <si>
    <t>Position</t>
  </si>
  <si>
    <t>Forward</t>
  </si>
  <si>
    <t>DOB</t>
  </si>
  <si>
    <t>RetireDate</t>
  </si>
  <si>
    <t>FirstSeason</t>
  </si>
  <si>
    <t>LastSeason</t>
  </si>
  <si>
    <t>2005-2006</t>
  </si>
  <si>
    <t>2015-2016</t>
  </si>
  <si>
    <t>2013-2014</t>
  </si>
  <si>
    <t>2007-2008</t>
  </si>
  <si>
    <t>2021-2022</t>
  </si>
  <si>
    <t>2012-2013</t>
  </si>
  <si>
    <t>2016-2017</t>
  </si>
  <si>
    <t>Winnipeg Jets</t>
  </si>
  <si>
    <t>Pittsburgh Penguins</t>
  </si>
  <si>
    <t>Toronto Maple Leafs</t>
  </si>
  <si>
    <t>Blake</t>
  </si>
  <si>
    <t>Wheeler</t>
  </si>
  <si>
    <t>Sidney</t>
  </si>
  <si>
    <t>Crosby</t>
  </si>
  <si>
    <t>Matthews</t>
  </si>
  <si>
    <t>Black</t>
  </si>
  <si>
    <t>Nationality</t>
  </si>
  <si>
    <t>USA</t>
  </si>
  <si>
    <t>WaitDays</t>
  </si>
  <si>
    <t>OwnedDays</t>
  </si>
  <si>
    <t>ID</t>
  </si>
  <si>
    <t>FullTeamName</t>
  </si>
  <si>
    <t>ShortTeamName</t>
  </si>
  <si>
    <t>ImagePath</t>
  </si>
  <si>
    <t>Colour_1</t>
  </si>
  <si>
    <t>Colour_2</t>
  </si>
  <si>
    <t>Colour_3</t>
  </si>
  <si>
    <t>Colour_4</t>
  </si>
  <si>
    <t>Colour_5</t>
  </si>
  <si>
    <t>Colour_6</t>
  </si>
  <si>
    <t>Anaheim Ducks</t>
  </si>
  <si>
    <t>ANA</t>
  </si>
  <si>
    <t>Images\logo_anaheim_ducks.png</t>
  </si>
  <si>
    <t>#FE7F00</t>
  </si>
  <si>
    <t>#B5985A</t>
  </si>
  <si>
    <t>#111111</t>
  </si>
  <si>
    <t>#FFFFFF</t>
  </si>
  <si>
    <t/>
  </si>
  <si>
    <t>Arizona Coyotes</t>
  </si>
  <si>
    <t>ARI</t>
  </si>
  <si>
    <t>Images\logo_arizona_coyotes.png</t>
  </si>
  <si>
    <t>#8C2633</t>
  </si>
  <si>
    <t>#C09867</t>
  </si>
  <si>
    <t>Boston Bruins</t>
  </si>
  <si>
    <t>BOS</t>
  </si>
  <si>
    <t>Images\logo_boston_bruins.png</t>
  </si>
  <si>
    <t>#FFB81C</t>
  </si>
  <si>
    <t>#000000</t>
  </si>
  <si>
    <t>Buffalo Sabres</t>
  </si>
  <si>
    <t>BUF</t>
  </si>
  <si>
    <t>Images\logo_buffalo_sabres.png</t>
  </si>
  <si>
    <t>#041E42</t>
  </si>
  <si>
    <t>#FCB514</t>
  </si>
  <si>
    <t>#ADAFAA</t>
  </si>
  <si>
    <t>Carolina Hurricanes</t>
  </si>
  <si>
    <t>CAR</t>
  </si>
  <si>
    <t>Images\logo_carolina_hurricanes.png</t>
  </si>
  <si>
    <t>#CC0000</t>
  </si>
  <si>
    <t>#A2AAAD</t>
  </si>
  <si>
    <t>Columbus Blue Jackets</t>
  </si>
  <si>
    <t>CBJ</t>
  </si>
  <si>
    <t>Images\logo_colombus_blue_jackets.png</t>
  </si>
  <si>
    <t>#00285C</t>
  </si>
  <si>
    <t>#CE1126</t>
  </si>
  <si>
    <t>#A4A9AD</t>
  </si>
  <si>
    <t>CGY</t>
  </si>
  <si>
    <t>Images\logo_calgary_flames.png</t>
  </si>
  <si>
    <t>#C8102E</t>
  </si>
  <si>
    <t>#FFC758</t>
  </si>
  <si>
    <t>#B2B7BB</t>
  </si>
  <si>
    <t>Chicago Blackhawks</t>
  </si>
  <si>
    <t>CHI</t>
  </si>
  <si>
    <t>Images\logo_chicago_blackhawks.png</t>
  </si>
  <si>
    <t>#CF0A2C</t>
  </si>
  <si>
    <t>COL</t>
  </si>
  <si>
    <t>Images\logo_colorado_avalanche.png</t>
  </si>
  <si>
    <t>#6F263D</t>
  </si>
  <si>
    <t>#236192</t>
  </si>
  <si>
    <t>Dallas Stars</t>
  </si>
  <si>
    <t>DAL</t>
  </si>
  <si>
    <t>Images\logo_dallas_stars.png</t>
  </si>
  <si>
    <t>#006847</t>
  </si>
  <si>
    <t>#C0C0C0</t>
  </si>
  <si>
    <t>Detroit Red Wings</t>
  </si>
  <si>
    <t>DET</t>
  </si>
  <si>
    <t>Images\logo_detroit_red_wings.png</t>
  </si>
  <si>
    <t>EDM</t>
  </si>
  <si>
    <t>Images\logo_edmonton_oilers.png</t>
  </si>
  <si>
    <t>#FF4C00</t>
  </si>
  <si>
    <t>FLA</t>
  </si>
  <si>
    <t>Images\logo_florida_panthers.png</t>
  </si>
  <si>
    <t>#002E5F</t>
  </si>
  <si>
    <t>#B9975B</t>
  </si>
  <si>
    <t>Los Angeles Kings</t>
  </si>
  <si>
    <t>LAK</t>
  </si>
  <si>
    <t>Images\logo_los_angeles_kings.png</t>
  </si>
  <si>
    <t>#003E7E</t>
  </si>
  <si>
    <t>#AFB7BA</t>
  </si>
  <si>
    <t>Minnesota Wild</t>
  </si>
  <si>
    <t>MIN</t>
  </si>
  <si>
    <t>Images\logo_minnesota_wild.png</t>
  </si>
  <si>
    <t>#026F5F</t>
  </si>
  <si>
    <t>#B8204F</t>
  </si>
  <si>
    <t>MTL</t>
  </si>
  <si>
    <t>Images\logo_montreal_canadiens.png</t>
  </si>
  <si>
    <t>#AF1E2D</t>
  </si>
  <si>
    <t>#192168</t>
  </si>
  <si>
    <t>New Jersey Devils</t>
  </si>
  <si>
    <t>NJD</t>
  </si>
  <si>
    <t>Images\logo_new_jersey_devils.png</t>
  </si>
  <si>
    <t>Nashville Predators</t>
  </si>
  <si>
    <t>NSH</t>
  </si>
  <si>
    <t>Images\logo_nashville_predators.png</t>
  </si>
  <si>
    <t>New York Islanders</t>
  </si>
  <si>
    <t>NYI</t>
  </si>
  <si>
    <t>Images\logo_new_york_islanders.png</t>
  </si>
  <si>
    <t>#00539B</t>
  </si>
  <si>
    <t>#F57D31</t>
  </si>
  <si>
    <t>#8D9093</t>
  </si>
  <si>
    <t>New York Rangers</t>
  </si>
  <si>
    <t>NYR</t>
  </si>
  <si>
    <t>Images\logo_new_york_rangers.png</t>
  </si>
  <si>
    <t>#0038A8</t>
  </si>
  <si>
    <t>Ottawa Senators</t>
  </si>
  <si>
    <t>OTT</t>
  </si>
  <si>
    <t>Images\logo_ottawa_senators.png</t>
  </si>
  <si>
    <t>#C52032</t>
  </si>
  <si>
    <t>#FFCD00</t>
  </si>
  <si>
    <t>Philadelphia Flyers</t>
  </si>
  <si>
    <t>PHI</t>
  </si>
  <si>
    <t>Images\logo_philadelphia_flyers.png</t>
  </si>
  <si>
    <t>#F74902</t>
  </si>
  <si>
    <t>PIT</t>
  </si>
  <si>
    <t>Images\logo_pittsburgh_penguins.png</t>
  </si>
  <si>
    <t>Seattle Kraken</t>
  </si>
  <si>
    <t>SEA</t>
  </si>
  <si>
    <t>Images\logo_seattle_kraken.png</t>
  </si>
  <si>
    <t>#001628</t>
  </si>
  <si>
    <t>#32CCD6</t>
  </si>
  <si>
    <t>#75D6FF</t>
  </si>
  <si>
    <t>#FF2D55</t>
  </si>
  <si>
    <t>#8E9090</t>
  </si>
  <si>
    <t>San Jose Sharks</t>
  </si>
  <si>
    <t>SJS</t>
  </si>
  <si>
    <t>Images\logo_san_jose_sharks.png</t>
  </si>
  <si>
    <t>#006D75</t>
  </si>
  <si>
    <t>#EA7200</t>
  </si>
  <si>
    <t>St. Louis Blues</t>
  </si>
  <si>
    <t>STL</t>
  </si>
  <si>
    <t>Images\logo_st_louis_blues.png</t>
  </si>
  <si>
    <t>#002F87</t>
  </si>
  <si>
    <t>Tampa Bay Lightning</t>
  </si>
  <si>
    <t>TBL</t>
  </si>
  <si>
    <t>Images\logo_tampa_bay_lightning.png</t>
  </si>
  <si>
    <t>#002868</t>
  </si>
  <si>
    <t>TOR</t>
  </si>
  <si>
    <t>Images\logo_toronto_maple_leafs.png</t>
  </si>
  <si>
    <t>#00205B</t>
  </si>
  <si>
    <t>Vancouver Canucks</t>
  </si>
  <si>
    <t>VAN</t>
  </si>
  <si>
    <t>Images\logo_vancouver_canucks.png</t>
  </si>
  <si>
    <t>#001F5B</t>
  </si>
  <si>
    <t>#00843D</t>
  </si>
  <si>
    <t>#9E9E9E</t>
  </si>
  <si>
    <t>Vegas Golden Knights</t>
  </si>
  <si>
    <t>VGK</t>
  </si>
  <si>
    <t>Images\logo_vegas_golden_knights.png</t>
  </si>
  <si>
    <t>#B4975A</t>
  </si>
  <si>
    <t>#FFC72C</t>
  </si>
  <si>
    <t>WPG</t>
  </si>
  <si>
    <t>Images\logo_winnipeg_jets.png</t>
  </si>
  <si>
    <t>#004C97</t>
  </si>
  <si>
    <t>#92C1E9</t>
  </si>
  <si>
    <t>WSH</t>
  </si>
  <si>
    <t>Images\logo_washington_capitals.png</t>
  </si>
  <si>
    <t>DivisionName</t>
  </si>
  <si>
    <t>ImageURL</t>
  </si>
  <si>
    <t>Colour1</t>
  </si>
  <si>
    <t>Colour2</t>
  </si>
  <si>
    <t>Colour3</t>
  </si>
  <si>
    <t>Colour4</t>
  </si>
  <si>
    <t>Images\logo_atlantic_division.png</t>
  </si>
  <si>
    <t>#D12030</t>
  </si>
  <si>
    <t>#231F20</t>
  </si>
  <si>
    <t>#79858B</t>
  </si>
  <si>
    <t>Images\logo_metropolitan_division.png</t>
  </si>
  <si>
    <t>#FDB825</t>
  </si>
  <si>
    <t>Images\logo_central_division.png</t>
  </si>
  <si>
    <t>#0071B9</t>
  </si>
  <si>
    <t>Images\logo_pacific_division.png</t>
  </si>
  <si>
    <t>#00A668</t>
  </si>
  <si>
    <t>ConferenceName</t>
  </si>
  <si>
    <t>Eastern</t>
  </si>
  <si>
    <t>\Images\logo_eastern_conference.png</t>
  </si>
  <si>
    <t>#B01C2C</t>
  </si>
  <si>
    <t>#FEFEFE</t>
  </si>
  <si>
    <t>#B8A9A6</t>
  </si>
  <si>
    <t>#060201</t>
  </si>
  <si>
    <t>Western</t>
  </si>
  <si>
    <t>\Images\logo_western_conference.png</t>
  </si>
  <si>
    <t>#959CA1</t>
  </si>
  <si>
    <t>Goalie</t>
  </si>
  <si>
    <t>2008-2009</t>
  </si>
  <si>
    <t>Kiprusoff</t>
  </si>
  <si>
    <t>Alternate</t>
  </si>
  <si>
    <t>Miikka</t>
  </si>
  <si>
    <t>2000-2001</t>
  </si>
  <si>
    <t>Sean</t>
  </si>
  <si>
    <t>Monahan</t>
  </si>
  <si>
    <t>Bo</t>
  </si>
  <si>
    <t>Horvat</t>
  </si>
  <si>
    <t>2014-2015</t>
  </si>
  <si>
    <t>Green</t>
  </si>
  <si>
    <t>Distinct Teams:</t>
  </si>
  <si>
    <t>Number Jerseys:</t>
  </si>
  <si>
    <t>Defence</t>
  </si>
  <si>
    <t>Anze</t>
  </si>
  <si>
    <t>Kopitar</t>
  </si>
  <si>
    <t>Quick</t>
  </si>
  <si>
    <t>Ryan</t>
  </si>
  <si>
    <t>Jack</t>
  </si>
  <si>
    <t>Eichel</t>
  </si>
  <si>
    <t>Patrice</t>
  </si>
  <si>
    <t>Bergeron</t>
  </si>
  <si>
    <t>Corey</t>
  </si>
  <si>
    <t>Perry</t>
  </si>
  <si>
    <t>Toews</t>
  </si>
  <si>
    <t>Away</t>
  </si>
  <si>
    <t>Gold</t>
  </si>
  <si>
    <t>Navy</t>
  </si>
  <si>
    <t>2X</t>
  </si>
  <si>
    <t>McDonagh</t>
  </si>
  <si>
    <t>2010-2011</t>
  </si>
  <si>
    <t>2006-2007</t>
  </si>
  <si>
    <t>SLOVENIA</t>
  </si>
  <si>
    <t>CANADA</t>
  </si>
  <si>
    <t>2003-2004</t>
  </si>
  <si>
    <t>2022-2023</t>
  </si>
  <si>
    <t>USStickerPrice</t>
  </si>
  <si>
    <t>RUSSIA</t>
  </si>
  <si>
    <t>FINLAND</t>
  </si>
  <si>
    <t>ThirdColour</t>
  </si>
  <si>
    <t>BrandName</t>
  </si>
  <si>
    <t>JerseyMake</t>
  </si>
  <si>
    <t>Adidas</t>
  </si>
  <si>
    <t>PrimeGreen</t>
  </si>
  <si>
    <t>Total Calculated Price</t>
  </si>
  <si>
    <t>Conferences</t>
  </si>
  <si>
    <t>Divisions</t>
  </si>
  <si>
    <t>Filip</t>
  </si>
  <si>
    <t>Forsberg</t>
  </si>
  <si>
    <t>SWEDEN</t>
  </si>
  <si>
    <t>Climate</t>
  </si>
  <si>
    <t>Reebok</t>
  </si>
  <si>
    <t>Henrik</t>
  </si>
  <si>
    <t>Zetterberg</t>
  </si>
  <si>
    <t>John</t>
  </si>
  <si>
    <t>Tavares</t>
  </si>
  <si>
    <t>Dustin</t>
  </si>
  <si>
    <t>Wolf</t>
  </si>
  <si>
    <t>Alternate Hockey Fights Cancer</t>
  </si>
  <si>
    <t>Pink</t>
  </si>
  <si>
    <t>Purple</t>
  </si>
  <si>
    <t>2002-2003</t>
  </si>
  <si>
    <t>2017-2018</t>
  </si>
  <si>
    <t>2009-2010</t>
  </si>
  <si>
    <t>Sebastian</t>
  </si>
  <si>
    <t>Aho</t>
  </si>
  <si>
    <t>Kane</t>
  </si>
  <si>
    <t>Patrick</t>
  </si>
  <si>
    <t>Jordan</t>
  </si>
  <si>
    <t>Eberle</t>
  </si>
  <si>
    <t>Reverse Retro</t>
  </si>
  <si>
    <t>Teal</t>
  </si>
  <si>
    <t>Premiere</t>
  </si>
  <si>
    <t>D:\NHL jerseys\Images\20231210_121738.jpg</t>
  </si>
  <si>
    <t>D:\NHL jerseys\Images\20231210_122138.jpg</t>
  </si>
  <si>
    <t>ImageFront</t>
  </si>
  <si>
    <t>ImageBack</t>
  </si>
  <si>
    <t>D:\NHL jerseys\Images\20231210_122303.jpg</t>
  </si>
  <si>
    <t>D:\NHL jerseys\Images\20231210_121947.jpg</t>
  </si>
  <si>
    <t>D:\NHL jerseys\Images\20231210_122634.jpg</t>
  </si>
  <si>
    <t>D:\NHL jerseys\Images\20231210_122739.jpg</t>
  </si>
  <si>
    <t>D:\NHL jerseys\Images\20231210_123208.jpg</t>
  </si>
  <si>
    <t>D:\NHL jerseys\Images\20231210_123259.jpg</t>
  </si>
  <si>
    <t>D:\NHL jerseys\Images\20231210_123700.jpg</t>
  </si>
  <si>
    <t>D:\NHL jerseys\Images\20231210_123731.jpg</t>
  </si>
  <si>
    <t>D:\NHL jerseys\Images\20231210_123839.jpg</t>
  </si>
  <si>
    <t>D:\NHL jerseys\Images\20231210_124005.jpg</t>
  </si>
  <si>
    <t>D:\NHL jerseys\Images\20231210_124107.jpg</t>
  </si>
  <si>
    <t>D:\NHL jerseys\Images\20231210_124347.jpg</t>
  </si>
  <si>
    <t>D:\NHL jerseys\Images\20231210_124429.jpg</t>
  </si>
  <si>
    <t>D:\NHL jerseys\Images\20231210_124541.jpg</t>
  </si>
  <si>
    <t>D:\NHL jerseys\Images\20231210_124639.jpg</t>
  </si>
  <si>
    <t>D:\NHL jerseys\Images\20231210_124813.jpg</t>
  </si>
  <si>
    <t>D:\NHL jerseys\Images\20231210_124742.jpg</t>
  </si>
  <si>
    <t>Marchessault</t>
  </si>
  <si>
    <t>Marc-Andre</t>
  </si>
  <si>
    <t>Fleury</t>
  </si>
  <si>
    <t>Logan</t>
  </si>
  <si>
    <t>Couture</t>
  </si>
  <si>
    <t>CaptainPatch</t>
  </si>
  <si>
    <t>AssistantPatch</t>
  </si>
  <si>
    <t>Grey</t>
  </si>
  <si>
    <t>OpenDate</t>
  </si>
  <si>
    <t>Supplier</t>
  </si>
  <si>
    <t>MadeDate</t>
  </si>
  <si>
    <t>Players</t>
  </si>
  <si>
    <t>Youngest</t>
  </si>
  <si>
    <t>Oldest</t>
  </si>
  <si>
    <t>Average</t>
  </si>
  <si>
    <t>Name</t>
  </si>
  <si>
    <t>Closest To My Bday</t>
  </si>
  <si>
    <t>03/23</t>
  </si>
  <si>
    <t>Fanatics Canada Online Shop</t>
  </si>
  <si>
    <t>SportsK</t>
  </si>
  <si>
    <t>FLA Team Shop</t>
  </si>
  <si>
    <t>04/23</t>
  </si>
  <si>
    <t>11/17</t>
  </si>
  <si>
    <t>D:\NHL jerseys\Images\20231210_124202.jpg</t>
  </si>
  <si>
    <t>07/22</t>
  </si>
  <si>
    <t>07/21</t>
  </si>
  <si>
    <t>10/22</t>
  </si>
  <si>
    <t>06/18</t>
  </si>
  <si>
    <t>09/21</t>
  </si>
  <si>
    <t>Mark</t>
  </si>
  <si>
    <t>Scheifele</t>
  </si>
  <si>
    <t>Light Blue</t>
  </si>
  <si>
    <t>Sportchek</t>
  </si>
  <si>
    <t>2011-2012</t>
  </si>
  <si>
    <t>02/19</t>
  </si>
  <si>
    <t>05/18</t>
  </si>
  <si>
    <t>Jamie</t>
  </si>
  <si>
    <t>Benn</t>
  </si>
  <si>
    <t>Martin</t>
  </si>
  <si>
    <t>St. Louis</t>
  </si>
  <si>
    <t>Mitchell &amp; Ness</t>
  </si>
  <si>
    <t>1998-1999</t>
  </si>
  <si>
    <t>Aleksander </t>
  </si>
  <si>
    <t>Barkov</t>
  </si>
  <si>
    <t>Vladimir</t>
  </si>
  <si>
    <t>Tarasenko</t>
  </si>
  <si>
    <t>Max</t>
  </si>
  <si>
    <t>Domi</t>
  </si>
  <si>
    <t>Matt</t>
  </si>
  <si>
    <t>Duchene</t>
  </si>
  <si>
    <t>Zach</t>
  </si>
  <si>
    <t>Werenski</t>
  </si>
  <si>
    <t>Claude</t>
  </si>
  <si>
    <t>Giroux</t>
  </si>
  <si>
    <t>Parise</t>
  </si>
  <si>
    <t>NYR Blueshirts Adidas Primegreen</t>
  </si>
  <si>
    <t>Calgary Away</t>
  </si>
  <si>
    <t>Brady</t>
  </si>
  <si>
    <t>2018-2019</t>
  </si>
  <si>
    <t>Stamkos</t>
  </si>
  <si>
    <t>Iginla</t>
  </si>
  <si>
    <t>Pavelski</t>
  </si>
  <si>
    <t>Malkin</t>
  </si>
  <si>
    <t>Doughty</t>
  </si>
  <si>
    <t>Cooley</t>
  </si>
  <si>
    <t>Guenther</t>
  </si>
  <si>
    <t>09/22</t>
  </si>
  <si>
    <t>Wayne</t>
  </si>
  <si>
    <t>Gretzky</t>
  </si>
  <si>
    <t>Giordano</t>
  </si>
  <si>
    <t>Drake</t>
  </si>
  <si>
    <t>Batherson</t>
  </si>
  <si>
    <t>Nick</t>
  </si>
  <si>
    <t>Suzuki</t>
  </si>
  <si>
    <t>Kris</t>
  </si>
  <si>
    <t>Letang</t>
  </si>
  <si>
    <t>Dark Blue</t>
  </si>
  <si>
    <t>Ebay</t>
  </si>
  <si>
    <t>2019-2020</t>
  </si>
  <si>
    <t>Artemi</t>
  </si>
  <si>
    <t>Panarin</t>
  </si>
  <si>
    <t>Barzal</t>
  </si>
  <si>
    <t>Gaudreau</t>
  </si>
  <si>
    <t>Steven</t>
  </si>
  <si>
    <t>Kyle</t>
  </si>
  <si>
    <t>Tyler</t>
  </si>
  <si>
    <t>Seguin</t>
  </si>
  <si>
    <t>Elias</t>
  </si>
  <si>
    <t>Johnny</t>
  </si>
  <si>
    <t>Silver</t>
  </si>
  <si>
    <t>SVP</t>
  </si>
  <si>
    <t>1978-1980</t>
  </si>
  <si>
    <t>Auston</t>
  </si>
  <si>
    <t>ClosestToMe</t>
  </si>
  <si>
    <t>Adam</t>
  </si>
  <si>
    <t>Henrique</t>
  </si>
  <si>
    <t>Mitch</t>
  </si>
  <si>
    <t>Marner</t>
  </si>
  <si>
    <t>Nico</t>
  </si>
  <si>
    <t>Hischier</t>
  </si>
  <si>
    <t>McDavid</t>
  </si>
  <si>
    <t>TJ</t>
  </si>
  <si>
    <t>Oshie</t>
  </si>
  <si>
    <t>SWITZERLAND</t>
  </si>
  <si>
    <t>25% OFF</t>
  </si>
  <si>
    <t>50% Off</t>
  </si>
  <si>
    <t>15% OFF</t>
  </si>
  <si>
    <t xml:space="preserve"> League</t>
  </si>
  <si>
    <t>IIHF</t>
  </si>
  <si>
    <t>Event</t>
  </si>
  <si>
    <t>World Juniors - Halifax Moncton</t>
  </si>
  <si>
    <t>Team Canada</t>
  </si>
  <si>
    <t>2022 Olympics</t>
  </si>
  <si>
    <t>Gender</t>
  </si>
  <si>
    <t>Men</t>
  </si>
  <si>
    <t>Women</t>
  </si>
  <si>
    <t>Marie</t>
  </si>
  <si>
    <t>Philip-Poulin</t>
  </si>
  <si>
    <t>Drouin</t>
  </si>
  <si>
    <t>Evgeni</t>
  </si>
  <si>
    <t>Joe</t>
  </si>
  <si>
    <t>Thornton</t>
  </si>
  <si>
    <t>1997-1998</t>
  </si>
  <si>
    <t>Leon</t>
  </si>
  <si>
    <t>Draisaitl</t>
  </si>
  <si>
    <t>GERMANY</t>
  </si>
  <si>
    <t>Mackenzie</t>
  </si>
  <si>
    <t>Weegar</t>
  </si>
  <si>
    <t>CancelledOrder</t>
  </si>
  <si>
    <t>Reverse Retro 2.0</t>
  </si>
  <si>
    <t>Stadium Series</t>
  </si>
  <si>
    <t>FAKE</t>
  </si>
  <si>
    <t>Heritage Classic</t>
  </si>
  <si>
    <t>Centennial</t>
  </si>
  <si>
    <t>JerseyID</t>
  </si>
  <si>
    <t>JerseyImageID</t>
  </si>
  <si>
    <t>Path</t>
  </si>
  <si>
    <t>NoImageText</t>
  </si>
  <si>
    <t>D:\NHL jerseys\Jerseys 20240227\20240227_025651.jpg</t>
  </si>
  <si>
    <t>D:\NHL jerseys\Jerseys 20240227\20240227_025658.jpg</t>
  </si>
  <si>
    <t>D:\NHL jerseys\Jerseys 20240227\20240227_025724.jpg</t>
  </si>
  <si>
    <t>Pose</t>
  </si>
  <si>
    <t>Back</t>
  </si>
  <si>
    <t>Front</t>
  </si>
  <si>
    <t>D:\NHL jerseys\Jerseys 20240227\20240227_025609.jpg</t>
  </si>
  <si>
    <t>Sidney Crosby #87 Pittsburgh Penguins Adidas PrimeGreen Home Jersey Back</t>
  </si>
  <si>
    <t>Sidney Crosby #87 Pittsburgh Penguins Adidas PrimeGreen Home Jersey Right Sleve</t>
  </si>
  <si>
    <t>Sidney Crosby #87 Pittsburgh Penguins Adidas PrimeGreen Home Jersey Front</t>
  </si>
  <si>
    <t>D:\NHL jerseys\Jerseys 20240227\20240227_025532.jpg</t>
  </si>
  <si>
    <t>D:\NHL jerseys\Jerseys 20240227\20240227_025516.jpg</t>
  </si>
  <si>
    <t>D:\NHL jerseys\Jerseys 20240227\20240227_025321.jpg</t>
  </si>
  <si>
    <t>D:\NHL jerseys\Jerseys 20240227\20240227_025230.jpg</t>
  </si>
  <si>
    <t>D:\NHL jerseys\Jerseys 20240227\20240227_025221.jpg</t>
  </si>
  <si>
    <t>D:\NHL jerseys\Jerseys 20240227\20240227_025207.jpg</t>
  </si>
  <si>
    <t>D:\NHL jerseys\Jerseys 20240227\20240227_024943.jpg</t>
  </si>
  <si>
    <t>D:\NHL jerseys\Jerseys 20240227\20240227_024840.jpg</t>
  </si>
  <si>
    <t>D:\NHL jerseys\Jerseys 20240227\20240227_024822.jpg</t>
  </si>
  <si>
    <t>D:\NHL jerseys\Jerseys 20240227\20240227_024647.jpg</t>
  </si>
  <si>
    <t>D:\NHL jerseys\Jerseys 20240227\20240227_024611.jpg</t>
  </si>
  <si>
    <t>D:\NHL jerseys\Jerseys 20240227\20240227_024558.jpg</t>
  </si>
  <si>
    <t>D:\NHL jerseys\Jerseys 20240227\20240227_024537.jpg</t>
  </si>
  <si>
    <t>D:\NHL jerseys\Jerseys 20240227\20240227_024441.jpg</t>
  </si>
  <si>
    <t>D:\NHL jerseys\Jerseys 20240227\20240227_024401.jpg</t>
  </si>
  <si>
    <t>D:\NHL jerseys\Jerseys 20240227\20240227_024346.jpg</t>
  </si>
  <si>
    <t>D:\NHL jerseys\Jerseys 20240227\20240227_024235.jpg</t>
  </si>
  <si>
    <t>D:\NHL jerseys\Jerseys 20240227\20240227_024155.jpg</t>
  </si>
  <si>
    <t>D:\NHL jerseys\Jerseys 20240227\20240227_024031.jpg</t>
  </si>
  <si>
    <t>Sleve-Left</t>
  </si>
  <si>
    <t>Sleve-Right</t>
  </si>
  <si>
    <t>D:\NHL jerseys\Jerseys 20240227\20240227_023815.jpg</t>
  </si>
  <si>
    <t>D:\NHL jerseys\Jerseys 20240227\20240227_023734.jpg</t>
  </si>
  <si>
    <t>D:\NHL jerseys\Jerseys 20240227\20240227_023728.jpg</t>
  </si>
  <si>
    <t>D:\NHL jerseys\Jerseys 20240227\20240227_023718.jpg</t>
  </si>
  <si>
    <t>D:\NHL jerseys\Jerseys 20240227\20240227_023529.jpg</t>
  </si>
  <si>
    <t>D:\NHL jerseys\Jerseys 20240227\20240227_023454.jpg</t>
  </si>
  <si>
    <t>D:\NHL jerseys\Jerseys 20240227\20240227_023438.jpg</t>
  </si>
  <si>
    <t>D:\NHL jerseys\Jerseys 20240227\20240227_023126.jpg</t>
  </si>
  <si>
    <t>D:\NHL jerseys\Jerseys 20240227\20240227_023029.jpg</t>
  </si>
  <si>
    <t>D:\NHL jerseys\Jerseys 20240227\20240227_023011.jpg</t>
  </si>
  <si>
    <t>Patrick Kane #88 Chicago Blackhawks Reebok Premiere Home Jersey Back</t>
  </si>
  <si>
    <t>Mark Scheifele #55 Winnipeg Jets Adidas Climalite Away Jersey Front</t>
  </si>
  <si>
    <t>Mark Scheifele #55 Winnipeg Jets Adidas Climalite Away Jersey Left Sleve</t>
  </si>
  <si>
    <t>Mark Scheifele #55 Winnipeg Jets Adidas Climalite Away Jersey Back</t>
  </si>
  <si>
    <t>John Tavares #91 New York Islanders Adidas Climalite Home Jersey Back</t>
  </si>
  <si>
    <t>John Tavares #91 New York Islanders Adidas Climalite Home Jersey Left Sleve</t>
  </si>
  <si>
    <t>Jonathan Quick #32 Los Angeles Kings Reebok Premiere Home Jersey Front</t>
  </si>
  <si>
    <t>Jonathan Quick #32 Los Angeles Kings Reebok Premiere Home Jersey Left Sleve</t>
  </si>
  <si>
    <t>Jonathan Quick #32 Los Angeles Kings Reebok Premiere Home Jersey Right Sleve</t>
  </si>
  <si>
    <t>Jonathan Quick #32 Los Angeles Kings Reebok Premiere Home Jersey Back</t>
  </si>
  <si>
    <t>Sebastian Aho #20 Carolina Hurricanes Adidas PrimeGreen Home Jersey Front</t>
  </si>
  <si>
    <t>Sebastian Aho #20 Carolina Hurricanes Adidas PrimeGreen Home Jersey Right Sleve</t>
  </si>
  <si>
    <t>Sebastian Aho #20 Carolina Hurricanes Adidas PrimeGreen Home Jersey Back</t>
  </si>
  <si>
    <t>Jonathan Marchessault #81 Vegas Golden Knights Adidas PrimeGreen Home Jersey Front</t>
  </si>
  <si>
    <t>Jonathan Marchessault #81 Vegas Golden Knights Adidas PrimeGreen Home Jersey Right Sleve</t>
  </si>
  <si>
    <t>Jonathan Marchessault #81 Vegas Golden Knights Adidas PrimeGreen Home Jersey Back</t>
  </si>
  <si>
    <t>Filip Forsberg #9 Nashville Predators Adidas Climalite Home Jersey Back</t>
  </si>
  <si>
    <t>Filip Forsberg #9 Nashville Predators Adidas Climalite Home Jersey Right Sleve</t>
  </si>
  <si>
    <t>Filip Forsberg #9 Nashville Predators Adidas Climalite Home Jersey Left Sleve</t>
  </si>
  <si>
    <t>Filip Forsberg #9 Nashville Predators Adidas Climalite Home Jersey Front</t>
  </si>
  <si>
    <t>Logan Couture #39 San Jose Sharks Adidas PrimeGreen Home Jersey Front</t>
  </si>
  <si>
    <t>Logan Couture #39 San Jose Sharks Adidas PrimeGreen Home Jersey Left Sleve</t>
  </si>
  <si>
    <t>Logan Couture #39 San Jose Sharks Adidas PrimeGreen Home Jersey Back</t>
  </si>
  <si>
    <t>Anze Kopitar #11 Los Angeles Kings Reebok Premiere Home Jersey Front</t>
  </si>
  <si>
    <t>Anze Kopitar #11 Los Angeles Kings Reebok Premiere Home Jersey Left Sleve</t>
  </si>
  <si>
    <t>Anze Kopitar #11 Los Angeles Kings Reebok Premiere Home Jersey Right Sleve</t>
  </si>
  <si>
    <t>Anze Kopitar #11 Los Angeles Kings Reebok Premiere Home Jersey Back</t>
  </si>
  <si>
    <t>Jack Eichel #15 Buffalo Sabres Adidas Climalite Home Home Jersey Front</t>
  </si>
  <si>
    <t>Jack Eichel #15 Buffalo Sabres Adidas Climalite Home Home Jersey Left Sleve</t>
  </si>
  <si>
    <t>Jack Eichel #15 Buffalo Sabres Adidas Climalite Home Home Jersey Back</t>
  </si>
  <si>
    <t>Patrick Kane #88 Chicago Blackhawks Reebok Premiere Home Jersey Right Sleve</t>
  </si>
  <si>
    <t>Patrick Kane #88 Chicago Blackhawks Reebok Premiere Home Jersey Left Sleve</t>
  </si>
  <si>
    <t>Patrick Kane #88 Chicago Blackhawks Reebok Premiere Home Jersey Front</t>
  </si>
  <si>
    <t>D:\NHL jerseys\Jerseys 20240227\20240227_022817.jpg</t>
  </si>
  <si>
    <t>D:\NHL jerseys\Jerseys 20240227\20240227_022727.jpg</t>
  </si>
  <si>
    <t>D:\NHL jerseys\Jerseys 20240227\20240227_022657.jpg</t>
  </si>
  <si>
    <t>D:\NHL jerseys\Jerseys 20240227\20240227_022644.jpg</t>
  </si>
  <si>
    <t>D:\NHL jerseys\Jerseys 20240227\20240227_022542.jpg</t>
  </si>
  <si>
    <t>D:\NHL jerseys\Jerseys 20240227\20240227_022439.jpg</t>
  </si>
  <si>
    <t>D:\NHL jerseys\Jerseys 20240227\20240227_022425.jpg</t>
  </si>
  <si>
    <t>Jordan Eberle #7 Seattle Kraken Adidas PrimeGreen Reverse Retro 2.0 Jersey Back</t>
  </si>
  <si>
    <t>Jordan Eberle #7 Seattle Kraken Adidas PrimeGreen Reverse Retro 2.0 Jersey Front</t>
  </si>
  <si>
    <t>Marc Andre-Fleury #29 Minnesota Wild Adidas PrimeGreen Home Jersey Back</t>
  </si>
  <si>
    <t>Marc Andre-Fleury #29 Minnesota Wild Adidas PrimeGreen Home Jersey Left Sleve</t>
  </si>
  <si>
    <t>Marc Andre-Fleury #29 Minnesota Wild Adidas PrimeGreen Home Jersey Front</t>
  </si>
  <si>
    <t>Jordan Eberle #7 Seattle Kraken Adidas PrimeGreen Reverse Retro 2.0 Jersey Left Sleve</t>
  </si>
  <si>
    <t>D:\NHL jerseys\Jerseys 20240227\20240227_021052.jpg</t>
  </si>
  <si>
    <t>D:\NHL jerseys\Jerseys 20240227\20240227_020938.jpg</t>
  </si>
  <si>
    <t>D:\NHL jerseys\Jerseys 20240227\20240227_020928.jpg</t>
  </si>
  <si>
    <t>Dustin Wolf #32 Calgary Flames Adidas PrimeGreen Hockey Fights Cancer Jersery Back</t>
  </si>
  <si>
    <t>Dustin Wolf #32 Calgary Flames Adidas PrimeGreen Hockey Fights Cancer Jersery Front</t>
  </si>
  <si>
    <t>Dustin Wolf #32 Calgary Flames Adidas PrimeGreen Hockey Fights Cancer Jersery Left Sleve</t>
  </si>
  <si>
    <t>Dustin Wolf #32 Calgary Flames Adidas PrimeGreen Hockey Fights Cancer Jersery Right Sleve</t>
  </si>
  <si>
    <t>D:\NHL jerseys\Jerseys 20240227\20240227_020822.jpg</t>
  </si>
  <si>
    <t>D:\NHL jerseys\Jerseys 20240227\20240227_020736.jpg</t>
  </si>
  <si>
    <t>D:\NHL jerseys\Jerseys 20240227\20240227_020717.jpg</t>
  </si>
  <si>
    <t>D:\NHL jerseys\Jerseys 20240227\20240227_020708.jpg</t>
  </si>
  <si>
    <t>Corey Perry #10 Anaheim Ducks Reebok Premiere Away Jersey Back</t>
  </si>
  <si>
    <t>Corey Perry #10 Anaheim Ducks Reebok Premiere Away Jersey Right Sleve</t>
  </si>
  <si>
    <t>Corey Perry #10 Anaheim Ducks Reebok Premiere Away Jersey Left Sleve</t>
  </si>
  <si>
    <t>Corey Perry #10 Anaheim Ducks Reebok Premiere Away Jersey Front</t>
  </si>
  <si>
    <t>D:\NHL jerseys\Jerseys 20240227\20240227_020447.jpg</t>
  </si>
  <si>
    <t>D:\NHL jerseys\Jerseys 20240227\20240227_020404.jpg</t>
  </si>
  <si>
    <t>D:\NHL jerseys\Jerseys 20240227\20240227_020353.jpg</t>
  </si>
  <si>
    <t>D:\NHL jerseys\Jerseys 20240227\20240227_020340.jpg</t>
  </si>
  <si>
    <t>Jonthan Toews #19 Chicago Blackhawks Adidas Climaliate Away Jersey Back</t>
  </si>
  <si>
    <t>Jonthan Toews #19 Chicago Blackhawks Adidas Climaliate Away Jersey Front</t>
  </si>
  <si>
    <t>Jonthan Toews #19 Chicago Blackhawks Adidas Climaliate Away Jersey Left Sleve</t>
  </si>
  <si>
    <t>D:\NHL jerseys\Jerseys 20240227\20240227_020233.jpg</t>
  </si>
  <si>
    <t>D:\NHL jerseys\Jerseys 20240227\20240227_020143.jpg</t>
  </si>
  <si>
    <t>D:\NHL jerseys\Jerseys 20240227\20240227_020125.jpg</t>
  </si>
  <si>
    <t>Patrice Bergeron #37 Boston Bruins Reebok Premiere Home Jersey Back</t>
  </si>
  <si>
    <t>Patrice Bergeron #37 Boston Bruins Reebok Premiere Home Jersey Left Sleve</t>
  </si>
  <si>
    <t>Patrice Bergeron #37 Boston Bruins Reebok Premiere Home Jersey Right Sleve</t>
  </si>
  <si>
    <t>Patrice Bergeron #37 Boston Bruins Reebok Premiere Home Jersey Front</t>
  </si>
  <si>
    <t>D:\NHL jerseys\Jerseys 20240227\20240227_015956.jpg</t>
  </si>
  <si>
    <t>D:\NHL jerseys\Jerseys 20240227\20240227_015901.jpg</t>
  </si>
  <si>
    <t>D:\NHL jerseys\Jerseys 20240227\20240227_015841.jpg</t>
  </si>
  <si>
    <t>D:\NHL jerseys\Jerseys 20240227\20240227_015828.jpg</t>
  </si>
  <si>
    <t>Jonathan Huberdeau #10 Calgary Flames Adidas PrimeGreen Heritage Classic Away Jersey Back</t>
  </si>
  <si>
    <t>Jonathan Huberdeau #10 Calgary Flames Adidas PrimeGreen Heritage Classic Away Jersey Left Sleve</t>
  </si>
  <si>
    <t>D:\NHL jerseys\Jerseys 20240227\20240227_014635.jpg</t>
  </si>
  <si>
    <t>D:\NHL jerseys\Jerseys 20240227\20240227_014430.jpg</t>
  </si>
  <si>
    <t>D:\NHL jerseys\Jerseys 20240227\20240227_014345.jpg</t>
  </si>
  <si>
    <t>D:\NHL jerseys\Jerseys 20240227\20240227_014156.jpg</t>
  </si>
  <si>
    <t>D:\NHL jerseys\Jerseys 20240227\20240227_014110.jpg</t>
  </si>
  <si>
    <t>D:\NHL jerseys\Jerseys 20240227\20240227_014100.jpg</t>
  </si>
  <si>
    <t>Ryan McDonagh #27 New York Rangers Adidas Climalite Home Jersey Back</t>
  </si>
  <si>
    <t>Ryan McDonagh #27 New York Rangers Adidas Climalite Home Jersey Left Sleve</t>
  </si>
  <si>
    <t>Ryan McDonagh #27 New York Rangers Adidas Climalite Home Jersey Front</t>
  </si>
  <si>
    <t>Patrice Bergeron #37 Boston Bruins Adidas PrimeGreen Centennial Alternate Jersey Back</t>
  </si>
  <si>
    <t>Patrice Bergeron #37 Boston Bruins Adidas PrimeGreen Centennial Alternate Jersey Front</t>
  </si>
  <si>
    <t>Patrice Bergeron #37 Boston Bruins Adidas PrimeGreen Centennial Alternate Jersey Left Sleve</t>
  </si>
  <si>
    <t>Patrice Bergeron #37 Boston Bruins Adidas PrimeGreen Centennial Alternate Jersey Right Sleve</t>
  </si>
  <si>
    <t>D:\NHL jerseys\Jerseys 20240227\20240227_014006.jpg</t>
  </si>
  <si>
    <t>D:\NHL jerseys\Jerseys 20240227\20240227_013914.jpg</t>
  </si>
  <si>
    <t>D:\NHL jerseys\Jerseys 20240227\20240227_013900.jpg</t>
  </si>
  <si>
    <t>D:\NHL jerseys\Jerseys 20240227\20240227_013749.jpg</t>
  </si>
  <si>
    <t>Matthew Tkachuk #19 Florida Panthers Adidas PrimeGreen Home Jersey Back</t>
  </si>
  <si>
    <t>Matthew Tkachuk #19 Florida Panthers Adidas PrimeGreen Home Jersey Left Sleve</t>
  </si>
  <si>
    <t>Matthew Tkachuk #19 Florida Panthers Adidas PrimeGreen Home Jersey Front</t>
  </si>
  <si>
    <t>D:\NHL jerseys\Jerseys 20240227\20240227_013414.jpg</t>
  </si>
  <si>
    <t>D:\NHL jerseys\Jerseys 20240227\20240227_013331.jpg</t>
  </si>
  <si>
    <t>D:\NHL jerseys\Jerseys 20240227\20240227_013309.jpg</t>
  </si>
  <si>
    <t>D:\NHL jerseys\Jerseys 20240227\20240227_013129.jpg</t>
  </si>
  <si>
    <t>D:\NHL jerseys\Jerseys 20240227\20240227_013022.jpg</t>
  </si>
  <si>
    <t>D:\NHL jerseys\Jerseys 20240227\20240227_013007.jpg</t>
  </si>
  <si>
    <t>D:\NHL jerseys\Jerseys 20240227\20240227_012853.jpg</t>
  </si>
  <si>
    <t>D:\NHL jerseys\Jerseys 20240227\20240227_012741.jpg</t>
  </si>
  <si>
    <t>D:\NHL jerseys\Jerseys 20240227\20240227_012723.jpg</t>
  </si>
  <si>
    <t>Jonathan Huberdeau #10 Calgary Flames Adidas PrimeGreen Home Jersey Back</t>
  </si>
  <si>
    <t>Jonathan Huberdeau #10 Calgary Flames Adidas PrimeGreen Home Jersey Front</t>
  </si>
  <si>
    <t>Jonathan Huberdeau #10 Calgary Flames Adidas PrimeGreen Home Jersey Left Sleve</t>
  </si>
  <si>
    <t>Bo Horvat #53 Vancouver Canucks Adidas Climalite Home Jersey Back</t>
  </si>
  <si>
    <t>Bo Horvat #53 Vancouver Canucks Adidas Climalite Home Jersey Left Sleve</t>
  </si>
  <si>
    <t>Bo Horvat #53 Vancouver Canucks Adidas Climalite Home Jersey Front</t>
  </si>
  <si>
    <t>Nathan MacKinnon #29 Colorado Avalanche Adidas PrimeGreen Home Jersey Back</t>
  </si>
  <si>
    <t>Nathan MacKinnon #29 Colorado Avalanche Adidas PrimeGreen Home Jersey Front</t>
  </si>
  <si>
    <t>Nathan MacKinnon #29 Colorado Avalanche Adidas PrimeGreen Home Jersey Left Sleve</t>
  </si>
  <si>
    <t>D:\NHL jerseys\Jerseys 20240227\20240227_012628.jpg</t>
  </si>
  <si>
    <t>D:\NHL jerseys\Jerseys 20240227\20240227_012452.jpg</t>
  </si>
  <si>
    <t>D:\NHL jerseys\Jerseys 20240227\20240227_012428.jpg</t>
  </si>
  <si>
    <t>Auston Matthews #34 Toronto Maple Leafs Adidas PrimeGreen Home Jersey Back</t>
  </si>
  <si>
    <t>Auston Matthews #34 Toronto Maple Leafs Adidas PrimeGreen Home Jersey Left Sleve</t>
  </si>
  <si>
    <t>Auston Matthews #34 Toronto Maple Leafs Adidas PrimeGreen Home Jersey Front</t>
  </si>
  <si>
    <t>D:\NHL jerseys\Jerseys 20240227\20240227_012238.jpg</t>
  </si>
  <si>
    <t>D:\NHL jerseys\Jerseys 20240227\20240227_011957.jpg</t>
  </si>
  <si>
    <t>D:\NHL jerseys\Jerseys 20240227\20240227_011915.jpg</t>
  </si>
  <si>
    <t>D:\NHL jerseys\Jerseys 20240227\20240227_011519.jpg</t>
  </si>
  <si>
    <t>D:\NHL jerseys\Jerseys 20240227\20240227_011441.jpg</t>
  </si>
  <si>
    <t>D:\NHL jerseys\Jerseys 20240227\20240227_011423.jpg</t>
  </si>
  <si>
    <t>D:\NHL jerseys\Jerseys 20240227\20240227_011329.jpg</t>
  </si>
  <si>
    <t>D:\NHL jerseys\Jerseys 20240227\20240227_011241.jpg</t>
  </si>
  <si>
    <t>D:\NHL jerseys\Jerseys 20240227\20240227_011232.jpg</t>
  </si>
  <si>
    <t>Connor McDavid #97 Edmonton Oilers Adidas PrimeGreen Home Jersey Back</t>
  </si>
  <si>
    <t>Connor McDavid #97 Edmonton Oilers Adidas PrimeGreen Home Jersey Left Sleve</t>
  </si>
  <si>
    <t>Connor McDavid #97 Edmonton Oilers Adidas PrimeGreen Home Jersey Front</t>
  </si>
  <si>
    <t>Carey Price #31 Montreal Canadiens Adidas PrimeGreen Home Jersey Back</t>
  </si>
  <si>
    <t>Carey Price #31 Montreal Canadiens Adidas PrimeGreen Home Jersey Front</t>
  </si>
  <si>
    <t>Carey Price #31 Montreal Canadiens Adidas PrimeGreen Home Jersey Left Sleve</t>
  </si>
  <si>
    <t>D:\NHL jerseys\Jerseys 20240227\20240227_011136.jpg</t>
  </si>
  <si>
    <t>D:\NHL jerseys\Jerseys 20240227\20240227_011048.jpg</t>
  </si>
  <si>
    <t>D:\NHL jerseys\Jerseys 20240227\20240227_011023.jpg</t>
  </si>
  <si>
    <t>D:\NHL jerseys\Jerseys 20240227\20240227_010858.jpg</t>
  </si>
  <si>
    <t>D:\NHL jerseys\Jerseys 20240227\20240227_010754.jpg</t>
  </si>
  <si>
    <t>D:\NHL jerseys\Jerseys 20240227\20240227_010703.jpg</t>
  </si>
  <si>
    <t>Alexander Ovechkin #8 Washington Capitals Adidas PrimeGreen Home Jersey Back</t>
  </si>
  <si>
    <t>Alexander Ovechkin #8 Washington Capitals Adidas PrimeGreen Home Jersey Front</t>
  </si>
  <si>
    <t>Alexander Ovechkin #8 Washington Capitals Adidas PrimeGreen Home Jersey Left Sleve</t>
  </si>
  <si>
    <t>Blake Wheeler #26 Winnipeg Jets Adidas PrimeGreen Home Jersey Back</t>
  </si>
  <si>
    <t>Blake Wheeler #26 Winnipeg Jets Adidas PrimeGreen Home Jersey Left Sleve</t>
  </si>
  <si>
    <t>Blake Wheeler #26 Winnipeg Jets Adidas PrimeGreen Home Jersey Front</t>
  </si>
  <si>
    <t>D:\NHL jerseys\Jerseys 20240227\20240227_010557.jpg</t>
  </si>
  <si>
    <t>D:\NHL jerseys\Jerseys 20240227\20240227_010516.jpg</t>
  </si>
  <si>
    <t>D:\NHL jerseys\Jerseys 20240227\20240227_010456.jpg</t>
  </si>
  <si>
    <t>D:\NHL jerseys\Jerseys 20240227\20240227_010439.jpg</t>
  </si>
  <si>
    <t>D:\NHL jerseys\Jerseys 20240227\20240227_010317.jpg</t>
  </si>
  <si>
    <t>D:\NHL jerseys\Jerseys 20240227\20240227_010223.jpg</t>
  </si>
  <si>
    <t>D:\NHL jerseys\Jerseys 20240227\20240227_010206.jpg</t>
  </si>
  <si>
    <t>D:\NHL jerseys\Jerseys 20240227\20240227_010026.jpg</t>
  </si>
  <si>
    <t>D:\NHL jerseys\Jerseys 20240227\20240227_005957.jpg</t>
  </si>
  <si>
    <t>D:\NHL jerseys\Jerseys 20240227\20240227_005939.jpg</t>
  </si>
  <si>
    <t>Sidney Crosby #87 Pittsburgh Penguins Adidas Climalite Home Jersey Back</t>
  </si>
  <si>
    <t>Sidney Crosby #87 Pittsburgh Penguins Adidas Climalite Home Jersey Right Sleve</t>
  </si>
  <si>
    <t>Sean Monahan #23 Calgary Flames Adidas Climalite Home Jersey Back</t>
  </si>
  <si>
    <t>Sean Monahan #23 Calgary Flames Adidas Climalite Home Jersey Left Sleve</t>
  </si>
  <si>
    <t>Sean Monahan #23 Calgary Flames Adidas Climalite Home Jersey Right sleve</t>
  </si>
  <si>
    <t>Sean Monahan #23 Calgary Flames Adidas Climalite Home Jersey Front</t>
  </si>
  <si>
    <t>Henrik Zetterberg #40 Adidas Climalite Home Jersey Back</t>
  </si>
  <si>
    <t>Henrik Zetterberg #40 Adidas Climalite Home Jersey Front</t>
  </si>
  <si>
    <t>Henrik Zetterberg #40 Adidas Climalite Home Jersey Left Sleve</t>
  </si>
  <si>
    <t>Miikka Kiprusoff #34 Calgary Flames Adidas PrimeGreen Alternate Jersey Back</t>
  </si>
  <si>
    <t>Shoulder</t>
  </si>
  <si>
    <t>Miikka Kiprusoff #34 Calgary Flames Adidas PrimeGreen Alternate Jersey Front</t>
  </si>
  <si>
    <t>Miikka Kiprusoff #34 Calgary Flames Adidas PrimeGreen Alternate Jersey Shoulder Patch</t>
  </si>
  <si>
    <t>Miikka Kiprusoff #34 Calgary Flames Adidas PrimeGreen Alternate Jersey Right Sleve</t>
  </si>
  <si>
    <t>D:\NHL jerseys\Jerseys 20240227\20240227_005804.jpg</t>
  </si>
  <si>
    <t>D:\NHL jerseys\Jerseys 20240227\20240227_005733.jpg</t>
  </si>
  <si>
    <t>D:\NHL jerseys\Jerseys 20240227\20240227_005601.jpg</t>
  </si>
  <si>
    <t>D:\NHL jerseys\Jerseys 20240227\20240227_005412.jpg</t>
  </si>
  <si>
    <t>Nike</t>
  </si>
  <si>
    <t>NHLUniformLink</t>
  </si>
  <si>
    <t>https://www.nhluniforms.com/Panthers/Panthers10.html</t>
  </si>
  <si>
    <t>https://www.nhluniforms.com/Flames/FlamesCGY15.html</t>
  </si>
  <si>
    <t>https://www.nhluniforms.com/BlueJackets/BlueJackets08.html</t>
  </si>
  <si>
    <t>https://www.nhluniforms.com/Rangers/Rangers30.html</t>
  </si>
  <si>
    <t>https://www.nhluniforms.com/Rangers/RangersSpecial06.html</t>
  </si>
  <si>
    <t>https://www.nhluniforms.com/Penguins/Penguins29.html</t>
  </si>
  <si>
    <t>06/21</t>
  </si>
  <si>
    <t>08/21</t>
  </si>
  <si>
    <t>12/17</t>
  </si>
  <si>
    <t>06/20</t>
  </si>
  <si>
    <t>07/15</t>
  </si>
  <si>
    <t>06/16</t>
  </si>
  <si>
    <t>10/17</t>
  </si>
  <si>
    <t>05/12</t>
  </si>
  <si>
    <t>08/15</t>
  </si>
  <si>
    <t>09/18</t>
  </si>
  <si>
    <t>05/22</t>
  </si>
  <si>
    <t>06/15</t>
  </si>
  <si>
    <t>05/23</t>
  </si>
  <si>
    <t>11/23</t>
  </si>
  <si>
    <t>12/14</t>
  </si>
  <si>
    <t>12/10</t>
  </si>
  <si>
    <t>08/14</t>
  </si>
  <si>
    <t>06/22</t>
  </si>
  <si>
    <t>02/18</t>
  </si>
  <si>
    <t>Kevin</t>
  </si>
  <si>
    <t>Bieksa</t>
  </si>
  <si>
    <t>2014 Heritage Classic</t>
  </si>
  <si>
    <t>2023 Heritage Classic</t>
  </si>
  <si>
    <t>NHL_API_PlayerID</t>
  </si>
  <si>
    <t>Pettersson</t>
  </si>
  <si>
    <t>O'Rielly</t>
  </si>
  <si>
    <t>Team USA</t>
  </si>
  <si>
    <t>David</t>
  </si>
  <si>
    <t>Pastrnak</t>
  </si>
  <si>
    <t>Rasmus</t>
  </si>
  <si>
    <t>Dahlin</t>
  </si>
  <si>
    <t>CZECHIA</t>
  </si>
  <si>
    <t>Aeroready</t>
  </si>
  <si>
    <t>Utah Hockey Club</t>
  </si>
  <si>
    <t>UHC</t>
  </si>
  <si>
    <t>Images\logo_utah_hockey_club.png</t>
  </si>
  <si>
    <t>#2B2B2B</t>
  </si>
  <si>
    <t>#F8F8F8</t>
  </si>
  <si>
    <t>#1E3A5F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</si>
</sst>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sz val="11"/>
      <color indexed="8"/>
      <name val="Tw Cen MT"/>
    </font>
    <font>
      <sz val="11"/>
      <color rgb="FF000000"/>
      <name val="Calibri"/>
      <family val="2"/>
      <scheme val="minor"/>
    </font>
    <font>
      <sz val="11"/>
      <color rgb="FF002E5F"/>
      <name val="Calibri"/>
      <family val="2"/>
      <scheme val="minor"/>
    </font>
    <font>
      <sz val="11"/>
      <color rgb="FF041E42"/>
      <name val="Calibri"/>
      <family val="2"/>
      <scheme val="minor"/>
    </font>
    <font>
      <sz val="11"/>
      <color rgb="FF192168"/>
      <name val="Calibri"/>
      <family val="2"/>
      <scheme val="minor"/>
    </font>
    <font>
      <sz val="11"/>
      <color rgb="FF236192"/>
      <name val="Calibri"/>
      <family val="2"/>
      <scheme val="minor"/>
    </font>
    <font>
      <sz val="11"/>
      <color rgb="FF004C9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C758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</font>
    <font>
      <sz val="11"/>
      <color rgb="FFFEFEFE"/>
      <name val="Calibri"/>
      <family val="2"/>
      <scheme val="minor"/>
    </font>
    <font>
      <sz val="11"/>
      <color rgb="FF231F20"/>
      <name val="Calibri"/>
      <family val="2"/>
      <scheme val="minor"/>
    </font>
    <font>
      <sz val="11"/>
      <color indexed="8"/>
      <name val="Tw Cen MT"/>
      <family val="2"/>
    </font>
    <font>
      <sz val="11"/>
      <color theme="0"/>
      <name val="Tw Cen MT"/>
      <family val="2"/>
    </font>
    <font>
      <sz val="11"/>
      <color rgb="FF00843D"/>
      <name val="Calibri"/>
      <family val="2"/>
      <scheme val="minor"/>
    </font>
    <font>
      <sz val="11"/>
      <color rgb="FFAFB7BA"/>
      <name val="Calibri"/>
      <family val="2"/>
      <scheme val="minor"/>
    </font>
    <font>
      <sz val="11"/>
      <color rgb="FFCE1126"/>
      <name val="Calibri"/>
      <family val="2"/>
      <scheme val="minor"/>
    </font>
    <font>
      <sz val="11"/>
      <color rgb="FFFCB514"/>
      <name val="Calibri"/>
      <family val="2"/>
      <scheme val="minor"/>
    </font>
    <font>
      <sz val="11"/>
      <color rgb="FFB5985A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57D31"/>
      <name val="Calibri"/>
      <family val="2"/>
      <scheme val="minor"/>
    </font>
    <font>
      <sz val="11"/>
      <color rgb="FF32CCD6"/>
      <name val="Calibri"/>
      <family val="2"/>
      <scheme val="minor"/>
    </font>
    <font>
      <sz val="11"/>
      <color rgb="FFFFC72C"/>
      <name val="Calibri"/>
      <family val="2"/>
      <scheme val="minor"/>
    </font>
    <font>
      <sz val="11"/>
      <color rgb="FFB8204F"/>
      <name val="Calibri"/>
      <family val="2"/>
      <scheme val="minor"/>
    </font>
    <font>
      <sz val="11"/>
      <color rgb="FFEA7200"/>
      <name val="Calibri"/>
      <family val="2"/>
      <scheme val="minor"/>
    </font>
    <font>
      <sz val="11"/>
      <color rgb="FFC09867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8102E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B4975A"/>
        <bgColor indexed="64"/>
      </patternFill>
    </fill>
    <fill>
      <patternFill patternType="solid">
        <fgColor rgb="FFAF1E2D"/>
        <bgColor indexed="64"/>
      </patternFill>
    </fill>
    <fill>
      <patternFill patternType="solid">
        <fgColor rgb="FF6F263D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3E7E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001F5B"/>
        <bgColor indexed="64"/>
      </patternFill>
    </fill>
    <fill>
      <patternFill patternType="solid">
        <fgColor rgb="FFB5985A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C2633"/>
        <bgColor indexed="64"/>
      </patternFill>
    </fill>
    <fill>
      <patternFill patternType="solid">
        <fgColor rgb="FFC09867"/>
        <bgColor indexed="64"/>
      </patternFill>
    </fill>
    <fill>
      <patternFill patternType="solid">
        <fgColor rgb="FFFCB514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FFC758"/>
        <bgColor indexed="64"/>
      </patternFill>
    </fill>
    <fill>
      <patternFill patternType="solid">
        <fgColor rgb="FFB2B7BB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236192"/>
        <bgColor indexed="64"/>
      </patternFill>
    </fill>
    <fill>
      <patternFill patternType="solid">
        <fgColor rgb="FF00285C"/>
        <bgColor indexed="64"/>
      </patternFill>
    </fill>
    <fill>
      <patternFill patternType="solid">
        <fgColor rgb="FFCE112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00684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2E5F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AFB7BA"/>
        <bgColor indexed="64"/>
      </patternFill>
    </fill>
    <fill>
      <patternFill patternType="solid">
        <fgColor rgb="FF026F5F"/>
        <bgColor indexed="64"/>
      </patternFill>
    </fill>
    <fill>
      <patternFill patternType="solid">
        <fgColor rgb="FFB8204F"/>
        <bgColor indexed="64"/>
      </patternFill>
    </fill>
    <fill>
      <patternFill patternType="solid">
        <fgColor rgb="FF192168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F57D31"/>
        <bgColor indexed="64"/>
      </patternFill>
    </fill>
    <fill>
      <patternFill patternType="solid">
        <fgColor rgb="FF8D9093"/>
        <bgColor indexed="64"/>
      </patternFill>
    </fill>
    <fill>
      <patternFill patternType="solid">
        <fgColor rgb="FF0038A8"/>
        <bgColor indexed="64"/>
      </patternFill>
    </fill>
    <fill>
      <patternFill patternType="solid">
        <fgColor rgb="FFC52032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74902"/>
        <bgColor indexed="64"/>
      </patternFill>
    </fill>
    <fill>
      <patternFill patternType="solid">
        <fgColor rgb="FF006D75"/>
        <bgColor indexed="64"/>
      </patternFill>
    </fill>
    <fill>
      <patternFill patternType="solid">
        <fgColor rgb="FFEA7200"/>
        <bgColor indexed="64"/>
      </patternFill>
    </fill>
    <fill>
      <patternFill patternType="solid">
        <fgColor rgb="FF001628"/>
        <bgColor indexed="64"/>
      </patternFill>
    </fill>
    <fill>
      <patternFill patternType="solid">
        <fgColor rgb="FF32CCD6"/>
        <bgColor indexed="64"/>
      </patternFill>
    </fill>
    <fill>
      <patternFill patternType="solid">
        <fgColor rgb="FF75D6FF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8E9090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B01C2C"/>
        <bgColor indexed="64"/>
      </patternFill>
    </fill>
    <fill>
      <patternFill patternType="solid">
        <fgColor rgb="FFD12030"/>
        <bgColor indexed="64"/>
      </patternFill>
    </fill>
    <fill>
      <patternFill patternType="solid">
        <fgColor rgb="FF00A668"/>
        <bgColor indexed="64"/>
      </patternFill>
    </fill>
    <fill>
      <patternFill patternType="solid">
        <fgColor rgb="FFFDB825"/>
        <bgColor indexed="64"/>
      </patternFill>
    </fill>
    <fill>
      <patternFill patternType="solid">
        <fgColor rgb="FF0071B9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79858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1E3A5F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26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0" fontId="3" fillId="2" borderId="1" xfId="2" applyFont="1" applyFill="1" applyBorder="1" applyAlignment="1">
      <alignment horizontal="center"/>
    </xf>
    <xf numFmtId="0" fontId="3" fillId="0" borderId="2" xfId="2" applyFont="1" applyBorder="1" applyAlignment="1">
      <alignment horizontal="right" wrapText="1"/>
    </xf>
    <xf numFmtId="0" fontId="3" fillId="0" borderId="2" xfId="2" applyFont="1" applyBorder="1" applyAlignment="1">
      <alignment wrapText="1"/>
    </xf>
    <xf numFmtId="0" fontId="3" fillId="2" borderId="1" xfId="3" applyFont="1" applyFill="1" applyBorder="1" applyAlignment="1">
      <alignment horizontal="center"/>
    </xf>
    <xf numFmtId="0" fontId="3" fillId="0" borderId="2" xfId="3" applyFont="1" applyBorder="1" applyAlignment="1">
      <alignment horizontal="right" wrapText="1"/>
    </xf>
    <xf numFmtId="0" fontId="3" fillId="0" borderId="2" xfId="3" applyFont="1" applyBorder="1" applyAlignment="1">
      <alignment wrapText="1"/>
    </xf>
    <xf numFmtId="0" fontId="5" fillId="3" borderId="0" xfId="0" applyFont="1" applyFill="1"/>
    <xf numFmtId="0" fontId="6" fillId="5" borderId="0" xfId="0" applyFont="1" applyFill="1"/>
    <xf numFmtId="0" fontId="7" fillId="7" borderId="0" xfId="0" applyFont="1" applyFill="1"/>
    <xf numFmtId="0" fontId="8" fillId="8" borderId="0" xfId="0" applyFont="1" applyFill="1"/>
    <xf numFmtId="0" fontId="9" fillId="4" borderId="0" xfId="0" applyFont="1" applyFill="1"/>
    <xf numFmtId="0" fontId="4" fillId="9" borderId="0" xfId="0" applyFont="1" applyFill="1"/>
    <xf numFmtId="0" fontId="10" fillId="10" borderId="0" xfId="0" applyFont="1" applyFill="1"/>
    <xf numFmtId="0" fontId="11" fillId="3" borderId="0" xfId="0" applyFont="1" applyFill="1"/>
    <xf numFmtId="0" fontId="6" fillId="3" borderId="0" xfId="0" applyFont="1" applyFill="1"/>
    <xf numFmtId="0" fontId="1" fillId="11" borderId="2" xfId="1" applyFont="1" applyFill="1" applyBorder="1" applyAlignment="1">
      <alignment wrapText="1"/>
    </xf>
    <xf numFmtId="0" fontId="1" fillId="13" borderId="2" xfId="1" applyFont="1" applyFill="1" applyBorder="1" applyAlignment="1">
      <alignment wrapText="1"/>
    </xf>
    <xf numFmtId="0" fontId="12" fillId="14" borderId="2" xfId="1" applyFont="1" applyFill="1" applyBorder="1" applyAlignment="1">
      <alignment wrapText="1"/>
    </xf>
    <xf numFmtId="0" fontId="1" fillId="15" borderId="2" xfId="1" applyFont="1" applyFill="1" applyBorder="1" applyAlignment="1">
      <alignment wrapText="1"/>
    </xf>
    <xf numFmtId="0" fontId="12" fillId="16" borderId="2" xfId="1" applyFont="1" applyFill="1" applyBorder="1" applyAlignment="1">
      <alignment wrapText="1"/>
    </xf>
    <xf numFmtId="0" fontId="13" fillId="18" borderId="2" xfId="1" applyFont="1" applyFill="1" applyBorder="1" applyAlignment="1">
      <alignment wrapText="1"/>
    </xf>
    <xf numFmtId="0" fontId="13" fillId="9" borderId="2" xfId="1" applyFont="1" applyFill="1" applyBorder="1" applyAlignment="1">
      <alignment wrapText="1"/>
    </xf>
    <xf numFmtId="0" fontId="12" fillId="4" borderId="2" xfId="1" applyFont="1" applyFill="1" applyBorder="1" applyAlignment="1">
      <alignment wrapText="1"/>
    </xf>
    <xf numFmtId="0" fontId="13" fillId="19" borderId="2" xfId="1" applyFont="1" applyFill="1" applyBorder="1" applyAlignment="1">
      <alignment wrapText="1"/>
    </xf>
    <xf numFmtId="0" fontId="13" fillId="20" borderId="2" xfId="1" applyFont="1" applyFill="1" applyBorder="1" applyAlignment="1">
      <alignment wrapText="1"/>
    </xf>
    <xf numFmtId="0" fontId="13" fillId="3" borderId="2" xfId="1" applyFont="1" applyFill="1" applyBorder="1" applyAlignment="1">
      <alignment wrapText="1"/>
    </xf>
    <xf numFmtId="0" fontId="13" fillId="21" borderId="2" xfId="1" applyFont="1" applyFill="1" applyBorder="1" applyAlignment="1">
      <alignment wrapText="1"/>
    </xf>
    <xf numFmtId="0" fontId="13" fillId="22" borderId="2" xfId="1" applyFont="1" applyFill="1" applyBorder="1" applyAlignment="1">
      <alignment wrapText="1"/>
    </xf>
    <xf numFmtId="0" fontId="13" fillId="23" borderId="2" xfId="1" applyFont="1" applyFill="1" applyBorder="1" applyAlignment="1">
      <alignment wrapText="1"/>
    </xf>
    <xf numFmtId="0" fontId="13" fillId="24" borderId="2" xfId="1" applyFont="1" applyFill="1" applyBorder="1" applyAlignment="1">
      <alignment wrapText="1"/>
    </xf>
    <xf numFmtId="0" fontId="13" fillId="25" borderId="2" xfId="1" applyFont="1" applyFill="1" applyBorder="1" applyAlignment="1">
      <alignment wrapText="1"/>
    </xf>
    <xf numFmtId="0" fontId="13" fillId="28" borderId="2" xfId="1" applyFont="1" applyFill="1" applyBorder="1" applyAlignment="1">
      <alignment wrapText="1"/>
    </xf>
    <xf numFmtId="0" fontId="13" fillId="29" borderId="2" xfId="1" applyFont="1" applyFill="1" applyBorder="1" applyAlignment="1">
      <alignment wrapText="1"/>
    </xf>
    <xf numFmtId="0" fontId="13" fillId="30" borderId="2" xfId="1" applyFont="1" applyFill="1" applyBorder="1" applyAlignment="1">
      <alignment wrapText="1"/>
    </xf>
    <xf numFmtId="0" fontId="13" fillId="31" borderId="2" xfId="1" applyFont="1" applyFill="1" applyBorder="1" applyAlignment="1">
      <alignment wrapText="1"/>
    </xf>
    <xf numFmtId="0" fontId="13" fillId="5" borderId="2" xfId="1" applyFont="1" applyFill="1" applyBorder="1" applyAlignment="1">
      <alignment wrapText="1"/>
    </xf>
    <xf numFmtId="0" fontId="13" fillId="32" borderId="2" xfId="1" applyFont="1" applyFill="1" applyBorder="1" applyAlignment="1">
      <alignment wrapText="1"/>
    </xf>
    <xf numFmtId="0" fontId="13" fillId="33" borderId="2" xfId="1" applyFont="1" applyFill="1" applyBorder="1" applyAlignment="1">
      <alignment wrapText="1"/>
    </xf>
    <xf numFmtId="0" fontId="13" fillId="34" borderId="2" xfId="1" applyFont="1" applyFill="1" applyBorder="1" applyAlignment="1">
      <alignment wrapText="1"/>
    </xf>
    <xf numFmtId="0" fontId="13" fillId="36" borderId="2" xfId="1" applyFont="1" applyFill="1" applyBorder="1" applyAlignment="1">
      <alignment wrapText="1"/>
    </xf>
    <xf numFmtId="0" fontId="13" fillId="39" borderId="2" xfId="1" applyFont="1" applyFill="1" applyBorder="1" applyAlignment="1">
      <alignment wrapText="1"/>
    </xf>
    <xf numFmtId="0" fontId="13" fillId="40" borderId="2" xfId="1" applyFont="1" applyFill="1" applyBorder="1" applyAlignment="1">
      <alignment wrapText="1"/>
    </xf>
    <xf numFmtId="0" fontId="13" fillId="43" borderId="2" xfId="1" applyFont="1" applyFill="1" applyBorder="1" applyAlignment="1">
      <alignment wrapText="1"/>
    </xf>
    <xf numFmtId="0" fontId="13" fillId="44" borderId="2" xfId="1" applyFont="1" applyFill="1" applyBorder="1" applyAlignment="1">
      <alignment wrapText="1"/>
    </xf>
    <xf numFmtId="0" fontId="13" fillId="46" borderId="2" xfId="1" applyFont="1" applyFill="1" applyBorder="1" applyAlignment="1">
      <alignment wrapText="1"/>
    </xf>
    <xf numFmtId="0" fontId="13" fillId="48" borderId="2" xfId="1" applyFont="1" applyFill="1" applyBorder="1" applyAlignment="1">
      <alignment wrapText="1"/>
    </xf>
    <xf numFmtId="0" fontId="13" fillId="49" borderId="2" xfId="1" applyFont="1" applyFill="1" applyBorder="1" applyAlignment="1">
      <alignment wrapText="1"/>
    </xf>
    <xf numFmtId="0" fontId="13" fillId="50" borderId="2" xfId="1" applyFont="1" applyFill="1" applyBorder="1" applyAlignment="1">
      <alignment wrapText="1"/>
    </xf>
    <xf numFmtId="0" fontId="13" fillId="51" borderId="2" xfId="1" applyFont="1" applyFill="1" applyBorder="1" applyAlignment="1">
      <alignment wrapText="1"/>
    </xf>
    <xf numFmtId="0" fontId="13" fillId="55" borderId="2" xfId="1" applyFont="1" applyFill="1" applyBorder="1" applyAlignment="1">
      <alignment wrapText="1"/>
    </xf>
    <xf numFmtId="0" fontId="13" fillId="56" borderId="2" xfId="1" applyFont="1" applyFill="1" applyBorder="1" applyAlignment="1">
      <alignment wrapText="1"/>
    </xf>
    <xf numFmtId="0" fontId="13" fillId="6" borderId="2" xfId="1" applyFont="1" applyFill="1" applyBorder="1" applyAlignment="1">
      <alignment wrapText="1"/>
    </xf>
    <xf numFmtId="0" fontId="13" fillId="57" borderId="2" xfId="1" applyFont="1" applyFill="1" applyBorder="1" applyAlignment="1">
      <alignment wrapText="1"/>
    </xf>
    <xf numFmtId="0" fontId="13" fillId="59" borderId="2" xfId="1" applyFont="1" applyFill="1" applyBorder="1" applyAlignment="1">
      <alignment wrapText="1"/>
    </xf>
    <xf numFmtId="0" fontId="12" fillId="45" borderId="2" xfId="1" applyFont="1" applyFill="1" applyBorder="1" applyAlignment="1">
      <alignment wrapText="1"/>
    </xf>
    <xf numFmtId="0" fontId="12" fillId="47" borderId="2" xfId="1" applyFont="1" applyFill="1" applyBorder="1" applyAlignment="1">
      <alignment wrapText="1"/>
    </xf>
    <xf numFmtId="0" fontId="12" fillId="52" borderId="2" xfId="1" applyFont="1" applyFill="1" applyBorder="1" applyAlignment="1">
      <alignment wrapText="1"/>
    </xf>
    <xf numFmtId="0" fontId="12" fillId="53" borderId="2" xfId="1" applyFont="1" applyFill="1" applyBorder="1" applyAlignment="1">
      <alignment wrapText="1"/>
    </xf>
    <xf numFmtId="0" fontId="12" fillId="10" borderId="2" xfId="1" applyFont="1" applyFill="1" applyBorder="1" applyAlignment="1">
      <alignment wrapText="1"/>
    </xf>
    <xf numFmtId="0" fontId="12" fillId="12" borderId="2" xfId="1" applyFont="1" applyFill="1" applyBorder="1" applyAlignment="1">
      <alignment wrapText="1"/>
    </xf>
    <xf numFmtId="0" fontId="12" fillId="54" borderId="2" xfId="1" applyFont="1" applyFill="1" applyBorder="1" applyAlignment="1">
      <alignment wrapText="1"/>
    </xf>
    <xf numFmtId="0" fontId="12" fillId="42" borderId="2" xfId="1" applyFont="1" applyFill="1" applyBorder="1" applyAlignment="1">
      <alignment wrapText="1"/>
    </xf>
    <xf numFmtId="0" fontId="12" fillId="41" borderId="2" xfId="1" applyFont="1" applyFill="1" applyBorder="1" applyAlignment="1">
      <alignment wrapText="1"/>
    </xf>
    <xf numFmtId="0" fontId="12" fillId="38" borderId="2" xfId="1" applyFont="1" applyFill="1" applyBorder="1" applyAlignment="1">
      <alignment wrapText="1"/>
    </xf>
    <xf numFmtId="0" fontId="12" fillId="28" borderId="2" xfId="1" applyFont="1" applyFill="1" applyBorder="1" applyAlignment="1">
      <alignment wrapText="1"/>
    </xf>
    <xf numFmtId="0" fontId="12" fillId="7" borderId="2" xfId="1" applyFont="1" applyFill="1" applyBorder="1" applyAlignment="1">
      <alignment wrapText="1"/>
    </xf>
    <xf numFmtId="0" fontId="12" fillId="37" borderId="2" xfId="1" applyFont="1" applyFill="1" applyBorder="1" applyAlignment="1">
      <alignment wrapText="1"/>
    </xf>
    <xf numFmtId="0" fontId="12" fillId="35" borderId="2" xfId="1" applyFont="1" applyFill="1" applyBorder="1" applyAlignment="1">
      <alignment wrapText="1"/>
    </xf>
    <xf numFmtId="0" fontId="12" fillId="3" borderId="2" xfId="1" applyFont="1" applyFill="1" applyBorder="1" applyAlignment="1">
      <alignment wrapText="1"/>
    </xf>
    <xf numFmtId="0" fontId="12" fillId="27" borderId="2" xfId="1" applyFont="1" applyFill="1" applyBorder="1" applyAlignment="1">
      <alignment wrapText="1"/>
    </xf>
    <xf numFmtId="0" fontId="12" fillId="8" borderId="2" xfId="1" applyFont="1" applyFill="1" applyBorder="1" applyAlignment="1">
      <alignment wrapText="1"/>
    </xf>
    <xf numFmtId="0" fontId="12" fillId="26" borderId="2" xfId="1" applyFont="1" applyFill="1" applyBorder="1" applyAlignment="1">
      <alignment wrapText="1"/>
    </xf>
    <xf numFmtId="0" fontId="12" fillId="17" borderId="2" xfId="1" applyFont="1" applyFill="1" applyBorder="1" applyAlignment="1">
      <alignment wrapText="1"/>
    </xf>
    <xf numFmtId="0" fontId="12" fillId="58" borderId="2" xfId="1" applyFont="1" applyFill="1" applyBorder="1" applyAlignment="1">
      <alignment wrapText="1"/>
    </xf>
    <xf numFmtId="0" fontId="4" fillId="15" borderId="0" xfId="0" applyFont="1" applyFill="1"/>
    <xf numFmtId="0" fontId="14" fillId="60" borderId="0" xfId="0" applyFont="1" applyFill="1"/>
    <xf numFmtId="0" fontId="15" fillId="61" borderId="0" xfId="0" applyFont="1" applyFill="1"/>
    <xf numFmtId="0" fontId="14" fillId="10" borderId="0" xfId="0" applyFont="1" applyFill="1"/>
    <xf numFmtId="0" fontId="15" fillId="62" borderId="0" xfId="0" applyFont="1" applyFill="1"/>
    <xf numFmtId="0" fontId="15" fillId="63" borderId="0" xfId="0" applyFont="1" applyFill="1"/>
    <xf numFmtId="0" fontId="16" fillId="0" borderId="2" xfId="2" applyFont="1" applyBorder="1" applyAlignment="1">
      <alignment wrapText="1"/>
    </xf>
    <xf numFmtId="0" fontId="16" fillId="61" borderId="2" xfId="2" applyFont="1" applyFill="1" applyBorder="1" applyAlignment="1">
      <alignment wrapText="1"/>
    </xf>
    <xf numFmtId="0" fontId="16" fillId="63" borderId="2" xfId="2" applyFont="1" applyFill="1" applyBorder="1" applyAlignment="1">
      <alignment wrapText="1"/>
    </xf>
    <xf numFmtId="0" fontId="16" fillId="64" borderId="2" xfId="2" applyFont="1" applyFill="1" applyBorder="1" applyAlignment="1">
      <alignment wrapText="1"/>
    </xf>
    <xf numFmtId="0" fontId="16" fillId="62" borderId="2" xfId="2" applyFont="1" applyFill="1" applyBorder="1" applyAlignment="1">
      <alignment wrapText="1"/>
    </xf>
    <xf numFmtId="0" fontId="16" fillId="66" borderId="2" xfId="2" applyFont="1" applyFill="1" applyBorder="1" applyAlignment="1">
      <alignment wrapText="1"/>
    </xf>
    <xf numFmtId="0" fontId="17" fillId="65" borderId="2" xfId="2" applyFont="1" applyFill="1" applyBorder="1" applyAlignment="1">
      <alignment wrapText="1"/>
    </xf>
    <xf numFmtId="0" fontId="15" fillId="64" borderId="0" xfId="0" applyFont="1" applyFill="1"/>
    <xf numFmtId="0" fontId="18" fillId="12" borderId="0" xfId="0" applyFont="1" applyFill="1"/>
    <xf numFmtId="0" fontId="19" fillId="10" borderId="0" xfId="0" applyFont="1" applyFill="1"/>
    <xf numFmtId="0" fontId="20" fillId="41" borderId="0" xfId="0" applyFont="1" applyFill="1"/>
    <xf numFmtId="0" fontId="21" fillId="4" borderId="0" xfId="0" applyFont="1" applyFill="1"/>
    <xf numFmtId="0" fontId="22" fillId="11" borderId="0" xfId="0" applyFont="1" applyFill="1"/>
    <xf numFmtId="0" fontId="4" fillId="25" borderId="0" xfId="0" applyFont="1" applyFill="1"/>
    <xf numFmtId="0" fontId="0" fillId="0" borderId="3" xfId="0" applyBorder="1"/>
    <xf numFmtId="0" fontId="6" fillId="9" borderId="0" xfId="0" applyFont="1" applyFill="1"/>
    <xf numFmtId="0" fontId="23" fillId="28" borderId="0" xfId="0" applyFont="1" applyFill="1"/>
    <xf numFmtId="0" fontId="24" fillId="38" borderId="0" xfId="0" applyFont="1" applyFill="1"/>
    <xf numFmtId="0" fontId="25" fillId="47" borderId="0" xfId="0" applyFont="1" applyFill="1"/>
    <xf numFmtId="0" fontId="23" fillId="23" borderId="0" xfId="0" applyFont="1" applyFill="1"/>
    <xf numFmtId="0" fontId="26" fillId="6" borderId="0" xfId="0" applyFont="1" applyFill="1"/>
    <xf numFmtId="0" fontId="27" fillId="35" borderId="0" xfId="0" applyFont="1" applyFill="1"/>
    <xf numFmtId="0" fontId="28" fillId="45" borderId="0" xfId="0" applyFont="1" applyFill="1"/>
    <xf numFmtId="49" fontId="0" fillId="0" borderId="0" xfId="0" applyNumberFormat="1"/>
    <xf numFmtId="0" fontId="23" fillId="53" borderId="0" xfId="0" applyFont="1" applyFill="1"/>
    <xf numFmtId="0" fontId="23" fillId="30" borderId="0" xfId="0" applyFont="1" applyFill="1"/>
    <xf numFmtId="0" fontId="20" fillId="27" borderId="0" xfId="0" applyFont="1" applyFill="1"/>
    <xf numFmtId="0" fontId="0" fillId="44" borderId="0" xfId="0" applyFill="1"/>
    <xf numFmtId="0" fontId="0" fillId="28" borderId="0" xfId="0" applyFill="1"/>
    <xf numFmtId="0" fontId="21" fillId="52" borderId="0" xfId="0" applyFont="1" applyFill="1"/>
    <xf numFmtId="0" fontId="29" fillId="17" borderId="0" xfId="0" applyFont="1" applyFill="1"/>
    <xf numFmtId="0" fontId="4" fillId="42" borderId="0" xfId="0" applyFont="1" applyFill="1"/>
    <xf numFmtId="0" fontId="0" fillId="0" borderId="0" xfId="0" applyAlignment="1">
      <alignment horizontal="center"/>
    </xf>
    <xf numFmtId="0" fontId="0" fillId="67" borderId="0" xfId="0" applyFill="1"/>
    <xf numFmtId="1" fontId="0" fillId="0" borderId="0" xfId="0" applyNumberFormat="1"/>
    <xf numFmtId="0" fontId="1" fillId="0" borderId="4" xfId="1" applyFont="1" applyBorder="1" applyAlignment="1">
      <alignment horizontal="right" wrapText="1"/>
    </xf>
    <xf numFmtId="0" fontId="1" fillId="0" borderId="4" xfId="1" applyFont="1" applyBorder="1" applyAlignment="1">
      <alignment wrapText="1"/>
    </xf>
    <xf numFmtId="0" fontId="23" fillId="68" borderId="0" xfId="0" applyFont="1" applyFill="1"/>
    <xf numFmtId="0" fontId="0" fillId="69" borderId="0" xfId="0" applyFill="1"/>
    <xf numFmtId="0" fontId="23" fillId="70" borderId="0" xfId="0" applyFont="1" applyFill="1"/>
  </cellXfs>
  <cellStyles count="4">
    <cellStyle name="Normal" xfId="0" builtinId="0"/>
    <cellStyle name="Normal_Conferences" xfId="3" xr:uid="{59816597-ABCF-4B82-A286-4C88DBD8B621}"/>
    <cellStyle name="Normal_Sheet2" xfId="1" xr:uid="{69FADD1F-7B81-45C8-97A5-762E6B51E817}"/>
    <cellStyle name="Normal_Sheet3" xfId="2" xr:uid="{5C6960C6-969E-48F5-B971-0349F7B119B9}"/>
  </cellStyles>
  <dxfs count="6"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1E3A5F"/>
      <color rgb="FFF8F8F8"/>
      <color rgb="FF2B2B2B"/>
      <color rgb="FFC52032"/>
      <color rgb="FFC09867"/>
      <color rgb="FF8C2633"/>
      <color rgb="FFFCB514"/>
      <color rgb="FF002F87"/>
      <color rgb="FFCE1126"/>
      <color rgb="FFF749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9B2D-C512-45BC-B3FC-D11B0E955F0A}">
  <sheetPr codeName="Sheet1"/>
  <dimension ref="A1:AV104"/>
  <sheetViews>
    <sheetView tabSelected="1" topLeftCell="A58" workbookViewId="0">
      <pane xSplit="12" topLeftCell="M1" activePane="topRight" state="frozen"/>
      <selection pane="topRight" activeCell="A2" sqref="A2"/>
    </sheetView>
  </sheetViews>
  <sheetFormatPr defaultRowHeight="15" x14ac:dyDescent="0.25"/>
  <cols>
    <col min="2" max="2" width="10.42578125" bestFit="1" customWidth="1"/>
    <col min="3" max="3" width="12.140625" bestFit="1" customWidth="1"/>
    <col min="4" max="5" width="12.140625" customWidth="1"/>
    <col min="6" max="6" width="16.42578125" customWidth="1"/>
    <col min="7" max="7" width="21.42578125" bestFit="1" customWidth="1"/>
    <col min="8" max="8" width="11.28515625" bestFit="1" customWidth="1"/>
    <col min="9" max="9" width="12.7109375" bestFit="1" customWidth="1"/>
    <col min="10" max="10" width="7.85546875" customWidth="1"/>
    <col min="11" max="11" width="11.42578125" bestFit="1" customWidth="1"/>
    <col min="12" max="12" width="12.7109375" bestFit="1" customWidth="1"/>
    <col min="13" max="15" width="10.85546875" customWidth="1"/>
    <col min="16" max="16" width="13.5703125" bestFit="1" customWidth="1"/>
    <col min="17" max="17" width="29" bestFit="1" customWidth="1"/>
    <col min="18" max="18" width="11.7109375" bestFit="1" customWidth="1"/>
    <col min="19" max="19" width="13.42578125" bestFit="1" customWidth="1"/>
    <col min="20" max="20" width="13.42578125" customWidth="1"/>
    <col min="21" max="21" width="13.42578125" style="118" customWidth="1"/>
    <col min="22" max="22" width="15" bestFit="1" customWidth="1"/>
    <col min="23" max="23" width="13.42578125" customWidth="1"/>
    <col min="24" max="24" width="26.85546875" bestFit="1" customWidth="1"/>
    <col min="25" max="25" width="13.42578125" style="109" customWidth="1"/>
    <col min="26" max="33" width="13.42578125" customWidth="1"/>
    <col min="34" max="34" width="7" bestFit="1" customWidth="1"/>
    <col min="35" max="35" width="7" customWidth="1"/>
    <col min="37" max="37" width="13.42578125" bestFit="1" customWidth="1"/>
    <col min="38" max="38" width="10.42578125" bestFit="1" customWidth="1"/>
    <col min="40" max="40" width="11.140625" bestFit="1" customWidth="1"/>
    <col min="41" max="41" width="10.7109375" bestFit="1" customWidth="1"/>
    <col min="42" max="42" width="12.85546875" customWidth="1"/>
    <col min="43" max="43" width="12.42578125" customWidth="1"/>
    <col min="44" max="44" width="10.42578125" style="120" bestFit="1" customWidth="1"/>
    <col min="45" max="45" width="12.42578125" style="120" bestFit="1" customWidth="1"/>
    <col min="46" max="46" width="15.140625" customWidth="1"/>
    <col min="47" max="47" width="59" bestFit="1" customWidth="1"/>
  </cols>
  <sheetData>
    <row r="1" spans="1:48" x14ac:dyDescent="0.25">
      <c r="A1" t="s">
        <v>488</v>
      </c>
      <c r="B1" t="s">
        <v>11</v>
      </c>
      <c r="C1" t="s">
        <v>12</v>
      </c>
      <c r="D1" t="s">
        <v>362</v>
      </c>
      <c r="E1" t="s">
        <v>76</v>
      </c>
      <c r="F1" t="s">
        <v>77</v>
      </c>
      <c r="G1" s="80" t="s">
        <v>13</v>
      </c>
      <c r="H1" s="80" t="s">
        <v>33</v>
      </c>
      <c r="I1" s="80" t="s">
        <v>34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  <c r="AT1" t="s">
        <v>482</v>
      </c>
      <c r="AU1" t="s">
        <v>714</v>
      </c>
      <c r="AV1" t="s">
        <v>744</v>
      </c>
    </row>
    <row r="2" spans="1:48" x14ac:dyDescent="0.25">
      <c r="A2">
        <v>0</v>
      </c>
      <c r="B2" s="1">
        <v>45071</v>
      </c>
      <c r="C2" s="1">
        <v>45091</v>
      </c>
      <c r="D2" s="1">
        <v>45091</v>
      </c>
      <c r="E2" s="2">
        <f t="shared" ref="E2:E10" ca="1" si="0">IF(ISBLANK(C2), (NOW()-B2), (C2-B2))</f>
        <v>20</v>
      </c>
      <c r="F2" s="2">
        <f t="shared" ref="F2:F10" ca="1" si="1">IF(ISBLANK(C2), 0, NOW()-C2)</f>
        <v>461.49387500000012</v>
      </c>
      <c r="G2" s="12" t="s">
        <v>0</v>
      </c>
      <c r="H2" s="81" t="str">
        <f>IF(ISBLANK(G2), "", VLOOKUP(VLOOKUP(G2, NHLTeams!$B$2:$F$33, 4,FALSE), Conferences!$A$2:$B$3, 2,FALSE))</f>
        <v>Eastern</v>
      </c>
      <c r="I2" s="82" t="str">
        <f>IF(ISBLANK(G2), "", VLOOKUP(VLOOKUP(G2, NHLTeams!$B$2:$F$33, 5, FALSE), Divisions!$A$2:$B$5, 2, FALSE))</f>
        <v>Atlantic</v>
      </c>
      <c r="J2" t="s">
        <v>53</v>
      </c>
      <c r="K2" t="s">
        <v>1</v>
      </c>
      <c r="L2" t="s">
        <v>2</v>
      </c>
      <c r="M2">
        <v>19</v>
      </c>
      <c r="N2">
        <v>0</v>
      </c>
      <c r="O2">
        <v>0</v>
      </c>
      <c r="P2" t="s">
        <v>75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:AG65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9777</v>
      </c>
      <c r="AS2" s="120">
        <f t="shared" ref="AS2:AS33" si="3">IF(ISBLANK($AL2), 0, DATE(YEAR("1995-08-3"),MONTH("1995-08-3"), DAY("1995-08-3")) - DATE(YEAR($AL2),MONTH($AL2), DAY($AL2)))</f>
        <v>-861</v>
      </c>
      <c r="AT2">
        <v>0</v>
      </c>
      <c r="AU2" t="s">
        <v>715</v>
      </c>
      <c r="AV2">
        <v>8479314</v>
      </c>
    </row>
    <row r="3" spans="1:48" x14ac:dyDescent="0.25">
      <c r="A3">
        <v>1</v>
      </c>
      <c r="B3" s="1">
        <v>45193</v>
      </c>
      <c r="C3" s="1">
        <v>45205</v>
      </c>
      <c r="D3" s="1">
        <v>45205</v>
      </c>
      <c r="E3" s="2">
        <f t="shared" ca="1" si="0"/>
        <v>12</v>
      </c>
      <c r="F3" s="2">
        <f t="shared" ca="1" si="1"/>
        <v>347.49387500000012</v>
      </c>
      <c r="G3" s="19" t="s">
        <v>5</v>
      </c>
      <c r="H3" s="83" t="str">
        <f>IF(ISBLANK(G3), "", VLOOKUP(VLOOKUP(G3, NHLTeams!$B$2:$F$33, 4,FALSE), Conferences!$A$2:$B$3, 2,FALSE))</f>
        <v>Western</v>
      </c>
      <c r="I3" s="84" t="str">
        <f>IF(ISBLANK(G3), "", VLOOKUP(VLOOKUP(G3, NHLTeams!$B$2:$F$33, 5, FALSE), Divisions!$A$2:$B$5, 2, FALSE))</f>
        <v>Pacific</v>
      </c>
      <c r="J3" t="s">
        <v>53</v>
      </c>
      <c r="K3" t="s">
        <v>7</v>
      </c>
      <c r="L3" t="s">
        <v>8</v>
      </c>
      <c r="M3">
        <v>10</v>
      </c>
      <c r="N3">
        <v>0</v>
      </c>
      <c r="O3">
        <v>0</v>
      </c>
      <c r="P3" t="s">
        <v>293</v>
      </c>
      <c r="Q3" t="s">
        <v>4</v>
      </c>
      <c r="R3" t="s">
        <v>3</v>
      </c>
      <c r="S3" t="s">
        <v>22</v>
      </c>
      <c r="U3" s="118">
        <v>56</v>
      </c>
      <c r="V3" t="s">
        <v>302</v>
      </c>
      <c r="W3" t="s">
        <v>303</v>
      </c>
      <c r="X3" t="s">
        <v>372</v>
      </c>
      <c r="Y3" s="109" t="s">
        <v>380</v>
      </c>
      <c r="AA3">
        <v>249.99</v>
      </c>
      <c r="AB3">
        <v>0</v>
      </c>
      <c r="AC3">
        <f>15.99/4</f>
        <v>3.9975000000000001</v>
      </c>
      <c r="AD3">
        <v>0</v>
      </c>
      <c r="AF3">
        <f t="shared" ref="AF3:AF62" si="4">(SUM(AA3:AC3)-AD3)*0.15</f>
        <v>38.098125000000003</v>
      </c>
      <c r="AG3">
        <f t="shared" si="2"/>
        <v>292.08562499999999</v>
      </c>
      <c r="AH3">
        <v>305.87</v>
      </c>
      <c r="AI3">
        <v>0</v>
      </c>
      <c r="AJ3">
        <v>0</v>
      </c>
      <c r="AL3" s="1">
        <v>34124</v>
      </c>
      <c r="AN3" t="s">
        <v>63</v>
      </c>
      <c r="AP3" t="s">
        <v>333</v>
      </c>
      <c r="AQ3" t="s">
        <v>338</v>
      </c>
      <c r="AR3" s="120">
        <f ca="1">DATE(YEAR(NOW()),MONTH(NOW()), DAY(NOW())) - DATE(YEAR($AL3),MONTH($AL3), DAY($AL3))</f>
        <v>11428</v>
      </c>
      <c r="AS3" s="120">
        <f t="shared" si="3"/>
        <v>790</v>
      </c>
      <c r="AT3">
        <v>0</v>
      </c>
      <c r="AU3" t="s">
        <v>716</v>
      </c>
      <c r="AV3">
        <v>8476456</v>
      </c>
    </row>
    <row r="4" spans="1:48" x14ac:dyDescent="0.25">
      <c r="A4">
        <v>2</v>
      </c>
      <c r="B4" s="1">
        <v>45194</v>
      </c>
      <c r="C4" s="1">
        <v>45202</v>
      </c>
      <c r="D4" s="1">
        <v>45202</v>
      </c>
      <c r="E4" s="2">
        <f t="shared" ca="1" si="0"/>
        <v>8</v>
      </c>
      <c r="F4" s="2">
        <f t="shared" ca="1" si="1"/>
        <v>350.49387500000012</v>
      </c>
      <c r="G4" s="13" t="s">
        <v>6</v>
      </c>
      <c r="H4" s="83" t="str">
        <f>IF(ISBLANK(G4), "", VLOOKUP(VLOOKUP(G4, NHLTeams!$B$2:$F$33, 4,FALSE), Conferences!$A$2:$B$3, 2,FALSE))</f>
        <v>Western</v>
      </c>
      <c r="I4" s="84" t="str">
        <f>IF(ISBLANK(G4), "", VLOOKUP(VLOOKUP(G4, NHLTeams!$B$2:$F$33, 5, FALSE), Divisions!$A$2:$B$5, 2, FALSE))</f>
        <v>Pacific</v>
      </c>
      <c r="J4" t="s">
        <v>53</v>
      </c>
      <c r="K4" t="s">
        <v>9</v>
      </c>
      <c r="L4" t="s">
        <v>454</v>
      </c>
      <c r="M4">
        <v>97</v>
      </c>
      <c r="N4">
        <v>1</v>
      </c>
      <c r="O4">
        <v>0</v>
      </c>
      <c r="P4" t="s">
        <v>293</v>
      </c>
      <c r="Q4" t="s">
        <v>4</v>
      </c>
      <c r="R4" t="s">
        <v>10</v>
      </c>
      <c r="S4" t="s">
        <v>21</v>
      </c>
      <c r="U4" s="118">
        <v>56</v>
      </c>
      <c r="V4" t="s">
        <v>302</v>
      </c>
      <c r="W4" t="s">
        <v>303</v>
      </c>
      <c r="X4" t="s">
        <v>372</v>
      </c>
      <c r="Y4" s="109" t="s">
        <v>420</v>
      </c>
      <c r="AA4">
        <v>249.99</v>
      </c>
      <c r="AB4">
        <v>0</v>
      </c>
      <c r="AC4">
        <v>11.99</v>
      </c>
      <c r="AD4">
        <v>75</v>
      </c>
      <c r="AE4" t="s">
        <v>50</v>
      </c>
      <c r="AF4">
        <f t="shared" si="4"/>
        <v>28.047000000000001</v>
      </c>
      <c r="AG4">
        <f t="shared" si="2"/>
        <v>215.02700000000002</v>
      </c>
      <c r="AH4">
        <v>215.03</v>
      </c>
      <c r="AI4">
        <v>0</v>
      </c>
      <c r="AJ4">
        <v>0</v>
      </c>
      <c r="AL4" s="1">
        <v>35443</v>
      </c>
      <c r="AN4" t="s">
        <v>59</v>
      </c>
      <c r="AP4" t="s">
        <v>348</v>
      </c>
      <c r="AQ4" t="s">
        <v>349</v>
      </c>
      <c r="AR4" s="120">
        <f ca="1">DATE(YEAR(NOW()),MONTH(NOW()), DAY(NOW())) - DATE(YEAR($AL4),MONTH($AL4), DAY($AL4))</f>
        <v>10109</v>
      </c>
      <c r="AS4" s="120">
        <f t="shared" si="3"/>
        <v>-529</v>
      </c>
      <c r="AT4">
        <v>0</v>
      </c>
      <c r="AV4">
        <v>8478402</v>
      </c>
    </row>
    <row r="5" spans="1:48" x14ac:dyDescent="0.25">
      <c r="A5">
        <v>3</v>
      </c>
      <c r="B5" s="1">
        <v>45199</v>
      </c>
      <c r="C5" s="1">
        <v>45209</v>
      </c>
      <c r="D5" s="1">
        <v>45209</v>
      </c>
      <c r="E5" s="2">
        <f t="shared" ca="1" si="0"/>
        <v>10</v>
      </c>
      <c r="F5" s="2">
        <f t="shared" ca="1" si="1"/>
        <v>343.49387500000012</v>
      </c>
      <c r="G5" s="20" t="s">
        <v>24</v>
      </c>
      <c r="H5" s="81" t="str">
        <f>IF(ISBLANK(G5), "", VLOOKUP(VLOOKUP(G5, NHLTeams!$B$2:$F$33, 4,FALSE), Conferences!$A$2:$B$3, 2,FALSE))</f>
        <v>Eastern</v>
      </c>
      <c r="I5" s="85" t="str">
        <f>IF(ISBLANK(G5), "", VLOOKUP(VLOOKUP(G5, NHLTeams!$B$2:$F$33, 5, FALSE), Divisions!$A$2:$B$5, 2, FALSE))</f>
        <v>Metropolitan</v>
      </c>
      <c r="J5" t="s">
        <v>53</v>
      </c>
      <c r="K5" t="s">
        <v>27</v>
      </c>
      <c r="L5" t="s">
        <v>31</v>
      </c>
      <c r="M5">
        <v>8</v>
      </c>
      <c r="N5">
        <v>1</v>
      </c>
      <c r="O5">
        <v>0</v>
      </c>
      <c r="P5" t="s">
        <v>297</v>
      </c>
      <c r="Q5" t="s">
        <v>4</v>
      </c>
      <c r="R5" t="s">
        <v>3</v>
      </c>
      <c r="S5" t="s">
        <v>20</v>
      </c>
      <c r="U5" s="118">
        <v>56</v>
      </c>
      <c r="V5" t="s">
        <v>302</v>
      </c>
      <c r="W5" t="s">
        <v>303</v>
      </c>
      <c r="X5" t="s">
        <v>372</v>
      </c>
      <c r="Y5" s="109" t="s">
        <v>382</v>
      </c>
      <c r="AA5">
        <v>249.99</v>
      </c>
      <c r="AC5">
        <f>15.99/12</f>
        <v>1.3325</v>
      </c>
      <c r="AD5">
        <f>249.99/4</f>
        <v>62.497500000000002</v>
      </c>
      <c r="AE5" t="s">
        <v>51</v>
      </c>
      <c r="AF5">
        <f t="shared" si="4"/>
        <v>28.32375</v>
      </c>
      <c r="AG5">
        <f t="shared" si="2"/>
        <v>217.14875000000001</v>
      </c>
      <c r="AI5">
        <v>0</v>
      </c>
      <c r="AJ5">
        <v>0</v>
      </c>
      <c r="AL5" s="1">
        <v>31307</v>
      </c>
      <c r="AN5" t="s">
        <v>58</v>
      </c>
      <c r="AP5" t="s">
        <v>341</v>
      </c>
      <c r="AQ5" t="s">
        <v>342</v>
      </c>
      <c r="AR5" s="120">
        <f ca="1">DATE(YEAR(NOW()),MONTH(NOW()), DAY(NOW())) - DATE(YEAR($AL5),MONTH($AL5), DAY($AL5))</f>
        <v>14245</v>
      </c>
      <c r="AS5" s="120">
        <f t="shared" si="3"/>
        <v>3607</v>
      </c>
      <c r="AT5">
        <v>0</v>
      </c>
      <c r="AV5">
        <v>8471214</v>
      </c>
    </row>
    <row r="6" spans="1:48" x14ac:dyDescent="0.25">
      <c r="A6">
        <v>4</v>
      </c>
      <c r="B6" s="1">
        <v>45199</v>
      </c>
      <c r="C6" s="1">
        <v>45209</v>
      </c>
      <c r="D6" s="1">
        <v>45209</v>
      </c>
      <c r="E6" s="2">
        <f t="shared" ca="1" si="0"/>
        <v>10</v>
      </c>
      <c r="F6" s="2">
        <f t="shared" ca="1" si="1"/>
        <v>343.49387500000012</v>
      </c>
      <c r="G6" s="14" t="s">
        <v>25</v>
      </c>
      <c r="H6" s="81" t="str">
        <f>IF(ISBLANK(G6), "", VLOOKUP(VLOOKUP(G6, NHLTeams!$B$2:$F$33, 4,FALSE), Conferences!$A$2:$B$3, 2,FALSE))</f>
        <v>Eastern</v>
      </c>
      <c r="I6" s="82" t="str">
        <f>IF(ISBLANK(G6), "", VLOOKUP(VLOOKUP(G6, NHLTeams!$B$2:$F$33, 5, FALSE), Divisions!$A$2:$B$5, 2, FALSE))</f>
        <v>Atlantic</v>
      </c>
      <c r="J6" t="s">
        <v>259</v>
      </c>
      <c r="K6" t="s">
        <v>28</v>
      </c>
      <c r="L6" t="s">
        <v>17</v>
      </c>
      <c r="M6">
        <v>31</v>
      </c>
      <c r="N6">
        <v>0</v>
      </c>
      <c r="O6">
        <v>0</v>
      </c>
      <c r="P6" t="s">
        <v>293</v>
      </c>
      <c r="Q6" t="s">
        <v>4</v>
      </c>
      <c r="R6" t="s">
        <v>3</v>
      </c>
      <c r="S6" t="s">
        <v>10</v>
      </c>
      <c r="U6" s="118">
        <v>56</v>
      </c>
      <c r="V6" t="s">
        <v>302</v>
      </c>
      <c r="W6" t="s">
        <v>303</v>
      </c>
      <c r="X6" t="s">
        <v>372</v>
      </c>
      <c r="Y6" s="109" t="s">
        <v>721</v>
      </c>
      <c r="AA6">
        <v>249.99</v>
      </c>
      <c r="AC6">
        <f>15.99/12</f>
        <v>1.3325</v>
      </c>
      <c r="AD6">
        <f>249.99/4</f>
        <v>62.497500000000002</v>
      </c>
      <c r="AE6" t="s">
        <v>51</v>
      </c>
      <c r="AF6">
        <f t="shared" si="4"/>
        <v>28.32375</v>
      </c>
      <c r="AG6">
        <f t="shared" si="2"/>
        <v>217.14875000000001</v>
      </c>
      <c r="AI6">
        <v>0</v>
      </c>
      <c r="AJ6">
        <v>0</v>
      </c>
      <c r="AL6" s="1">
        <v>32005</v>
      </c>
      <c r="AM6">
        <v>2023</v>
      </c>
      <c r="AN6" t="s">
        <v>61</v>
      </c>
      <c r="AO6" t="s">
        <v>62</v>
      </c>
      <c r="AP6" t="s">
        <v>343</v>
      </c>
      <c r="AQ6" t="s">
        <v>344</v>
      </c>
      <c r="AR6" s="120">
        <f ca="1">DATE(YEAR(NOW()),MONTH(NOW()), DAY(NOW())) - DATE(YEAR($AL6),MONTH($AL6), DAY($AL6))</f>
        <v>13547</v>
      </c>
      <c r="AS6" s="120">
        <f t="shared" si="3"/>
        <v>2909</v>
      </c>
      <c r="AT6">
        <v>0</v>
      </c>
      <c r="AV6">
        <v>8471679</v>
      </c>
    </row>
    <row r="7" spans="1:48" x14ac:dyDescent="0.25">
      <c r="A7">
        <v>5</v>
      </c>
      <c r="B7" s="1">
        <v>45199</v>
      </c>
      <c r="C7" s="1">
        <v>45209</v>
      </c>
      <c r="D7" s="1">
        <v>45209</v>
      </c>
      <c r="E7" s="2">
        <f t="shared" ca="1" si="0"/>
        <v>10</v>
      </c>
      <c r="F7" s="2">
        <f t="shared" ca="1" si="1"/>
        <v>343.49387500000012</v>
      </c>
      <c r="G7" s="15" t="s">
        <v>26</v>
      </c>
      <c r="H7" s="83" t="str">
        <f>IF(ISBLANK(G7), "", VLOOKUP(VLOOKUP(G7, NHLTeams!$B$2:$F$33, 4,FALSE), Conferences!$A$2:$B$3, 2,FALSE))</f>
        <v>Western</v>
      </c>
      <c r="I7" s="93" t="str">
        <f>IF(ISBLANK(G7), "", VLOOKUP(VLOOKUP(G7, NHLTeams!$B$2:$F$33, 5, FALSE), Divisions!$A$2:$B$5, 2, FALSE))</f>
        <v>Central</v>
      </c>
      <c r="J7" t="s">
        <v>53</v>
      </c>
      <c r="K7" t="s">
        <v>29</v>
      </c>
      <c r="L7" t="s">
        <v>30</v>
      </c>
      <c r="M7">
        <v>29</v>
      </c>
      <c r="N7">
        <v>0</v>
      </c>
      <c r="O7">
        <v>0</v>
      </c>
      <c r="P7" t="s">
        <v>293</v>
      </c>
      <c r="Q7" t="s">
        <v>4</v>
      </c>
      <c r="R7" t="s">
        <v>32</v>
      </c>
      <c r="S7" t="s">
        <v>10</v>
      </c>
      <c r="U7" s="118">
        <v>56</v>
      </c>
      <c r="V7" t="s">
        <v>302</v>
      </c>
      <c r="W7" t="s">
        <v>303</v>
      </c>
      <c r="X7" t="s">
        <v>372</v>
      </c>
      <c r="Y7" s="109" t="s">
        <v>420</v>
      </c>
      <c r="AA7">
        <v>249.99</v>
      </c>
      <c r="AC7">
        <f>15.99/12</f>
        <v>1.3325</v>
      </c>
      <c r="AD7">
        <f>249.99/4</f>
        <v>62.497500000000002</v>
      </c>
      <c r="AE7" t="s">
        <v>51</v>
      </c>
      <c r="AF7">
        <f t="shared" si="4"/>
        <v>28.32375</v>
      </c>
      <c r="AG7">
        <f t="shared" si="2"/>
        <v>217.14875000000001</v>
      </c>
      <c r="AI7">
        <v>0</v>
      </c>
      <c r="AJ7">
        <v>0</v>
      </c>
      <c r="AL7" s="1">
        <v>34943</v>
      </c>
      <c r="AN7" t="s">
        <v>60</v>
      </c>
      <c r="AP7" t="s">
        <v>345</v>
      </c>
      <c r="AQ7" t="s">
        <v>346</v>
      </c>
      <c r="AR7" s="120">
        <f t="shared" ref="AR7:AR70" ca="1" si="5">NOW()-AL7</f>
        <v>10609.493875</v>
      </c>
      <c r="AS7" s="120">
        <f t="shared" si="3"/>
        <v>-29</v>
      </c>
      <c r="AT7">
        <v>0</v>
      </c>
      <c r="AV7">
        <v>8477492</v>
      </c>
    </row>
    <row r="8" spans="1:48" x14ac:dyDescent="0.25">
      <c r="A8">
        <v>6</v>
      </c>
      <c r="B8" s="1">
        <v>45201</v>
      </c>
      <c r="C8" s="1">
        <v>45205</v>
      </c>
      <c r="D8" s="1">
        <v>45205</v>
      </c>
      <c r="E8" s="2">
        <f t="shared" ca="1" si="0"/>
        <v>4</v>
      </c>
      <c r="F8" s="2">
        <f t="shared" ca="1" si="1"/>
        <v>347.49387500000012</v>
      </c>
      <c r="G8" s="16" t="s">
        <v>65</v>
      </c>
      <c r="H8" s="83" t="str">
        <f>IF(ISBLANK(G8), "", VLOOKUP(VLOOKUP(G8, NHLTeams!$B$2:$F$33, 4,FALSE), Conferences!$A$2:$B$3, 2,FALSE))</f>
        <v>Western</v>
      </c>
      <c r="I8" s="93" t="str">
        <f>IF(ISBLANK(G8), "", VLOOKUP(VLOOKUP(G8, NHLTeams!$B$2:$F$33, 5, FALSE), Divisions!$A$2:$B$5, 2, FALSE))</f>
        <v>Central</v>
      </c>
      <c r="J8" t="s">
        <v>53</v>
      </c>
      <c r="K8" t="s">
        <v>68</v>
      </c>
      <c r="L8" t="s">
        <v>69</v>
      </c>
      <c r="M8">
        <v>26</v>
      </c>
      <c r="N8">
        <v>1</v>
      </c>
      <c r="O8">
        <v>0</v>
      </c>
      <c r="P8" t="s">
        <v>75</v>
      </c>
      <c r="Q8" t="s">
        <v>4</v>
      </c>
      <c r="R8" t="s">
        <v>287</v>
      </c>
      <c r="S8" t="s">
        <v>20</v>
      </c>
      <c r="U8" s="118">
        <v>56</v>
      </c>
      <c r="V8" t="s">
        <v>302</v>
      </c>
      <c r="W8" t="s">
        <v>303</v>
      </c>
      <c r="X8" t="s">
        <v>372</v>
      </c>
      <c r="Y8" s="109" t="s">
        <v>379</v>
      </c>
      <c r="AA8">
        <v>249.99</v>
      </c>
      <c r="AC8">
        <f>15.99/3</f>
        <v>5.33</v>
      </c>
      <c r="AE8">
        <v>75.989999999999995</v>
      </c>
      <c r="AF8">
        <f t="shared" si="4"/>
        <v>38.298000000000002</v>
      </c>
      <c r="AG8">
        <f t="shared" si="2"/>
        <v>293.61800000000005</v>
      </c>
      <c r="AI8">
        <v>0</v>
      </c>
      <c r="AJ8">
        <v>0</v>
      </c>
      <c r="AL8" s="1">
        <v>31655</v>
      </c>
      <c r="AN8" t="s">
        <v>260</v>
      </c>
      <c r="AP8" t="s">
        <v>350</v>
      </c>
      <c r="AQ8" t="s">
        <v>351</v>
      </c>
      <c r="AR8" s="120">
        <f t="shared" ca="1" si="5"/>
        <v>13897.493875</v>
      </c>
      <c r="AS8" s="120">
        <f t="shared" si="3"/>
        <v>3259</v>
      </c>
      <c r="AT8">
        <v>0</v>
      </c>
      <c r="AV8">
        <v>8471218</v>
      </c>
    </row>
    <row r="9" spans="1:48" x14ac:dyDescent="0.25">
      <c r="A9">
        <v>7</v>
      </c>
      <c r="B9" s="1">
        <v>45201</v>
      </c>
      <c r="C9" s="1">
        <v>45211</v>
      </c>
      <c r="D9" s="1">
        <v>45211</v>
      </c>
      <c r="E9" s="2">
        <f t="shared" ca="1" si="0"/>
        <v>10</v>
      </c>
      <c r="F9" s="2">
        <f t="shared" ca="1" si="1"/>
        <v>341.49387500000012</v>
      </c>
      <c r="G9" s="17" t="s">
        <v>66</v>
      </c>
      <c r="H9" s="81" t="str">
        <f>IF(ISBLANK(G9), "", VLOOKUP(VLOOKUP(G9, NHLTeams!$B$2:$F$33, 4,FALSE), Conferences!$A$2:$B$3, 2,FALSE))</f>
        <v>Eastern</v>
      </c>
      <c r="I9" s="85" t="str">
        <f>IF(ISBLANK(G9), "", VLOOKUP(VLOOKUP(G9, NHLTeams!$B$2:$F$33, 5, FALSE), Divisions!$A$2:$B$5, 2, FALSE))</f>
        <v>Metropolitan</v>
      </c>
      <c r="J9" t="s">
        <v>53</v>
      </c>
      <c r="K9" t="s">
        <v>70</v>
      </c>
      <c r="L9" t="s">
        <v>71</v>
      </c>
      <c r="M9">
        <v>87</v>
      </c>
      <c r="N9">
        <v>1</v>
      </c>
      <c r="O9">
        <v>0</v>
      </c>
      <c r="P9" t="s">
        <v>293</v>
      </c>
      <c r="Q9" t="s">
        <v>4</v>
      </c>
      <c r="R9" t="s">
        <v>73</v>
      </c>
      <c r="S9" t="s">
        <v>22</v>
      </c>
      <c r="U9" s="118">
        <v>56</v>
      </c>
      <c r="V9" t="s">
        <v>302</v>
      </c>
      <c r="W9" t="s">
        <v>303</v>
      </c>
      <c r="X9" t="s">
        <v>372</v>
      </c>
      <c r="Y9" s="109" t="s">
        <v>420</v>
      </c>
      <c r="AA9">
        <v>367.99</v>
      </c>
      <c r="AC9">
        <f>15.99/3</f>
        <v>5.33</v>
      </c>
      <c r="AF9">
        <f t="shared" si="4"/>
        <v>55.997999999999998</v>
      </c>
      <c r="AG9">
        <f t="shared" si="2"/>
        <v>429.31799999999998</v>
      </c>
      <c r="AI9">
        <v>0</v>
      </c>
      <c r="AJ9">
        <v>0</v>
      </c>
      <c r="AL9" s="1">
        <v>31996</v>
      </c>
      <c r="AN9" t="s">
        <v>58</v>
      </c>
      <c r="AR9" s="120">
        <f t="shared" ca="1" si="5"/>
        <v>13556.493875</v>
      </c>
      <c r="AS9" s="120">
        <f t="shared" si="3"/>
        <v>2918</v>
      </c>
      <c r="AT9">
        <v>0</v>
      </c>
      <c r="AV9">
        <v>8471675</v>
      </c>
    </row>
    <row r="10" spans="1:48" x14ac:dyDescent="0.25">
      <c r="A10">
        <v>8</v>
      </c>
      <c r="B10" s="1">
        <v>45201</v>
      </c>
      <c r="C10" s="1">
        <v>45205</v>
      </c>
      <c r="D10" s="1">
        <v>45205</v>
      </c>
      <c r="E10" s="2">
        <f t="shared" ca="1" si="0"/>
        <v>4</v>
      </c>
      <c r="F10" s="2">
        <f t="shared" ca="1" si="1"/>
        <v>347.49387500000012</v>
      </c>
      <c r="G10" s="18" t="s">
        <v>67</v>
      </c>
      <c r="H10" s="81" t="str">
        <f>IF(ISBLANK(G10), "", VLOOKUP(VLOOKUP(G10, NHLTeams!$B$2:$F$33, 4,FALSE), Conferences!$A$2:$B$3, 2,FALSE))</f>
        <v>Eastern</v>
      </c>
      <c r="I10" s="82" t="str">
        <f>IF(ISBLANK(G10), "", VLOOKUP(VLOOKUP(G10, NHLTeams!$B$2:$F$33, 5, FALSE), Divisions!$A$2:$B$5, 2, FALSE))</f>
        <v>Atlantic</v>
      </c>
      <c r="J10" t="s">
        <v>53</v>
      </c>
      <c r="K10" t="s">
        <v>446</v>
      </c>
      <c r="L10" t="s">
        <v>72</v>
      </c>
      <c r="M10">
        <v>34</v>
      </c>
      <c r="N10">
        <v>0</v>
      </c>
      <c r="O10">
        <v>0</v>
      </c>
      <c r="P10" t="s">
        <v>75</v>
      </c>
      <c r="Q10" t="s">
        <v>4</v>
      </c>
      <c r="R10" t="s">
        <v>10</v>
      </c>
      <c r="S10" t="s">
        <v>20</v>
      </c>
      <c r="U10" s="118">
        <v>56</v>
      </c>
      <c r="V10" t="s">
        <v>302</v>
      </c>
      <c r="W10" t="s">
        <v>303</v>
      </c>
      <c r="X10" t="s">
        <v>372</v>
      </c>
      <c r="Y10" s="109" t="s">
        <v>722</v>
      </c>
      <c r="AA10">
        <v>249.99</v>
      </c>
      <c r="AC10">
        <f>15.99/3</f>
        <v>5.33</v>
      </c>
      <c r="AF10">
        <f t="shared" si="4"/>
        <v>38.298000000000002</v>
      </c>
      <c r="AG10">
        <f t="shared" si="2"/>
        <v>293.61800000000005</v>
      </c>
      <c r="AI10">
        <v>0</v>
      </c>
      <c r="AJ10">
        <v>0</v>
      </c>
      <c r="AL10" s="1">
        <v>35690</v>
      </c>
      <c r="AN10" t="s">
        <v>64</v>
      </c>
      <c r="AP10" t="s">
        <v>339</v>
      </c>
      <c r="AQ10" t="s">
        <v>340</v>
      </c>
      <c r="AR10" s="120">
        <f t="shared" ca="1" si="5"/>
        <v>9862.4938750000001</v>
      </c>
      <c r="AS10" s="120">
        <f t="shared" si="3"/>
        <v>-776</v>
      </c>
      <c r="AT10">
        <v>0</v>
      </c>
      <c r="AV10">
        <v>8479318</v>
      </c>
    </row>
    <row r="11" spans="1:48" x14ac:dyDescent="0.25">
      <c r="A11">
        <v>9</v>
      </c>
      <c r="B11" s="1">
        <v>45205</v>
      </c>
      <c r="C11" s="1">
        <v>45219</v>
      </c>
      <c r="D11" s="1">
        <v>45513</v>
      </c>
      <c r="E11" s="2">
        <f t="shared" ref="E11:E74" ca="1" si="6">IF(ISBLANK(C11), (NOW()-B11), (C11-B11))</f>
        <v>14</v>
      </c>
      <c r="F11" s="2">
        <f t="shared" ref="F11:F74" ca="1" si="7">IF(ISBLANK(C11), 0, NOW()-C11)</f>
        <v>333.49387500000012</v>
      </c>
      <c r="G11" s="17" t="s">
        <v>66</v>
      </c>
      <c r="H11" s="81" t="str">
        <f>IF(ISBLANK(G11), "", VLOOKUP(VLOOKUP(G11, NHLTeams!$B$2:$F$33, 4,FALSE), Conferences!$A$2:$B$3, 2,FALSE))</f>
        <v>Eastern</v>
      </c>
      <c r="I11" s="85" t="str">
        <f>IF(ISBLANK(G11), "", VLOOKUP(VLOOKUP(G11, NHLTeams!$B$2:$F$33, 5, FALSE), Divisions!$A$2:$B$5, 2, FALSE))</f>
        <v>Metropolitan</v>
      </c>
      <c r="J11" t="s">
        <v>53</v>
      </c>
      <c r="K11" t="s">
        <v>70</v>
      </c>
      <c r="L11" t="s">
        <v>71</v>
      </c>
      <c r="M11">
        <v>87</v>
      </c>
      <c r="N11">
        <v>1</v>
      </c>
      <c r="O11">
        <v>0</v>
      </c>
      <c r="P11" t="s">
        <v>293</v>
      </c>
      <c r="Q11" t="s">
        <v>4</v>
      </c>
      <c r="R11" t="s">
        <v>73</v>
      </c>
      <c r="S11" t="s">
        <v>22</v>
      </c>
      <c r="U11" s="118">
        <v>56</v>
      </c>
      <c r="V11" t="s">
        <v>302</v>
      </c>
      <c r="W11" t="s">
        <v>310</v>
      </c>
      <c r="X11" t="s">
        <v>372</v>
      </c>
      <c r="Y11" s="109" t="s">
        <v>381</v>
      </c>
      <c r="AA11">
        <v>369.99</v>
      </c>
      <c r="AE11">
        <v>110.99</v>
      </c>
      <c r="AF11">
        <f t="shared" si="4"/>
        <v>55.4985</v>
      </c>
      <c r="AG11">
        <f t="shared" si="2"/>
        <v>425.48849999999999</v>
      </c>
      <c r="AH11">
        <v>135.05000000000001</v>
      </c>
      <c r="AI11">
        <v>0</v>
      </c>
      <c r="AJ11">
        <v>0</v>
      </c>
      <c r="AL11" s="1">
        <v>31996</v>
      </c>
      <c r="AN11" t="s">
        <v>58</v>
      </c>
      <c r="AP11" t="s">
        <v>353</v>
      </c>
      <c r="AQ11" t="s">
        <v>352</v>
      </c>
      <c r="AR11" s="120">
        <f t="shared" ca="1" si="5"/>
        <v>13556.493875</v>
      </c>
      <c r="AS11" s="120">
        <f t="shared" si="3"/>
        <v>2918</v>
      </c>
      <c r="AT11">
        <v>0</v>
      </c>
      <c r="AV11">
        <v>8471675</v>
      </c>
    </row>
    <row r="12" spans="1:48" x14ac:dyDescent="0.25">
      <c r="A12">
        <v>10</v>
      </c>
      <c r="B12" s="1">
        <v>45209</v>
      </c>
      <c r="C12" s="1">
        <v>45222</v>
      </c>
      <c r="D12" s="1">
        <v>45222</v>
      </c>
      <c r="E12" s="2">
        <f t="shared" ca="1" si="6"/>
        <v>13</v>
      </c>
      <c r="F12" s="2">
        <f t="shared" ca="1" si="7"/>
        <v>330.49387500000012</v>
      </c>
      <c r="G12" s="19" t="s">
        <v>5</v>
      </c>
      <c r="H12" s="83" t="str">
        <f>IF(ISBLANK(G12), "", VLOOKUP(VLOOKUP(G12, NHLTeams!$B$2:$F$33, 4,FALSE), Conferences!$A$2:$B$3, 2,FALSE))</f>
        <v>Western</v>
      </c>
      <c r="I12" s="84" t="str">
        <f>IF(ISBLANK(G12), "", VLOOKUP(VLOOKUP(G12, NHLTeams!$B$2:$F$33, 5, FALSE), Divisions!$A$2:$B$5, 2, FALSE))</f>
        <v>Pacific</v>
      </c>
      <c r="J12" t="s">
        <v>259</v>
      </c>
      <c r="K12" t="s">
        <v>263</v>
      </c>
      <c r="L12" t="s">
        <v>261</v>
      </c>
      <c r="M12">
        <v>34</v>
      </c>
      <c r="N12">
        <v>0</v>
      </c>
      <c r="O12">
        <v>0</v>
      </c>
      <c r="P12" t="s">
        <v>298</v>
      </c>
      <c r="Q12" t="s">
        <v>262</v>
      </c>
      <c r="R12" t="s">
        <v>73</v>
      </c>
      <c r="S12" t="s">
        <v>3</v>
      </c>
      <c r="U12" s="118">
        <v>56</v>
      </c>
      <c r="V12" t="s">
        <v>302</v>
      </c>
      <c r="W12" t="s">
        <v>303</v>
      </c>
      <c r="X12" t="s">
        <v>372</v>
      </c>
      <c r="Y12" s="109" t="s">
        <v>378</v>
      </c>
      <c r="AA12">
        <v>279.99</v>
      </c>
      <c r="AF12">
        <f t="shared" si="4"/>
        <v>41.9985</v>
      </c>
      <c r="AG12">
        <f t="shared" si="2"/>
        <v>321.98849999999999</v>
      </c>
      <c r="AI12">
        <v>0</v>
      </c>
      <c r="AJ12">
        <v>0</v>
      </c>
      <c r="AL12" s="1">
        <v>28059</v>
      </c>
      <c r="AM12">
        <v>2013</v>
      </c>
      <c r="AN12" t="s">
        <v>264</v>
      </c>
      <c r="AO12" t="s">
        <v>63</v>
      </c>
      <c r="AP12" t="s">
        <v>334</v>
      </c>
      <c r="AQ12" t="s">
        <v>337</v>
      </c>
      <c r="AR12" s="120">
        <f t="shared" ca="1" si="5"/>
        <v>17493.493875</v>
      </c>
      <c r="AS12" s="120">
        <f t="shared" si="3"/>
        <v>6855</v>
      </c>
      <c r="AT12">
        <v>0</v>
      </c>
      <c r="AU12" t="s">
        <v>716</v>
      </c>
      <c r="AV12">
        <v>8462147</v>
      </c>
    </row>
    <row r="13" spans="1:48" x14ac:dyDescent="0.25">
      <c r="A13">
        <v>11</v>
      </c>
      <c r="B13" s="1">
        <v>45247</v>
      </c>
      <c r="C13" s="1">
        <v>45257</v>
      </c>
      <c r="D13" s="1">
        <v>45285</v>
      </c>
      <c r="E13" s="2">
        <f t="shared" ca="1" si="6"/>
        <v>10</v>
      </c>
      <c r="F13" s="2">
        <f t="shared" ca="1" si="7"/>
        <v>295.49387500000012</v>
      </c>
      <c r="G13" s="19" t="s">
        <v>5</v>
      </c>
      <c r="H13" s="83" t="str">
        <f>IF(ISBLANK(G13), "", VLOOKUP(VLOOKUP(G13, NHLTeams!$B$2:$F$33, 4,FALSE), Conferences!$A$2:$B$3, 2,FALSE))</f>
        <v>Western</v>
      </c>
      <c r="I13" s="84" t="str">
        <f>IF(ISBLANK(G13), "", VLOOKUP(VLOOKUP(G13, NHLTeams!$B$2:$F$33, 5, FALSE), Divisions!$A$2:$B$5, 2, FALSE))</f>
        <v>Pacific</v>
      </c>
      <c r="J13" t="s">
        <v>53</v>
      </c>
      <c r="K13" t="s">
        <v>265</v>
      </c>
      <c r="L13" t="s">
        <v>266</v>
      </c>
      <c r="M13">
        <v>23</v>
      </c>
      <c r="N13">
        <v>0</v>
      </c>
      <c r="O13">
        <v>0</v>
      </c>
      <c r="P13" t="s">
        <v>293</v>
      </c>
      <c r="Q13" t="s">
        <v>4</v>
      </c>
      <c r="R13" t="s">
        <v>3</v>
      </c>
      <c r="S13" t="s">
        <v>73</v>
      </c>
      <c r="U13" s="118">
        <v>56</v>
      </c>
      <c r="V13" t="s">
        <v>302</v>
      </c>
      <c r="W13" t="s">
        <v>310</v>
      </c>
      <c r="X13" t="s">
        <v>372</v>
      </c>
      <c r="Y13" s="109" t="s">
        <v>723</v>
      </c>
      <c r="AA13">
        <v>249.99</v>
      </c>
      <c r="AD13">
        <v>170</v>
      </c>
      <c r="AF13">
        <f t="shared" si="4"/>
        <v>11.998500000000002</v>
      </c>
      <c r="AG13">
        <f t="shared" si="2"/>
        <v>91.988500000000016</v>
      </c>
      <c r="AH13">
        <v>91.99</v>
      </c>
      <c r="AI13">
        <v>0</v>
      </c>
      <c r="AJ13">
        <v>0</v>
      </c>
      <c r="AL13" s="1">
        <v>34611</v>
      </c>
      <c r="AN13" t="s">
        <v>60</v>
      </c>
      <c r="AR13" s="120">
        <f t="shared" ca="1" si="5"/>
        <v>10941.493875</v>
      </c>
      <c r="AS13" s="120">
        <f t="shared" si="3"/>
        <v>303</v>
      </c>
      <c r="AT13">
        <v>0</v>
      </c>
      <c r="AV13">
        <v>8477497</v>
      </c>
    </row>
    <row r="14" spans="1:48" x14ac:dyDescent="0.25">
      <c r="A14">
        <v>12</v>
      </c>
      <c r="B14" s="1">
        <v>45247</v>
      </c>
      <c r="C14" s="1">
        <v>45257</v>
      </c>
      <c r="D14" s="1">
        <v>45285</v>
      </c>
      <c r="E14" s="2">
        <f t="shared" ca="1" si="6"/>
        <v>10</v>
      </c>
      <c r="F14" s="2">
        <f t="shared" ca="1" si="7"/>
        <v>295.49387500000012</v>
      </c>
      <c r="G14" s="94" t="s">
        <v>216</v>
      </c>
      <c r="H14" s="83" t="str">
        <f>IF(ISBLANK(G14), "", VLOOKUP(VLOOKUP(G14, NHLTeams!$B$2:$F$33, 4,FALSE), Conferences!$A$2:$B$3, 2,FALSE))</f>
        <v>Western</v>
      </c>
      <c r="I14" s="84" t="str">
        <f>IF(ISBLANK(G14), "", VLOOKUP(VLOOKUP(G14, NHLTeams!$B$2:$F$33, 5, FALSE), Divisions!$A$2:$B$5, 2, FALSE))</f>
        <v>Pacific</v>
      </c>
      <c r="J14" t="s">
        <v>53</v>
      </c>
      <c r="K14" t="s">
        <v>267</v>
      </c>
      <c r="L14" t="s">
        <v>268</v>
      </c>
      <c r="M14">
        <v>53</v>
      </c>
      <c r="N14">
        <v>1</v>
      </c>
      <c r="O14">
        <v>0</v>
      </c>
      <c r="P14" t="s">
        <v>293</v>
      </c>
      <c r="Q14" t="s">
        <v>4</v>
      </c>
      <c r="R14" t="s">
        <v>10</v>
      </c>
      <c r="S14" t="s">
        <v>270</v>
      </c>
      <c r="U14" s="118">
        <v>56</v>
      </c>
      <c r="V14" t="s">
        <v>302</v>
      </c>
      <c r="W14" t="s">
        <v>310</v>
      </c>
      <c r="X14" t="s">
        <v>372</v>
      </c>
      <c r="Y14" s="109" t="s">
        <v>724</v>
      </c>
      <c r="AA14">
        <v>249.99</v>
      </c>
      <c r="AD14">
        <v>170</v>
      </c>
      <c r="AF14">
        <f t="shared" si="4"/>
        <v>11.998500000000002</v>
      </c>
      <c r="AG14">
        <f t="shared" si="2"/>
        <v>91.988500000000016</v>
      </c>
      <c r="AH14">
        <v>91.99</v>
      </c>
      <c r="AI14">
        <v>0</v>
      </c>
      <c r="AJ14">
        <v>0</v>
      </c>
      <c r="AL14" s="1">
        <v>34794</v>
      </c>
      <c r="AN14" t="s">
        <v>269</v>
      </c>
      <c r="AR14" s="120">
        <f t="shared" ca="1" si="5"/>
        <v>10758.493875</v>
      </c>
      <c r="AS14" s="120">
        <f t="shared" si="3"/>
        <v>120</v>
      </c>
      <c r="AT14">
        <v>0</v>
      </c>
      <c r="AV14">
        <v>8477500</v>
      </c>
    </row>
    <row r="15" spans="1:48" x14ac:dyDescent="0.25">
      <c r="A15">
        <v>13</v>
      </c>
      <c r="B15" s="1">
        <v>45267</v>
      </c>
      <c r="C15" s="1">
        <v>45294</v>
      </c>
      <c r="D15" s="1">
        <v>45397</v>
      </c>
      <c r="E15" s="2">
        <f t="shared" ca="1" si="6"/>
        <v>27</v>
      </c>
      <c r="F15" s="2">
        <f t="shared" ca="1" si="7"/>
        <v>258.49387500000012</v>
      </c>
      <c r="G15" s="95" t="s">
        <v>151</v>
      </c>
      <c r="H15" s="83" t="str">
        <f>IF(ISBLANK(G15), "", VLOOKUP(VLOOKUP(G15, NHLTeams!$B$2:$F$33, 4,FALSE), Conferences!$A$2:$B$3, 2,FALSE))</f>
        <v>Western</v>
      </c>
      <c r="I15" s="84" t="str">
        <f>IF(ISBLANK(G15), "", VLOOKUP(VLOOKUP(G15, NHLTeams!$B$2:$F$33, 5, FALSE), Divisions!$A$2:$B$5, 2, FALSE))</f>
        <v>Pacific</v>
      </c>
      <c r="J15" t="s">
        <v>53</v>
      </c>
      <c r="K15" t="s">
        <v>274</v>
      </c>
      <c r="L15" t="s">
        <v>275</v>
      </c>
      <c r="M15">
        <v>11</v>
      </c>
      <c r="N15">
        <v>1</v>
      </c>
      <c r="O15">
        <v>0</v>
      </c>
      <c r="P15" t="s">
        <v>292</v>
      </c>
      <c r="Q15" t="s">
        <v>4</v>
      </c>
      <c r="R15" t="s">
        <v>73</v>
      </c>
      <c r="S15" t="s">
        <v>20</v>
      </c>
      <c r="U15" s="118" t="s">
        <v>288</v>
      </c>
      <c r="V15" t="s">
        <v>311</v>
      </c>
      <c r="Y15" s="109" t="s">
        <v>725</v>
      </c>
      <c r="Z15">
        <v>69.989999999999995</v>
      </c>
      <c r="AA15">
        <v>95.046419999999998</v>
      </c>
      <c r="AC15">
        <f t="shared" ref="AC15:AC21" si="8">83/7</f>
        <v>11.857142857142858</v>
      </c>
      <c r="AF15">
        <f t="shared" si="4"/>
        <v>16.035534428571427</v>
      </c>
      <c r="AG15">
        <f t="shared" si="2"/>
        <v>122.93909728571428</v>
      </c>
      <c r="AI15">
        <v>1</v>
      </c>
      <c r="AJ15">
        <v>0</v>
      </c>
      <c r="AK15">
        <v>1.3580000000000001</v>
      </c>
      <c r="AL15" s="1">
        <v>32013</v>
      </c>
      <c r="AN15" t="s">
        <v>291</v>
      </c>
      <c r="AR15" s="120">
        <f t="shared" ca="1" si="5"/>
        <v>13539.493875</v>
      </c>
      <c r="AS15" s="120">
        <f t="shared" si="3"/>
        <v>2901</v>
      </c>
      <c r="AT15">
        <v>0</v>
      </c>
      <c r="AV15">
        <v>8471685</v>
      </c>
    </row>
    <row r="16" spans="1:48" x14ac:dyDescent="0.25">
      <c r="A16">
        <v>14</v>
      </c>
      <c r="B16" s="1">
        <v>45267</v>
      </c>
      <c r="C16" s="1">
        <v>45294</v>
      </c>
      <c r="D16" s="1">
        <v>45349</v>
      </c>
      <c r="E16" s="2">
        <f t="shared" ca="1" si="6"/>
        <v>27</v>
      </c>
      <c r="F16" s="2">
        <f t="shared" ca="1" si="7"/>
        <v>258.49387500000012</v>
      </c>
      <c r="G16" s="95" t="s">
        <v>151</v>
      </c>
      <c r="H16" s="83" t="str">
        <f>IF(ISBLANK(G16), "", VLOOKUP(VLOOKUP(G16, NHLTeams!$B$2:$F$33, 4,FALSE), Conferences!$A$2:$B$3, 2,FALSE))</f>
        <v>Western</v>
      </c>
      <c r="I16" s="84" t="str">
        <f>IF(ISBLANK(G16), "", VLOOKUP(VLOOKUP(G16, NHLTeams!$B$2:$F$33, 5, FALSE), Divisions!$A$2:$B$5, 2, FALSE))</f>
        <v>Pacific</v>
      </c>
      <c r="J16" t="s">
        <v>259</v>
      </c>
      <c r="K16" t="s">
        <v>7</v>
      </c>
      <c r="L16" t="s">
        <v>276</v>
      </c>
      <c r="M16">
        <v>32</v>
      </c>
      <c r="N16">
        <v>0</v>
      </c>
      <c r="O16">
        <v>0</v>
      </c>
      <c r="P16" t="s">
        <v>75</v>
      </c>
      <c r="Q16" t="s">
        <v>4</v>
      </c>
      <c r="R16" t="s">
        <v>73</v>
      </c>
      <c r="S16" t="s">
        <v>20</v>
      </c>
      <c r="U16" s="118" t="s">
        <v>288</v>
      </c>
      <c r="V16" t="s">
        <v>311</v>
      </c>
      <c r="Y16" s="109" t="s">
        <v>726</v>
      </c>
      <c r="Z16">
        <v>69.989999999999995</v>
      </c>
      <c r="AA16">
        <v>95.046419999999998</v>
      </c>
      <c r="AC16">
        <f t="shared" si="8"/>
        <v>11.857142857142858</v>
      </c>
      <c r="AF16">
        <f t="shared" si="4"/>
        <v>16.035534428571427</v>
      </c>
      <c r="AG16">
        <f t="shared" si="2"/>
        <v>122.93909728571428</v>
      </c>
      <c r="AI16">
        <v>1</v>
      </c>
      <c r="AJ16">
        <v>0</v>
      </c>
      <c r="AK16">
        <v>1.3580000000000001</v>
      </c>
      <c r="AL16" s="1">
        <v>31433</v>
      </c>
      <c r="AN16" t="s">
        <v>61</v>
      </c>
      <c r="AR16" s="120">
        <f t="shared" ca="1" si="5"/>
        <v>14119.493875</v>
      </c>
      <c r="AS16" s="120">
        <f t="shared" si="3"/>
        <v>3481</v>
      </c>
      <c r="AT16">
        <v>0</v>
      </c>
      <c r="AV16">
        <v>8471734</v>
      </c>
    </row>
    <row r="17" spans="1:48" x14ac:dyDescent="0.25">
      <c r="A17">
        <v>15</v>
      </c>
      <c r="B17" s="1">
        <v>45267</v>
      </c>
      <c r="C17" s="1">
        <v>45294</v>
      </c>
      <c r="D17" s="1">
        <v>45347</v>
      </c>
      <c r="E17" s="2">
        <f t="shared" ca="1" si="6"/>
        <v>27</v>
      </c>
      <c r="F17" s="2">
        <f t="shared" ca="1" si="7"/>
        <v>258.49387500000012</v>
      </c>
      <c r="G17" s="96" t="s">
        <v>177</v>
      </c>
      <c r="H17" s="81" t="str">
        <f>IF(ISBLANK(G17), "", VLOOKUP(VLOOKUP(G17, NHLTeams!$B$2:$F$33, 4,FALSE), Conferences!$A$2:$B$3, 2,FALSE))</f>
        <v>Eastern</v>
      </c>
      <c r="I17" s="85" t="str">
        <f>IF(ISBLANK(G17), "", VLOOKUP(VLOOKUP(G17, NHLTeams!$B$2:$F$33, 5, FALSE), Divisions!$A$2:$B$5, 2, FALSE))</f>
        <v>Metropolitan</v>
      </c>
      <c r="J17" t="s">
        <v>273</v>
      </c>
      <c r="K17" t="s">
        <v>277</v>
      </c>
      <c r="L17" t="s">
        <v>289</v>
      </c>
      <c r="M17">
        <v>27</v>
      </c>
      <c r="N17">
        <v>1</v>
      </c>
      <c r="O17">
        <v>0</v>
      </c>
      <c r="P17" t="s">
        <v>75</v>
      </c>
      <c r="Q17" t="s">
        <v>4</v>
      </c>
      <c r="R17" t="s">
        <v>10</v>
      </c>
      <c r="S17" t="s">
        <v>3</v>
      </c>
      <c r="U17" s="118">
        <v>56</v>
      </c>
      <c r="V17" t="s">
        <v>302</v>
      </c>
      <c r="W17" t="s">
        <v>310</v>
      </c>
      <c r="Y17" s="109" t="s">
        <v>727</v>
      </c>
      <c r="Z17">
        <v>59.99</v>
      </c>
      <c r="AA17">
        <v>81.466419999999999</v>
      </c>
      <c r="AC17">
        <f t="shared" si="8"/>
        <v>11.857142857142858</v>
      </c>
      <c r="AF17">
        <f t="shared" si="4"/>
        <v>13.998534428571428</v>
      </c>
      <c r="AG17">
        <f t="shared" si="2"/>
        <v>107.32209728571429</v>
      </c>
      <c r="AI17">
        <v>1</v>
      </c>
      <c r="AJ17">
        <v>0</v>
      </c>
      <c r="AK17">
        <v>1.3580000000000001</v>
      </c>
      <c r="AL17" s="1">
        <v>32672</v>
      </c>
      <c r="AN17" t="s">
        <v>290</v>
      </c>
      <c r="AR17" s="120">
        <f t="shared" ca="1" si="5"/>
        <v>12880.493875</v>
      </c>
      <c r="AS17" s="120">
        <f t="shared" si="3"/>
        <v>2242</v>
      </c>
      <c r="AT17">
        <v>0</v>
      </c>
      <c r="AV17">
        <v>8474151</v>
      </c>
    </row>
    <row r="18" spans="1:48" x14ac:dyDescent="0.25">
      <c r="A18">
        <v>16</v>
      </c>
      <c r="B18" s="1">
        <v>45267</v>
      </c>
      <c r="C18" s="1">
        <v>45294</v>
      </c>
      <c r="D18" s="1">
        <v>45375</v>
      </c>
      <c r="E18" s="2">
        <f t="shared" ca="1" si="6"/>
        <v>27</v>
      </c>
      <c r="F18" s="2">
        <f t="shared" ca="1" si="7"/>
        <v>258.49387500000012</v>
      </c>
      <c r="G18" s="97" t="s">
        <v>106</v>
      </c>
      <c r="H18" s="81" t="str">
        <f>IF(ISBLANK(G18), "", VLOOKUP(VLOOKUP(G18, NHLTeams!$B$2:$F$33, 4,FALSE), Conferences!$A$2:$B$3, 2,FALSE))</f>
        <v>Eastern</v>
      </c>
      <c r="I18" s="82" t="str">
        <f>IF(ISBLANK(G18), "", VLOOKUP(VLOOKUP(G18, NHLTeams!$B$2:$F$33, 5, FALSE), Divisions!$A$2:$B$5, 2, FALSE))</f>
        <v>Atlantic</v>
      </c>
      <c r="J18" t="s">
        <v>53</v>
      </c>
      <c r="K18" t="s">
        <v>278</v>
      </c>
      <c r="L18" t="s">
        <v>279</v>
      </c>
      <c r="M18">
        <v>15</v>
      </c>
      <c r="N18">
        <v>0</v>
      </c>
      <c r="O18">
        <v>0</v>
      </c>
      <c r="P18" t="s">
        <v>75</v>
      </c>
      <c r="Q18" t="s">
        <v>4</v>
      </c>
      <c r="R18" t="s">
        <v>287</v>
      </c>
      <c r="S18" t="s">
        <v>286</v>
      </c>
      <c r="U18" s="118">
        <v>56</v>
      </c>
      <c r="V18" t="s">
        <v>302</v>
      </c>
      <c r="W18" t="s">
        <v>310</v>
      </c>
      <c r="Y18" s="109" t="s">
        <v>376</v>
      </c>
      <c r="Z18">
        <v>59.99</v>
      </c>
      <c r="AA18">
        <v>81.466419999999999</v>
      </c>
      <c r="AC18">
        <f t="shared" si="8"/>
        <v>11.857142857142858</v>
      </c>
      <c r="AF18">
        <f t="shared" si="4"/>
        <v>13.998534428571428</v>
      </c>
      <c r="AG18">
        <f t="shared" si="2"/>
        <v>107.32209728571429</v>
      </c>
      <c r="AI18">
        <v>1</v>
      </c>
      <c r="AJ18">
        <v>0</v>
      </c>
      <c r="AK18">
        <v>1.3580000000000001</v>
      </c>
      <c r="AL18" s="1">
        <v>35366</v>
      </c>
      <c r="AN18" t="s">
        <v>59</v>
      </c>
      <c r="AR18" s="120">
        <f t="shared" ca="1" si="5"/>
        <v>10186.493875</v>
      </c>
      <c r="AS18" s="120">
        <f t="shared" si="3"/>
        <v>-452</v>
      </c>
      <c r="AT18">
        <v>0</v>
      </c>
      <c r="AV18">
        <v>8478403</v>
      </c>
    </row>
    <row r="19" spans="1:48" x14ac:dyDescent="0.25">
      <c r="A19">
        <v>17</v>
      </c>
      <c r="B19" s="1">
        <v>45267</v>
      </c>
      <c r="C19" s="1">
        <v>45294</v>
      </c>
      <c r="D19" s="1">
        <v>45373</v>
      </c>
      <c r="E19" s="2">
        <f t="shared" ca="1" si="6"/>
        <v>27</v>
      </c>
      <c r="F19" s="2">
        <f t="shared" ca="1" si="7"/>
        <v>258.49387500000012</v>
      </c>
      <c r="G19" s="17" t="s">
        <v>101</v>
      </c>
      <c r="H19" s="81" t="str">
        <f>IF(ISBLANK(G19), "", VLOOKUP(VLOOKUP(G19, NHLTeams!$B$2:$F$33, 4,FALSE), Conferences!$A$2:$B$3, 2,FALSE))</f>
        <v>Eastern</v>
      </c>
      <c r="I19" s="82" t="str">
        <f>IF(ISBLANK(G19), "", VLOOKUP(VLOOKUP(G19, NHLTeams!$B$2:$F$33, 5, FALSE), Divisions!$A$2:$B$5, 2, FALSE))</f>
        <v>Atlantic</v>
      </c>
      <c r="J19" t="s">
        <v>53</v>
      </c>
      <c r="K19" t="s">
        <v>280</v>
      </c>
      <c r="L19" t="s">
        <v>281</v>
      </c>
      <c r="M19">
        <v>37</v>
      </c>
      <c r="N19">
        <v>1</v>
      </c>
      <c r="O19">
        <v>0</v>
      </c>
      <c r="P19" t="s">
        <v>293</v>
      </c>
      <c r="Q19" t="s">
        <v>4</v>
      </c>
      <c r="R19" t="s">
        <v>73</v>
      </c>
      <c r="S19" t="s">
        <v>286</v>
      </c>
      <c r="U19" s="118" t="s">
        <v>288</v>
      </c>
      <c r="V19" t="s">
        <v>311</v>
      </c>
      <c r="Y19" s="109" t="s">
        <v>728</v>
      </c>
      <c r="Z19">
        <v>89.99</v>
      </c>
      <c r="AA19">
        <v>122.20641999999999</v>
      </c>
      <c r="AC19">
        <f t="shared" si="8"/>
        <v>11.857142857142858</v>
      </c>
      <c r="AF19">
        <f t="shared" si="4"/>
        <v>20.109534428571425</v>
      </c>
      <c r="AG19">
        <f t="shared" si="2"/>
        <v>154.17309728571428</v>
      </c>
      <c r="AI19">
        <v>1</v>
      </c>
      <c r="AJ19">
        <v>0</v>
      </c>
      <c r="AK19">
        <v>1.3580000000000001</v>
      </c>
      <c r="AL19" s="1">
        <v>31222</v>
      </c>
      <c r="AM19">
        <v>2023</v>
      </c>
      <c r="AN19" t="s">
        <v>294</v>
      </c>
      <c r="AO19" t="s">
        <v>295</v>
      </c>
      <c r="AR19" s="120">
        <f t="shared" ca="1" si="5"/>
        <v>14330.493875</v>
      </c>
      <c r="AS19" s="120">
        <f t="shared" si="3"/>
        <v>3692</v>
      </c>
      <c r="AT19">
        <v>0</v>
      </c>
      <c r="AV19">
        <v>8470638</v>
      </c>
    </row>
    <row r="20" spans="1:48" x14ac:dyDescent="0.25">
      <c r="A20">
        <v>18</v>
      </c>
      <c r="B20" s="1">
        <v>45267</v>
      </c>
      <c r="C20" s="1">
        <v>45294</v>
      </c>
      <c r="D20" s="1">
        <v>45382</v>
      </c>
      <c r="E20" s="2">
        <f t="shared" ca="1" si="6"/>
        <v>27</v>
      </c>
      <c r="F20" s="2">
        <f t="shared" ca="1" si="7"/>
        <v>258.49387500000012</v>
      </c>
      <c r="G20" s="98" t="s">
        <v>88</v>
      </c>
      <c r="H20" s="83" t="str">
        <f>IF(ISBLANK(G20), "", VLOOKUP(VLOOKUP(G20, NHLTeams!$B$2:$F$33, 4,FALSE), Conferences!$A$2:$B$3, 2,FALSE))</f>
        <v>Western</v>
      </c>
      <c r="I20" s="84" t="str">
        <f>IF(ISBLANK(G20), "", VLOOKUP(VLOOKUP(G20, NHLTeams!$B$2:$F$33, 5, FALSE), Divisions!$A$2:$B$5, 2, FALSE))</f>
        <v>Pacific</v>
      </c>
      <c r="J20" t="s">
        <v>53</v>
      </c>
      <c r="K20" t="s">
        <v>282</v>
      </c>
      <c r="L20" t="s">
        <v>283</v>
      </c>
      <c r="M20">
        <v>10</v>
      </c>
      <c r="N20">
        <v>0</v>
      </c>
      <c r="O20">
        <v>0</v>
      </c>
      <c r="P20" t="s">
        <v>293</v>
      </c>
      <c r="Q20" t="s">
        <v>285</v>
      </c>
      <c r="R20" t="s">
        <v>20</v>
      </c>
      <c r="S20" t="s">
        <v>21</v>
      </c>
      <c r="U20" s="118" t="s">
        <v>288</v>
      </c>
      <c r="V20" t="s">
        <v>311</v>
      </c>
      <c r="Y20" s="109" t="s">
        <v>729</v>
      </c>
      <c r="Z20">
        <v>59.99</v>
      </c>
      <c r="AA20">
        <v>81.466419999999999</v>
      </c>
      <c r="AC20">
        <f t="shared" si="8"/>
        <v>11.857142857142858</v>
      </c>
      <c r="AF20">
        <f t="shared" si="4"/>
        <v>13.998534428571428</v>
      </c>
      <c r="AG20">
        <f t="shared" si="2"/>
        <v>107.32209728571429</v>
      </c>
      <c r="AI20">
        <v>1</v>
      </c>
      <c r="AJ20">
        <v>0</v>
      </c>
      <c r="AK20">
        <v>1.1240000000000001</v>
      </c>
      <c r="AL20" s="1">
        <v>31183</v>
      </c>
      <c r="AN20" t="s">
        <v>58</v>
      </c>
      <c r="AR20" s="120">
        <f t="shared" ca="1" si="5"/>
        <v>14369.493875</v>
      </c>
      <c r="AS20" s="120">
        <f t="shared" si="3"/>
        <v>3731</v>
      </c>
      <c r="AT20">
        <v>0</v>
      </c>
      <c r="AV20">
        <v>8470621</v>
      </c>
    </row>
    <row r="21" spans="1:48" x14ac:dyDescent="0.25">
      <c r="A21">
        <v>19</v>
      </c>
      <c r="B21" s="1">
        <v>45267</v>
      </c>
      <c r="C21" s="1">
        <v>45294</v>
      </c>
      <c r="D21" s="1">
        <v>45377</v>
      </c>
      <c r="E21" s="2">
        <f t="shared" ca="1" si="6"/>
        <v>27</v>
      </c>
      <c r="F21" s="2">
        <f t="shared" ca="1" si="7"/>
        <v>258.49387500000012</v>
      </c>
      <c r="G21" s="99" t="s">
        <v>128</v>
      </c>
      <c r="H21" s="83" t="str">
        <f>IF(ISBLANK(G21), "", VLOOKUP(VLOOKUP(G21, NHLTeams!$B$2:$F$33, 4,FALSE), Conferences!$A$2:$B$3, 2,FALSE))</f>
        <v>Western</v>
      </c>
      <c r="I21" s="93" t="str">
        <f>IF(ISBLANK(G21), "", VLOOKUP(VLOOKUP(G21, NHLTeams!$B$2:$F$33, 5, FALSE), Divisions!$A$2:$B$5, 2, FALSE))</f>
        <v>Central</v>
      </c>
      <c r="J21" t="s">
        <v>53</v>
      </c>
      <c r="K21" t="s">
        <v>7</v>
      </c>
      <c r="L21" t="s">
        <v>284</v>
      </c>
      <c r="M21">
        <v>19</v>
      </c>
      <c r="N21">
        <v>1</v>
      </c>
      <c r="O21">
        <v>0</v>
      </c>
      <c r="P21" t="s">
        <v>293</v>
      </c>
      <c r="Q21" t="s">
        <v>285</v>
      </c>
      <c r="R21" t="s">
        <v>20</v>
      </c>
      <c r="S21" t="s">
        <v>73</v>
      </c>
      <c r="U21" s="118">
        <v>56</v>
      </c>
      <c r="V21" t="s">
        <v>302</v>
      </c>
      <c r="W21" t="s">
        <v>310</v>
      </c>
      <c r="Y21" s="109" t="s">
        <v>376</v>
      </c>
      <c r="Z21">
        <v>79.989999999999995</v>
      </c>
      <c r="AA21">
        <v>108.62642</v>
      </c>
      <c r="AC21">
        <f t="shared" si="8"/>
        <v>11.857142857142858</v>
      </c>
      <c r="AF21">
        <f t="shared" si="4"/>
        <v>18.072534428571426</v>
      </c>
      <c r="AG21">
        <f t="shared" si="2"/>
        <v>138.55609728571429</v>
      </c>
      <c r="AI21">
        <v>1</v>
      </c>
      <c r="AJ21">
        <v>0</v>
      </c>
      <c r="AK21">
        <v>1.3580000000000001</v>
      </c>
      <c r="AL21" s="1">
        <v>32262</v>
      </c>
      <c r="AN21" t="s">
        <v>61</v>
      </c>
      <c r="AO21" t="s">
        <v>295</v>
      </c>
      <c r="AR21" s="120">
        <f t="shared" ca="1" si="5"/>
        <v>13290.493875</v>
      </c>
      <c r="AS21" s="120">
        <f t="shared" si="3"/>
        <v>2652</v>
      </c>
      <c r="AT21">
        <v>0</v>
      </c>
      <c r="AV21">
        <v>8473604</v>
      </c>
    </row>
    <row r="22" spans="1:48" x14ac:dyDescent="0.25">
      <c r="A22">
        <v>20</v>
      </c>
      <c r="B22" s="1">
        <v>45276</v>
      </c>
      <c r="C22" s="1">
        <v>45289</v>
      </c>
      <c r="D22" s="1">
        <v>45364</v>
      </c>
      <c r="E22" s="2">
        <f t="shared" ca="1" si="6"/>
        <v>13</v>
      </c>
      <c r="F22" s="2">
        <f t="shared" ca="1" si="7"/>
        <v>263.49387500000012</v>
      </c>
      <c r="G22" s="101" t="s">
        <v>168</v>
      </c>
      <c r="H22" s="83" t="str">
        <f>IF(ISBLANK(G22), "", VLOOKUP(VLOOKUP(G22, NHLTeams!$B$2:$F$33, 4,FALSE), Conferences!$A$2:$B$3, 2,FALSE))</f>
        <v>Western</v>
      </c>
      <c r="I22" s="93" t="str">
        <f>IF(ISBLANK(G22), "", VLOOKUP(VLOOKUP(G22, NHLTeams!$B$2:$F$33, 5, FALSE), Divisions!$A$2:$B$5, 2, FALSE))</f>
        <v>Central</v>
      </c>
      <c r="J22" t="s">
        <v>53</v>
      </c>
      <c r="K22" t="s">
        <v>307</v>
      </c>
      <c r="L22" s="80" t="s">
        <v>308</v>
      </c>
      <c r="M22">
        <v>9</v>
      </c>
      <c r="O22">
        <v>0</v>
      </c>
      <c r="P22" t="s">
        <v>309</v>
      </c>
      <c r="Q22" t="s">
        <v>4</v>
      </c>
      <c r="R22" t="s">
        <v>22</v>
      </c>
      <c r="S22" t="s">
        <v>10</v>
      </c>
      <c r="T22" t="s">
        <v>20</v>
      </c>
      <c r="U22" s="118">
        <v>56</v>
      </c>
      <c r="V22" t="s">
        <v>302</v>
      </c>
      <c r="W22" t="s">
        <v>310</v>
      </c>
      <c r="Y22" s="109" t="s">
        <v>730</v>
      </c>
      <c r="Z22">
        <v>109.12</v>
      </c>
      <c r="AB22">
        <v>31.81</v>
      </c>
      <c r="AC22">
        <v>31.324780000000001</v>
      </c>
      <c r="AF22">
        <f t="shared" si="4"/>
        <v>9.4702169999999999</v>
      </c>
      <c r="AG22">
        <f t="shared" si="2"/>
        <v>72.604996999999997</v>
      </c>
      <c r="AI22">
        <v>1</v>
      </c>
      <c r="AJ22">
        <v>0</v>
      </c>
      <c r="AK22">
        <v>1.33866586175</v>
      </c>
      <c r="AL22" s="1">
        <v>34559</v>
      </c>
      <c r="AN22" t="s">
        <v>63</v>
      </c>
      <c r="AR22" s="120">
        <f t="shared" ca="1" si="5"/>
        <v>10993.493875</v>
      </c>
      <c r="AS22" s="120">
        <f t="shared" si="3"/>
        <v>355</v>
      </c>
      <c r="AT22">
        <v>0</v>
      </c>
      <c r="AV22">
        <v>8476887</v>
      </c>
    </row>
    <row r="23" spans="1:48" x14ac:dyDescent="0.25">
      <c r="A23">
        <v>21</v>
      </c>
      <c r="B23" s="1">
        <v>45276</v>
      </c>
      <c r="C23" s="1">
        <v>45299</v>
      </c>
      <c r="D23" s="1">
        <v>45339</v>
      </c>
      <c r="E23" s="2">
        <f t="shared" ca="1" si="6"/>
        <v>23</v>
      </c>
      <c r="F23" s="2">
        <f t="shared" ca="1" si="7"/>
        <v>253.49387500000012</v>
      </c>
      <c r="G23" s="102" t="s">
        <v>141</v>
      </c>
      <c r="H23" s="81" t="str">
        <f>IF(ISBLANK(G23), "", VLOOKUP(VLOOKUP(G23, NHLTeams!$B$2:$F$33, 4,FALSE), Conferences!$A$2:$B$3, 2,FALSE))</f>
        <v>Eastern</v>
      </c>
      <c r="I23" s="82" t="str">
        <f>IF(ISBLANK(G23), "", VLOOKUP(VLOOKUP(G23, NHLTeams!$B$2:$F$33, 5, FALSE), Divisions!$A$2:$B$5, 2, FALSE))</f>
        <v>Atlantic</v>
      </c>
      <c r="J23" t="s">
        <v>53</v>
      </c>
      <c r="K23" t="s">
        <v>312</v>
      </c>
      <c r="L23" t="s">
        <v>313</v>
      </c>
      <c r="M23">
        <v>40</v>
      </c>
      <c r="N23">
        <v>1</v>
      </c>
      <c r="O23">
        <v>0</v>
      </c>
      <c r="P23" t="s">
        <v>309</v>
      </c>
      <c r="Q23" t="s">
        <v>4</v>
      </c>
      <c r="R23" t="s">
        <v>3</v>
      </c>
      <c r="S23" t="s">
        <v>20</v>
      </c>
      <c r="U23" s="118">
        <v>56</v>
      </c>
      <c r="V23" t="s">
        <v>302</v>
      </c>
      <c r="W23" t="s">
        <v>310</v>
      </c>
      <c r="Y23" s="109" t="s">
        <v>381</v>
      </c>
      <c r="AF23">
        <f t="shared" si="4"/>
        <v>0</v>
      </c>
      <c r="AG23">
        <f t="shared" si="2"/>
        <v>0</v>
      </c>
      <c r="AI23">
        <v>1</v>
      </c>
      <c r="AJ23">
        <v>0</v>
      </c>
      <c r="AL23" s="1">
        <v>29503</v>
      </c>
      <c r="AM23">
        <v>2018</v>
      </c>
      <c r="AN23" t="s">
        <v>321</v>
      </c>
      <c r="AO23" t="s">
        <v>322</v>
      </c>
      <c r="AR23" s="120">
        <f t="shared" ca="1" si="5"/>
        <v>16049.493875</v>
      </c>
      <c r="AS23" s="120">
        <f t="shared" si="3"/>
        <v>5411</v>
      </c>
      <c r="AT23">
        <v>0</v>
      </c>
      <c r="AV23">
        <v>8468083</v>
      </c>
    </row>
    <row r="24" spans="1:48" x14ac:dyDescent="0.25">
      <c r="A24">
        <v>22</v>
      </c>
      <c r="B24" s="1">
        <v>45276</v>
      </c>
      <c r="C24" s="1">
        <v>45299</v>
      </c>
      <c r="D24" s="1">
        <v>45368</v>
      </c>
      <c r="E24" s="2">
        <f t="shared" ca="1" si="6"/>
        <v>23</v>
      </c>
      <c r="F24" s="2">
        <f t="shared" ca="1" si="7"/>
        <v>253.49387500000012</v>
      </c>
      <c r="G24" s="103" t="s">
        <v>171</v>
      </c>
      <c r="H24" s="81" t="str">
        <f>IF(ISBLANK(G24), "", VLOOKUP(VLOOKUP(G24, NHLTeams!$B$2:$F$33, 4,FALSE), Conferences!$A$2:$B$3, 2,FALSE))</f>
        <v>Eastern</v>
      </c>
      <c r="I24" s="85" t="str">
        <f>IF(ISBLANK(G24), "", VLOOKUP(VLOOKUP(G24, NHLTeams!$B$2:$F$33, 5, FALSE), Divisions!$A$2:$B$5, 2, FALSE))</f>
        <v>Metropolitan</v>
      </c>
      <c r="J24" t="s">
        <v>53</v>
      </c>
      <c r="K24" t="s">
        <v>314</v>
      </c>
      <c r="L24" t="s">
        <v>315</v>
      </c>
      <c r="M24">
        <v>91</v>
      </c>
      <c r="O24">
        <v>0</v>
      </c>
      <c r="P24" t="s">
        <v>293</v>
      </c>
      <c r="Q24" t="s">
        <v>262</v>
      </c>
      <c r="R24" t="s">
        <v>10</v>
      </c>
      <c r="S24" t="s">
        <v>20</v>
      </c>
      <c r="T24" t="s">
        <v>21</v>
      </c>
      <c r="U24" s="118">
        <v>56</v>
      </c>
      <c r="V24" t="s">
        <v>302</v>
      </c>
      <c r="W24" t="s">
        <v>310</v>
      </c>
      <c r="Y24" s="109" t="s">
        <v>389</v>
      </c>
      <c r="AF24">
        <f t="shared" si="4"/>
        <v>0</v>
      </c>
      <c r="AG24">
        <f t="shared" si="2"/>
        <v>0</v>
      </c>
      <c r="AI24">
        <v>1</v>
      </c>
      <c r="AJ24">
        <v>0</v>
      </c>
      <c r="AL24" s="1">
        <v>33136</v>
      </c>
      <c r="AN24" t="s">
        <v>323</v>
      </c>
      <c r="AR24" s="120">
        <f t="shared" ca="1" si="5"/>
        <v>12416.493875</v>
      </c>
      <c r="AS24" s="120">
        <f t="shared" si="3"/>
        <v>1778</v>
      </c>
      <c r="AT24">
        <v>0</v>
      </c>
      <c r="AV24">
        <v>8475166</v>
      </c>
    </row>
    <row r="25" spans="1:48" x14ac:dyDescent="0.25">
      <c r="A25">
        <v>23</v>
      </c>
      <c r="B25" s="1">
        <v>45277</v>
      </c>
      <c r="C25" s="1">
        <v>45296</v>
      </c>
      <c r="D25" s="1">
        <v>45381</v>
      </c>
      <c r="E25" s="2">
        <f t="shared" ca="1" si="6"/>
        <v>19</v>
      </c>
      <c r="F25" s="2">
        <f t="shared" ca="1" si="7"/>
        <v>256.49387500000012</v>
      </c>
      <c r="G25" s="19" t="s">
        <v>5</v>
      </c>
      <c r="H25" s="83" t="str">
        <f>IF(ISBLANK(G25), "", VLOOKUP(VLOOKUP(G25, NHLTeams!$B$2:$F$33, 4,FALSE), Conferences!$A$2:$B$3, 2,FALSE))</f>
        <v>Western</v>
      </c>
      <c r="I25" s="84" t="str">
        <f>IF(ISBLANK(G25), "", VLOOKUP(VLOOKUP(G25, NHLTeams!$B$2:$F$33, 5, FALSE), Divisions!$A$2:$B$5, 2, FALSE))</f>
        <v>Pacific</v>
      </c>
      <c r="J25" t="s">
        <v>259</v>
      </c>
      <c r="K25" t="s">
        <v>316</v>
      </c>
      <c r="L25" t="s">
        <v>317</v>
      </c>
      <c r="M25">
        <v>32</v>
      </c>
      <c r="N25">
        <v>0</v>
      </c>
      <c r="O25">
        <v>0</v>
      </c>
      <c r="P25" t="s">
        <v>75</v>
      </c>
      <c r="Q25" t="s">
        <v>318</v>
      </c>
      <c r="R25" t="s">
        <v>20</v>
      </c>
      <c r="S25" t="s">
        <v>319</v>
      </c>
      <c r="T25" t="s">
        <v>320</v>
      </c>
      <c r="U25" s="118">
        <v>56</v>
      </c>
      <c r="V25" t="s">
        <v>302</v>
      </c>
      <c r="W25" t="s">
        <v>303</v>
      </c>
      <c r="X25" t="s">
        <v>372</v>
      </c>
      <c r="Y25" s="109" t="s">
        <v>371</v>
      </c>
      <c r="AA25">
        <v>199.99</v>
      </c>
      <c r="AF25">
        <f t="shared" si="4"/>
        <v>29.9985</v>
      </c>
      <c r="AG25">
        <f t="shared" si="2"/>
        <v>229.98850000000002</v>
      </c>
      <c r="AI25">
        <v>0</v>
      </c>
      <c r="AJ25">
        <v>0</v>
      </c>
      <c r="AL25" s="1">
        <v>36997</v>
      </c>
      <c r="AN25" t="s">
        <v>295</v>
      </c>
      <c r="AR25" s="120">
        <f t="shared" ca="1" si="5"/>
        <v>8555.4938750000001</v>
      </c>
      <c r="AS25" s="120">
        <f t="shared" si="3"/>
        <v>-2083</v>
      </c>
      <c r="AT25">
        <v>0</v>
      </c>
      <c r="AV25">
        <v>8481692</v>
      </c>
    </row>
    <row r="26" spans="1:48" x14ac:dyDescent="0.25">
      <c r="A26">
        <v>24</v>
      </c>
      <c r="B26" s="1">
        <v>45283</v>
      </c>
      <c r="C26" s="1">
        <v>45294</v>
      </c>
      <c r="D26" s="1">
        <v>45345</v>
      </c>
      <c r="E26" s="2">
        <f t="shared" ca="1" si="6"/>
        <v>11</v>
      </c>
      <c r="F26" s="2">
        <f t="shared" ca="1" si="7"/>
        <v>258.49387500000012</v>
      </c>
      <c r="G26" s="17" t="s">
        <v>101</v>
      </c>
      <c r="H26" s="81" t="str">
        <f>IF(ISBLANK(G26), "", VLOOKUP(VLOOKUP(G26, NHLTeams!$B$2:$F$33, 4,FALSE), Conferences!$A$2:$B$3, 2,FALSE))</f>
        <v>Eastern</v>
      </c>
      <c r="I26" s="82" t="str">
        <f>IF(ISBLANK(G26), "", VLOOKUP(VLOOKUP(G26, NHLTeams!$B$2:$F$33, 5, FALSE), Divisions!$A$2:$B$5, 2, FALSE))</f>
        <v>Atlantic</v>
      </c>
      <c r="J26" t="s">
        <v>53</v>
      </c>
      <c r="K26" t="s">
        <v>280</v>
      </c>
      <c r="L26" t="s">
        <v>281</v>
      </c>
      <c r="M26">
        <v>37</v>
      </c>
      <c r="N26">
        <v>1</v>
      </c>
      <c r="O26">
        <v>0</v>
      </c>
      <c r="P26" t="s">
        <v>293</v>
      </c>
      <c r="Q26" t="s">
        <v>487</v>
      </c>
      <c r="R26" t="s">
        <v>20</v>
      </c>
      <c r="S26" t="s">
        <v>286</v>
      </c>
      <c r="T26" t="s">
        <v>73</v>
      </c>
      <c r="U26" s="118">
        <v>56</v>
      </c>
      <c r="V26" t="s">
        <v>302</v>
      </c>
      <c r="W26" t="s">
        <v>303</v>
      </c>
      <c r="X26" t="s">
        <v>373</v>
      </c>
      <c r="Y26" s="109" t="s">
        <v>375</v>
      </c>
      <c r="AB26">
        <f>102.34/3</f>
        <v>34.113333333333337</v>
      </c>
      <c r="AF26">
        <f t="shared" si="4"/>
        <v>5.117</v>
      </c>
      <c r="AG26">
        <f t="shared" si="2"/>
        <v>39.230333333333334</v>
      </c>
      <c r="AI26">
        <v>1</v>
      </c>
      <c r="AJ26">
        <v>0</v>
      </c>
      <c r="AL26" s="1">
        <v>31222</v>
      </c>
      <c r="AM26">
        <v>2023</v>
      </c>
      <c r="AN26" t="s">
        <v>294</v>
      </c>
      <c r="AO26" t="s">
        <v>295</v>
      </c>
      <c r="AR26" s="120">
        <f t="shared" ca="1" si="5"/>
        <v>14330.493875</v>
      </c>
      <c r="AS26" s="120">
        <f t="shared" si="3"/>
        <v>3692</v>
      </c>
      <c r="AT26">
        <v>0</v>
      </c>
      <c r="AV26">
        <v>8470638</v>
      </c>
    </row>
    <row r="27" spans="1:48" x14ac:dyDescent="0.25">
      <c r="A27">
        <v>25</v>
      </c>
      <c r="B27" s="1">
        <v>45283</v>
      </c>
      <c r="C27" s="1">
        <v>45294</v>
      </c>
      <c r="D27" s="1">
        <v>45355</v>
      </c>
      <c r="E27" s="2">
        <f t="shared" ca="1" si="6"/>
        <v>11</v>
      </c>
      <c r="F27" s="2">
        <f t="shared" ca="1" si="7"/>
        <v>258.49387500000012</v>
      </c>
      <c r="G27" s="104" t="s">
        <v>192</v>
      </c>
      <c r="H27" s="83" t="str">
        <f>IF(ISBLANK(G27), "", VLOOKUP(VLOOKUP(G27, NHLTeams!$B$2:$F$33, 4,FALSE), Conferences!$A$2:$B$3, 2,FALSE))</f>
        <v>Western</v>
      </c>
      <c r="I27" s="84" t="str">
        <f>IF(ISBLANK(G27), "", VLOOKUP(VLOOKUP(G27, NHLTeams!$B$2:$F$33, 5, FALSE), Divisions!$A$2:$B$5, 2, FALSE))</f>
        <v>Pacific</v>
      </c>
      <c r="J27" t="s">
        <v>53</v>
      </c>
      <c r="K27" t="s">
        <v>328</v>
      </c>
      <c r="L27" s="80" t="s">
        <v>329</v>
      </c>
      <c r="M27">
        <v>7</v>
      </c>
      <c r="O27">
        <v>0</v>
      </c>
      <c r="P27" t="s">
        <v>293</v>
      </c>
      <c r="Q27" t="s">
        <v>483</v>
      </c>
      <c r="R27" t="s">
        <v>10</v>
      </c>
      <c r="S27" t="s">
        <v>331</v>
      </c>
      <c r="T27" t="s">
        <v>3</v>
      </c>
      <c r="U27" s="118">
        <v>56</v>
      </c>
      <c r="V27" t="s">
        <v>302</v>
      </c>
      <c r="W27" t="s">
        <v>303</v>
      </c>
      <c r="X27" t="s">
        <v>373</v>
      </c>
      <c r="Y27" s="109" t="s">
        <v>731</v>
      </c>
      <c r="AB27">
        <f>102.34/3</f>
        <v>34.113333333333337</v>
      </c>
      <c r="AF27">
        <f t="shared" si="4"/>
        <v>5.117</v>
      </c>
      <c r="AG27">
        <f t="shared" si="2"/>
        <v>39.230333333333334</v>
      </c>
      <c r="AI27">
        <v>1</v>
      </c>
      <c r="AJ27">
        <v>0</v>
      </c>
      <c r="AL27" s="1">
        <v>33008</v>
      </c>
      <c r="AN27" t="s">
        <v>290</v>
      </c>
      <c r="AR27" s="120">
        <f t="shared" ca="1" si="5"/>
        <v>12544.493875</v>
      </c>
      <c r="AS27" s="120">
        <f t="shared" si="3"/>
        <v>1906</v>
      </c>
      <c r="AT27">
        <v>0</v>
      </c>
      <c r="AV27">
        <v>8474586</v>
      </c>
    </row>
    <row r="28" spans="1:48" x14ac:dyDescent="0.25">
      <c r="A28">
        <v>26</v>
      </c>
      <c r="B28" s="1">
        <v>45283</v>
      </c>
      <c r="C28" s="1">
        <v>45294</v>
      </c>
      <c r="D28" s="1">
        <v>45361</v>
      </c>
      <c r="E28" s="2">
        <f t="shared" ca="1" si="6"/>
        <v>11</v>
      </c>
      <c r="F28" s="2">
        <f t="shared" ca="1" si="7"/>
        <v>258.49387500000012</v>
      </c>
      <c r="G28" s="105" t="s">
        <v>112</v>
      </c>
      <c r="H28" s="81" t="str">
        <f>IF(ISBLANK(G28), "", VLOOKUP(VLOOKUP(G28, NHLTeams!$B$2:$F$33, 4,FALSE), Conferences!$A$2:$B$3, 2,FALSE))</f>
        <v>Eastern</v>
      </c>
      <c r="I28" s="85" t="str">
        <f>IF(ISBLANK(G28), "", VLOOKUP(VLOOKUP(G28, NHLTeams!$B$2:$F$33, 5, FALSE), Divisions!$A$2:$B$5, 2, FALSE))</f>
        <v>Metropolitan</v>
      </c>
      <c r="J28" t="s">
        <v>53</v>
      </c>
      <c r="K28" t="s">
        <v>324</v>
      </c>
      <c r="L28" s="80" t="s">
        <v>325</v>
      </c>
      <c r="M28">
        <v>20</v>
      </c>
      <c r="N28">
        <v>0</v>
      </c>
      <c r="O28">
        <v>0</v>
      </c>
      <c r="P28" t="s">
        <v>298</v>
      </c>
      <c r="Q28" t="s">
        <v>4</v>
      </c>
      <c r="R28" t="s">
        <v>3</v>
      </c>
      <c r="S28" t="s">
        <v>73</v>
      </c>
      <c r="T28" t="s">
        <v>20</v>
      </c>
      <c r="U28" s="118">
        <v>56</v>
      </c>
      <c r="V28" t="s">
        <v>302</v>
      </c>
      <c r="W28" t="s">
        <v>303</v>
      </c>
      <c r="X28" t="s">
        <v>373</v>
      </c>
      <c r="Y28" s="109" t="s">
        <v>420</v>
      </c>
      <c r="AB28">
        <f>102.34/3</f>
        <v>34.113333333333337</v>
      </c>
      <c r="AF28">
        <f t="shared" si="4"/>
        <v>5.117</v>
      </c>
      <c r="AG28">
        <f t="shared" si="2"/>
        <v>39.230333333333334</v>
      </c>
      <c r="AI28">
        <v>1</v>
      </c>
      <c r="AJ28">
        <v>0</v>
      </c>
      <c r="AL28" s="1">
        <v>35607</v>
      </c>
      <c r="AN28" t="s">
        <v>64</v>
      </c>
      <c r="AR28" s="120">
        <f t="shared" ca="1" si="5"/>
        <v>9945.4938750000001</v>
      </c>
      <c r="AS28" s="120">
        <f t="shared" si="3"/>
        <v>-693</v>
      </c>
      <c r="AT28">
        <v>0</v>
      </c>
      <c r="AV28">
        <v>8478427</v>
      </c>
    </row>
    <row r="29" spans="1:48" x14ac:dyDescent="0.25">
      <c r="A29">
        <v>27</v>
      </c>
      <c r="B29" s="1">
        <v>45283</v>
      </c>
      <c r="C29" s="1">
        <v>45299</v>
      </c>
      <c r="D29" s="1">
        <v>45394</v>
      </c>
      <c r="E29" s="2">
        <f t="shared" ca="1" si="6"/>
        <v>16</v>
      </c>
      <c r="F29" s="2">
        <f t="shared" ca="1" si="7"/>
        <v>253.49387500000012</v>
      </c>
      <c r="G29" s="99" t="s">
        <v>128</v>
      </c>
      <c r="H29" s="83" t="str">
        <f>IF(ISBLANK(G29), "", VLOOKUP(VLOOKUP(G29, NHLTeams!$B$2:$F$33, 4,FALSE), Conferences!$A$2:$B$3, 2,FALSE))</f>
        <v>Western</v>
      </c>
      <c r="I29" s="93" t="str">
        <f>IF(ISBLANK(G29), "", VLOOKUP(VLOOKUP(G29, NHLTeams!$B$2:$F$33, 5, FALSE), Divisions!$A$2:$B$5, 2, FALSE))</f>
        <v>Central</v>
      </c>
      <c r="J29" t="s">
        <v>53</v>
      </c>
      <c r="K29" t="s">
        <v>327</v>
      </c>
      <c r="L29" t="s">
        <v>326</v>
      </c>
      <c r="M29">
        <v>88</v>
      </c>
      <c r="N29">
        <v>0</v>
      </c>
      <c r="O29">
        <v>0</v>
      </c>
      <c r="P29" t="s">
        <v>75</v>
      </c>
      <c r="Q29" t="s">
        <v>4</v>
      </c>
      <c r="R29" t="s">
        <v>3</v>
      </c>
      <c r="S29" t="s">
        <v>73</v>
      </c>
      <c r="T29" t="s">
        <v>20</v>
      </c>
      <c r="U29" s="118" t="s">
        <v>288</v>
      </c>
      <c r="V29" t="s">
        <v>311</v>
      </c>
      <c r="W29" t="s">
        <v>332</v>
      </c>
      <c r="Y29" s="109" t="s">
        <v>732</v>
      </c>
      <c r="AF29">
        <f t="shared" si="4"/>
        <v>0</v>
      </c>
      <c r="AG29">
        <f t="shared" si="2"/>
        <v>0</v>
      </c>
      <c r="AJ29">
        <v>0</v>
      </c>
      <c r="AL29" s="1">
        <v>32466</v>
      </c>
      <c r="AN29" t="s">
        <v>61</v>
      </c>
      <c r="AR29" s="120">
        <f t="shared" ca="1" si="5"/>
        <v>13086.493875</v>
      </c>
      <c r="AS29" s="120">
        <f t="shared" si="3"/>
        <v>2448</v>
      </c>
      <c r="AT29">
        <v>0</v>
      </c>
      <c r="AV29">
        <v>8474141</v>
      </c>
    </row>
    <row r="30" spans="1:48" x14ac:dyDescent="0.25">
      <c r="A30">
        <v>28</v>
      </c>
      <c r="B30" s="1">
        <v>45291</v>
      </c>
      <c r="C30" s="1">
        <v>45306</v>
      </c>
      <c r="D30" s="1">
        <v>45365</v>
      </c>
      <c r="E30" s="2">
        <f t="shared" ca="1" si="6"/>
        <v>15</v>
      </c>
      <c r="F30" s="2">
        <f t="shared" ca="1" si="7"/>
        <v>246.49387500000012</v>
      </c>
      <c r="G30" s="106" t="s">
        <v>222</v>
      </c>
      <c r="H30" s="83" t="str">
        <f>IF(ISBLANK(G30), "", VLOOKUP(VLOOKUP(G30, NHLTeams!$B$2:$F$33, 4,FALSE), Conferences!$A$2:$B$3, 2,FALSE))</f>
        <v>Western</v>
      </c>
      <c r="I30" s="84" t="str">
        <f>IF(ISBLANK(G30), "", VLOOKUP(VLOOKUP(G30, NHLTeams!$B$2:$F$33, 5, FALSE), Divisions!$A$2:$B$5, 2, FALSE))</f>
        <v>Pacific</v>
      </c>
      <c r="J30" t="s">
        <v>53</v>
      </c>
      <c r="K30" t="s">
        <v>7</v>
      </c>
      <c r="L30" s="80" t="s">
        <v>354</v>
      </c>
      <c r="M30">
        <v>81</v>
      </c>
      <c r="N30">
        <v>0</v>
      </c>
      <c r="O30">
        <v>0</v>
      </c>
      <c r="P30" t="s">
        <v>293</v>
      </c>
      <c r="Q30" t="s">
        <v>4</v>
      </c>
      <c r="R30" t="s">
        <v>361</v>
      </c>
      <c r="S30" t="s">
        <v>73</v>
      </c>
      <c r="T30" t="s">
        <v>286</v>
      </c>
      <c r="U30" s="118">
        <v>56</v>
      </c>
      <c r="V30" t="s">
        <v>302</v>
      </c>
      <c r="W30" t="s">
        <v>303</v>
      </c>
      <c r="X30" t="s">
        <v>372</v>
      </c>
      <c r="Y30" s="109" t="s">
        <v>382</v>
      </c>
      <c r="AA30">
        <v>279.99</v>
      </c>
      <c r="AC30">
        <v>0</v>
      </c>
      <c r="AF30">
        <f t="shared" si="4"/>
        <v>41.9985</v>
      </c>
      <c r="AG30">
        <f t="shared" si="2"/>
        <v>321.98849999999999</v>
      </c>
      <c r="AI30">
        <v>0</v>
      </c>
      <c r="AJ30">
        <v>0</v>
      </c>
      <c r="AL30" s="1">
        <v>33234</v>
      </c>
      <c r="AN30" t="s">
        <v>63</v>
      </c>
      <c r="AR30" s="120">
        <f t="shared" ca="1" si="5"/>
        <v>12318.493875</v>
      </c>
      <c r="AS30" s="120">
        <f t="shared" si="3"/>
        <v>1680</v>
      </c>
      <c r="AT30">
        <v>0</v>
      </c>
      <c r="AV30">
        <v>8476539</v>
      </c>
    </row>
    <row r="31" spans="1:48" x14ac:dyDescent="0.25">
      <c r="A31">
        <v>29</v>
      </c>
      <c r="B31" s="1">
        <v>45291</v>
      </c>
      <c r="C31" s="1">
        <v>45306</v>
      </c>
      <c r="D31" s="1">
        <v>45354</v>
      </c>
      <c r="E31" s="2">
        <f t="shared" ca="1" si="6"/>
        <v>15</v>
      </c>
      <c r="F31" s="2">
        <f t="shared" ca="1" si="7"/>
        <v>246.49387500000012</v>
      </c>
      <c r="G31" s="107" t="s">
        <v>156</v>
      </c>
      <c r="H31" s="83" t="str">
        <f>IF(ISBLANK(G31), "", VLOOKUP(VLOOKUP(G31, NHLTeams!$B$2:$F$33, 4,FALSE), Conferences!$A$2:$B$3, 2,FALSE))</f>
        <v>Western</v>
      </c>
      <c r="I31" s="93" t="str">
        <f>IF(ISBLANK(G31), "", VLOOKUP(VLOOKUP(G31, NHLTeams!$B$2:$F$33, 5, FALSE), Divisions!$A$2:$B$5, 2, FALSE))</f>
        <v>Central</v>
      </c>
      <c r="J31" t="s">
        <v>259</v>
      </c>
      <c r="K31" t="s">
        <v>355</v>
      </c>
      <c r="L31" s="80" t="s">
        <v>356</v>
      </c>
      <c r="M31">
        <v>29</v>
      </c>
      <c r="N31">
        <v>0</v>
      </c>
      <c r="O31">
        <v>0</v>
      </c>
      <c r="P31" t="s">
        <v>293</v>
      </c>
      <c r="Q31" t="s">
        <v>4</v>
      </c>
      <c r="R31" t="s">
        <v>270</v>
      </c>
      <c r="S31" t="s">
        <v>20</v>
      </c>
      <c r="T31" t="s">
        <v>3</v>
      </c>
      <c r="U31" s="118">
        <v>56</v>
      </c>
      <c r="V31" t="s">
        <v>302</v>
      </c>
      <c r="W31" t="s">
        <v>303</v>
      </c>
      <c r="X31" t="s">
        <v>372</v>
      </c>
      <c r="Y31" s="109" t="s">
        <v>380</v>
      </c>
      <c r="AA31">
        <v>279.99</v>
      </c>
      <c r="AC31">
        <v>0</v>
      </c>
      <c r="AF31">
        <f t="shared" si="4"/>
        <v>41.9985</v>
      </c>
      <c r="AG31">
        <f t="shared" si="2"/>
        <v>321.98849999999999</v>
      </c>
      <c r="AI31">
        <v>0</v>
      </c>
      <c r="AJ31">
        <v>0</v>
      </c>
      <c r="AL31" s="1">
        <v>31014</v>
      </c>
      <c r="AN31" t="s">
        <v>294</v>
      </c>
      <c r="AR31" s="120">
        <f t="shared" ca="1" si="5"/>
        <v>14538.493875</v>
      </c>
      <c r="AS31" s="120">
        <f t="shared" si="3"/>
        <v>3900</v>
      </c>
      <c r="AT31">
        <v>0</v>
      </c>
      <c r="AV31">
        <v>8470594</v>
      </c>
    </row>
    <row r="32" spans="1:48" x14ac:dyDescent="0.25">
      <c r="A32">
        <v>30</v>
      </c>
      <c r="B32" s="1">
        <v>45291</v>
      </c>
      <c r="C32" s="1">
        <v>45306</v>
      </c>
      <c r="D32" s="1">
        <v>45391</v>
      </c>
      <c r="E32" s="2">
        <f t="shared" ca="1" si="6"/>
        <v>15</v>
      </c>
      <c r="F32" s="2">
        <f t="shared" ca="1" si="7"/>
        <v>246.49387500000012</v>
      </c>
      <c r="G32" s="108" t="s">
        <v>200</v>
      </c>
      <c r="H32" s="83" t="str">
        <f>IF(ISBLANK(G32), "", VLOOKUP(VLOOKUP(G32, NHLTeams!$B$2:$F$33, 4,FALSE), Conferences!$A$2:$B$3, 2,FALSE))</f>
        <v>Western</v>
      </c>
      <c r="I32" s="84" t="str">
        <f>IF(ISBLANK(G32), "", VLOOKUP(VLOOKUP(G32, NHLTeams!$B$2:$F$33, 5, FALSE), Divisions!$A$2:$B$5, 2, FALSE))</f>
        <v>Pacific</v>
      </c>
      <c r="J32" t="s">
        <v>53</v>
      </c>
      <c r="K32" t="s">
        <v>357</v>
      </c>
      <c r="L32" s="80" t="s">
        <v>358</v>
      </c>
      <c r="M32">
        <v>39</v>
      </c>
      <c r="N32">
        <v>1</v>
      </c>
      <c r="O32">
        <v>0</v>
      </c>
      <c r="P32" t="s">
        <v>293</v>
      </c>
      <c r="Q32" t="s">
        <v>4</v>
      </c>
      <c r="R32" t="s">
        <v>331</v>
      </c>
      <c r="S32" t="s">
        <v>73</v>
      </c>
      <c r="T32" t="s">
        <v>20</v>
      </c>
      <c r="U32" s="118">
        <v>56</v>
      </c>
      <c r="V32" t="s">
        <v>302</v>
      </c>
      <c r="W32" t="s">
        <v>303</v>
      </c>
      <c r="X32" t="s">
        <v>372</v>
      </c>
      <c r="Y32" s="109" t="s">
        <v>378</v>
      </c>
      <c r="AA32">
        <v>279.99</v>
      </c>
      <c r="AC32">
        <v>0</v>
      </c>
      <c r="AF32">
        <f t="shared" si="4"/>
        <v>41.9985</v>
      </c>
      <c r="AG32">
        <f t="shared" si="2"/>
        <v>321.98849999999999</v>
      </c>
      <c r="AI32">
        <v>0</v>
      </c>
      <c r="AJ32">
        <v>0</v>
      </c>
      <c r="AL32" s="1">
        <v>32595</v>
      </c>
      <c r="AN32" t="s">
        <v>323</v>
      </c>
      <c r="AR32" s="120">
        <f t="shared" ca="1" si="5"/>
        <v>12957.493875</v>
      </c>
      <c r="AS32" s="120">
        <f t="shared" si="3"/>
        <v>2319</v>
      </c>
      <c r="AT32">
        <v>0</v>
      </c>
      <c r="AV32">
        <v>8474053</v>
      </c>
    </row>
    <row r="33" spans="1:48" x14ac:dyDescent="0.25">
      <c r="A33">
        <v>31</v>
      </c>
      <c r="B33" s="1">
        <v>45328</v>
      </c>
      <c r="C33" s="1">
        <v>45334</v>
      </c>
      <c r="D33" s="1">
        <v>45339</v>
      </c>
      <c r="E33" s="2">
        <f t="shared" ca="1" si="6"/>
        <v>6</v>
      </c>
      <c r="F33" s="2">
        <f t="shared" ca="1" si="7"/>
        <v>218.49387500000012</v>
      </c>
      <c r="G33" s="19" t="s">
        <v>5</v>
      </c>
      <c r="H33" s="83" t="str">
        <f>IF(ISBLANK(G33), "", VLOOKUP(VLOOKUP(G33, NHLTeams!$B$2:$F$33, 4,FALSE), Conferences!$A$2:$B$3, 2,FALSE))</f>
        <v>Western</v>
      </c>
      <c r="I33" s="84" t="str">
        <f>IF(ISBLANK(G33), "", VLOOKUP(VLOOKUP(G33, NHLTeams!$B$2:$F$33, 5, FALSE), Divisions!$A$2:$B$5, 2, FALSE))</f>
        <v>Pacific</v>
      </c>
      <c r="J33" t="s">
        <v>53</v>
      </c>
      <c r="K33" t="s">
        <v>7</v>
      </c>
      <c r="L33" t="s">
        <v>8</v>
      </c>
      <c r="M33">
        <v>10</v>
      </c>
      <c r="N33">
        <v>0</v>
      </c>
      <c r="O33">
        <v>0</v>
      </c>
      <c r="P33" t="s">
        <v>293</v>
      </c>
      <c r="Q33" t="s">
        <v>743</v>
      </c>
      <c r="U33" s="118">
        <v>56</v>
      </c>
      <c r="V33" t="s">
        <v>302</v>
      </c>
      <c r="W33" t="s">
        <v>303</v>
      </c>
      <c r="X33" t="s">
        <v>372</v>
      </c>
      <c r="Y33" s="109" t="s">
        <v>733</v>
      </c>
      <c r="AA33">
        <v>259.99</v>
      </c>
      <c r="AB33">
        <v>0</v>
      </c>
      <c r="AC33">
        <v>11.99</v>
      </c>
      <c r="AD33">
        <v>168.8</v>
      </c>
      <c r="AF33">
        <f t="shared" si="4"/>
        <v>15.477</v>
      </c>
      <c r="AG33">
        <f t="shared" si="2"/>
        <v>118.65700000000001</v>
      </c>
      <c r="AH33">
        <v>118.66</v>
      </c>
      <c r="AI33">
        <v>0</v>
      </c>
      <c r="AJ33">
        <v>0</v>
      </c>
      <c r="AL33" s="1">
        <v>34124</v>
      </c>
      <c r="AN33" t="s">
        <v>63</v>
      </c>
      <c r="AR33" s="120">
        <f t="shared" ca="1" si="5"/>
        <v>11428.493875</v>
      </c>
      <c r="AS33" s="120">
        <f t="shared" si="3"/>
        <v>790</v>
      </c>
      <c r="AT33">
        <v>0</v>
      </c>
      <c r="AV33">
        <v>8476456</v>
      </c>
    </row>
    <row r="34" spans="1:48" x14ac:dyDescent="0.25">
      <c r="A34">
        <v>32</v>
      </c>
      <c r="B34" s="1">
        <v>45329</v>
      </c>
      <c r="C34" s="1">
        <v>45334</v>
      </c>
      <c r="D34" s="1">
        <v>45386</v>
      </c>
      <c r="E34" s="2">
        <f t="shared" ca="1" si="6"/>
        <v>5</v>
      </c>
      <c r="F34" s="2">
        <f t="shared" ca="1" si="7"/>
        <v>218.49387500000012</v>
      </c>
      <c r="G34" s="16" t="s">
        <v>65</v>
      </c>
      <c r="H34" s="83" t="str">
        <f>IF(ISBLANK(G34), "", VLOOKUP(VLOOKUP(G34, NHLTeams!$B$2:$F$33, 4,FALSE), Conferences!$A$2:$B$3, 2,FALSE))</f>
        <v>Western</v>
      </c>
      <c r="I34" s="93" t="str">
        <f>IF(ISBLANK(G34), "", VLOOKUP(VLOOKUP(G34, NHLTeams!$B$2:$F$33, 5, FALSE), Divisions!$A$2:$B$5, 2, FALSE))</f>
        <v>Central</v>
      </c>
      <c r="J34" t="s">
        <v>53</v>
      </c>
      <c r="K34" t="s">
        <v>383</v>
      </c>
      <c r="L34" s="80" t="s">
        <v>384</v>
      </c>
      <c r="M34">
        <v>55</v>
      </c>
      <c r="N34">
        <v>0</v>
      </c>
      <c r="O34">
        <v>0</v>
      </c>
      <c r="P34" t="s">
        <v>293</v>
      </c>
      <c r="Q34" t="s">
        <v>285</v>
      </c>
      <c r="R34" t="s">
        <v>20</v>
      </c>
      <c r="S34" t="s">
        <v>287</v>
      </c>
      <c r="T34" t="s">
        <v>385</v>
      </c>
      <c r="U34" s="118">
        <v>56</v>
      </c>
      <c r="V34" t="s">
        <v>302</v>
      </c>
      <c r="W34" t="s">
        <v>310</v>
      </c>
      <c r="X34" t="s">
        <v>386</v>
      </c>
      <c r="Y34" s="109" t="s">
        <v>388</v>
      </c>
      <c r="AA34">
        <v>149.97</v>
      </c>
      <c r="AB34">
        <v>0</v>
      </c>
      <c r="AC34">
        <v>0</v>
      </c>
      <c r="AD34">
        <v>25</v>
      </c>
      <c r="AF34">
        <f t="shared" si="4"/>
        <v>18.7455</v>
      </c>
      <c r="AG34">
        <f t="shared" si="2"/>
        <v>143.71549999999999</v>
      </c>
      <c r="AH34">
        <v>143.72</v>
      </c>
      <c r="AI34">
        <v>0</v>
      </c>
      <c r="AL34" s="1">
        <v>34043</v>
      </c>
      <c r="AN34" t="s">
        <v>387</v>
      </c>
      <c r="AR34" s="120">
        <f t="shared" ca="1" si="5"/>
        <v>11509.493875</v>
      </c>
      <c r="AS34" s="120">
        <f t="shared" ref="AS34:AS65" si="9">IF(ISBLANK($AL34), 0, DATE(YEAR("1995-08-3"),MONTH("1995-08-3"), DAY("1995-08-3")) - DATE(YEAR($AL34),MONTH($AL34), DAY($AL34)))</f>
        <v>871</v>
      </c>
      <c r="AT34">
        <v>0</v>
      </c>
      <c r="AV34">
        <v>8476460</v>
      </c>
    </row>
    <row r="35" spans="1:48" x14ac:dyDescent="0.25">
      <c r="A35">
        <v>33</v>
      </c>
      <c r="B35" s="1">
        <v>45351</v>
      </c>
      <c r="C35" s="1">
        <v>45369</v>
      </c>
      <c r="D35" s="1">
        <v>45374</v>
      </c>
      <c r="E35" s="2">
        <f t="shared" ca="1" si="6"/>
        <v>18</v>
      </c>
      <c r="F35" s="2">
        <f t="shared" ca="1" si="7"/>
        <v>183.49387500000012</v>
      </c>
      <c r="G35" s="111" t="s">
        <v>136</v>
      </c>
      <c r="H35" s="83" t="str">
        <f>IF(ISBLANK(G35), "", VLOOKUP(VLOOKUP(G35, NHLTeams!$B$2:$F$33, 4,FALSE), Conferences!$A$2:$B$3, 2,FALSE))</f>
        <v>Western</v>
      </c>
      <c r="I35" s="93" t="str">
        <f>IF(ISBLANK(G35), "", VLOOKUP(VLOOKUP(G35, NHLTeams!$B$2:$F$33, 5, FALSE), Divisions!$A$2:$B$5, 2, FALSE))</f>
        <v>Central</v>
      </c>
      <c r="J35" t="s">
        <v>53</v>
      </c>
      <c r="K35" t="s">
        <v>390</v>
      </c>
      <c r="L35" s="80" t="s">
        <v>391</v>
      </c>
      <c r="M35">
        <v>14</v>
      </c>
      <c r="N35">
        <v>1</v>
      </c>
      <c r="O35">
        <v>0</v>
      </c>
      <c r="P35" t="s">
        <v>293</v>
      </c>
      <c r="Q35" t="s">
        <v>262</v>
      </c>
      <c r="R35" t="s">
        <v>73</v>
      </c>
      <c r="S35" t="s">
        <v>270</v>
      </c>
      <c r="U35" s="118">
        <v>56</v>
      </c>
      <c r="V35" t="s">
        <v>302</v>
      </c>
      <c r="W35" t="s">
        <v>303</v>
      </c>
      <c r="X35" t="s">
        <v>373</v>
      </c>
      <c r="Y35" s="109" t="s">
        <v>734</v>
      </c>
      <c r="Z35">
        <v>230</v>
      </c>
      <c r="AA35">
        <f>230*(676.14/485)/1.15</f>
        <v>278.82061855670105</v>
      </c>
      <c r="AB35">
        <v>25.3</v>
      </c>
      <c r="AC35">
        <v>12.1226</v>
      </c>
      <c r="AD35">
        <v>80.5</v>
      </c>
      <c r="AF35">
        <f t="shared" si="4"/>
        <v>35.361482783505153</v>
      </c>
      <c r="AG35">
        <f t="shared" si="2"/>
        <v>271.10470134020619</v>
      </c>
      <c r="AI35">
        <v>1</v>
      </c>
      <c r="AK35">
        <v>1.3941030000000001</v>
      </c>
      <c r="AL35" s="1">
        <v>32707</v>
      </c>
      <c r="AN35" t="s">
        <v>323</v>
      </c>
      <c r="AR35" s="120">
        <f t="shared" ca="1" si="5"/>
        <v>12845.493875</v>
      </c>
      <c r="AS35" s="120">
        <f t="shared" si="9"/>
        <v>2207</v>
      </c>
      <c r="AT35">
        <v>0</v>
      </c>
      <c r="AV35">
        <v>8473994</v>
      </c>
    </row>
    <row r="36" spans="1:48" x14ac:dyDescent="0.25">
      <c r="A36">
        <v>34</v>
      </c>
      <c r="B36" s="1">
        <v>45351</v>
      </c>
      <c r="C36" s="1">
        <v>45369</v>
      </c>
      <c r="D36" s="1">
        <v>45370</v>
      </c>
      <c r="E36" s="2">
        <f t="shared" ca="1" si="6"/>
        <v>18</v>
      </c>
      <c r="F36" s="2">
        <f t="shared" ca="1" si="7"/>
        <v>183.49387500000012</v>
      </c>
      <c r="G36" s="110" t="s">
        <v>209</v>
      </c>
      <c r="H36" s="81" t="str">
        <f>IF(ISBLANK(G36), "", VLOOKUP(VLOOKUP(G36, NHLTeams!$B$2:$F$33, 4,FALSE), Conferences!$A$2:$B$3, 2,FALSE))</f>
        <v>Eastern</v>
      </c>
      <c r="I36" s="82" t="str">
        <f>IF(ISBLANK(G36), "", VLOOKUP(VLOOKUP(G36, NHLTeams!$B$2:$F$33, 5, FALSE), Divisions!$A$2:$B$5, 2, FALSE))</f>
        <v>Atlantic</v>
      </c>
      <c r="J36" t="s">
        <v>53</v>
      </c>
      <c r="K36" t="s">
        <v>392</v>
      </c>
      <c r="L36" s="80" t="s">
        <v>393</v>
      </c>
      <c r="M36">
        <v>26</v>
      </c>
      <c r="N36">
        <v>0</v>
      </c>
      <c r="O36">
        <v>0</v>
      </c>
      <c r="P36" t="s">
        <v>293</v>
      </c>
      <c r="Q36" t="s">
        <v>4</v>
      </c>
      <c r="R36" t="s">
        <v>73</v>
      </c>
      <c r="S36" t="s">
        <v>10</v>
      </c>
      <c r="T36" t="s">
        <v>20</v>
      </c>
      <c r="U36" s="118" t="s">
        <v>288</v>
      </c>
      <c r="V36" t="s">
        <v>394</v>
      </c>
      <c r="X36" t="s">
        <v>373</v>
      </c>
      <c r="Z36">
        <v>200</v>
      </c>
      <c r="AA36">
        <f>200*(676.14/485)/1.15</f>
        <v>242.45271178843572</v>
      </c>
      <c r="AB36">
        <v>25.3</v>
      </c>
      <c r="AC36">
        <v>12.1226</v>
      </c>
      <c r="AD36">
        <v>85.25</v>
      </c>
      <c r="AF36">
        <f t="shared" si="4"/>
        <v>29.193796768265351</v>
      </c>
      <c r="AG36">
        <f t="shared" si="2"/>
        <v>223.81910855670102</v>
      </c>
      <c r="AI36">
        <v>1</v>
      </c>
      <c r="AK36">
        <v>1.3941030000000001</v>
      </c>
      <c r="AL36" s="1">
        <v>27563</v>
      </c>
      <c r="AN36" t="s">
        <v>395</v>
      </c>
      <c r="AR36" s="120">
        <f t="shared" ca="1" si="5"/>
        <v>17989.493875</v>
      </c>
      <c r="AS36" s="120">
        <f t="shared" si="9"/>
        <v>7351</v>
      </c>
      <c r="AT36">
        <v>0</v>
      </c>
      <c r="AV36">
        <v>8466378</v>
      </c>
    </row>
    <row r="37" spans="1:48" x14ac:dyDescent="0.25">
      <c r="A37">
        <v>35</v>
      </c>
      <c r="B37" s="1">
        <v>45351</v>
      </c>
      <c r="C37" s="1">
        <v>45369</v>
      </c>
      <c r="D37" s="1">
        <v>45379</v>
      </c>
      <c r="E37" s="2">
        <f t="shared" ca="1" si="6"/>
        <v>18</v>
      </c>
      <c r="F37" s="2">
        <f t="shared" ca="1" si="7"/>
        <v>183.49387500000012</v>
      </c>
      <c r="G37" s="12" t="s">
        <v>0</v>
      </c>
      <c r="H37" s="81" t="str">
        <f>IF(ISBLANK(G37), "", VLOOKUP(VLOOKUP(G37, NHLTeams!$B$2:$F$33, 4,FALSE), Conferences!$A$2:$B$3, 2,FALSE))</f>
        <v>Eastern</v>
      </c>
      <c r="I37" s="82" t="str">
        <f>IF(ISBLANK(G37), "", VLOOKUP(VLOOKUP(G37, NHLTeams!$B$2:$F$33, 5, FALSE), Divisions!$A$2:$B$5, 2, FALSE))</f>
        <v>Atlantic</v>
      </c>
      <c r="J37" t="s">
        <v>53</v>
      </c>
      <c r="K37" t="s">
        <v>396</v>
      </c>
      <c r="L37" s="80" t="s">
        <v>397</v>
      </c>
      <c r="M37">
        <v>16</v>
      </c>
      <c r="N37">
        <v>1</v>
      </c>
      <c r="O37">
        <v>0</v>
      </c>
      <c r="P37" t="s">
        <v>298</v>
      </c>
      <c r="Q37" t="s">
        <v>4</v>
      </c>
      <c r="R37" t="s">
        <v>3</v>
      </c>
      <c r="S37" t="s">
        <v>20</v>
      </c>
      <c r="T37" t="s">
        <v>286</v>
      </c>
      <c r="U37" s="118">
        <v>56</v>
      </c>
      <c r="V37" t="s">
        <v>302</v>
      </c>
      <c r="W37" t="s">
        <v>303</v>
      </c>
      <c r="X37" t="s">
        <v>373</v>
      </c>
      <c r="Y37" s="109" t="s">
        <v>371</v>
      </c>
      <c r="Z37">
        <v>230</v>
      </c>
      <c r="AA37">
        <f>230*(676.14/485)/1.15</f>
        <v>278.82061855670105</v>
      </c>
      <c r="AB37">
        <v>25.3</v>
      </c>
      <c r="AC37">
        <v>12.1226</v>
      </c>
      <c r="AD37">
        <v>80.5</v>
      </c>
      <c r="AF37">
        <f t="shared" si="4"/>
        <v>35.361482783505153</v>
      </c>
      <c r="AG37">
        <f t="shared" si="2"/>
        <v>271.10470134020619</v>
      </c>
      <c r="AI37">
        <v>1</v>
      </c>
      <c r="AK37">
        <v>1.3941030000000001</v>
      </c>
      <c r="AL37" s="1">
        <v>34944</v>
      </c>
      <c r="AN37" t="s">
        <v>60</v>
      </c>
      <c r="AR37" s="120">
        <f t="shared" ca="1" si="5"/>
        <v>10608.493875</v>
      </c>
      <c r="AS37" s="120">
        <f t="shared" si="9"/>
        <v>-30</v>
      </c>
      <c r="AT37">
        <v>0</v>
      </c>
      <c r="AU37" t="s">
        <v>715</v>
      </c>
      <c r="AV37">
        <v>8477493</v>
      </c>
    </row>
    <row r="38" spans="1:48" x14ac:dyDescent="0.25">
      <c r="A38">
        <v>36</v>
      </c>
      <c r="B38" s="1">
        <v>45369</v>
      </c>
      <c r="C38" s="1">
        <v>45386</v>
      </c>
      <c r="D38" s="1">
        <v>45389</v>
      </c>
      <c r="E38" s="2">
        <f t="shared" ca="1" si="6"/>
        <v>17</v>
      </c>
      <c r="F38" s="2">
        <f t="shared" ca="1" si="7"/>
        <v>166.49387500000012</v>
      </c>
      <c r="G38" s="112" t="s">
        <v>117</v>
      </c>
      <c r="H38" s="81" t="str">
        <f>IF(ISBLANK(G38), "", VLOOKUP(VLOOKUP(G38, NHLTeams!$B$2:$F$33, 4,FALSE), Conferences!$A$2:$B$3, 2,FALSE))</f>
        <v>Eastern</v>
      </c>
      <c r="I38" s="85" t="str">
        <f>IF(ISBLANK(G38), "", VLOOKUP(VLOOKUP(G38, NHLTeams!$B$2:$F$33, 5, FALSE), Divisions!$A$2:$B$5, 2, FALSE))</f>
        <v>Metropolitan</v>
      </c>
      <c r="J38" t="s">
        <v>53</v>
      </c>
      <c r="K38" t="s">
        <v>404</v>
      </c>
      <c r="L38" s="80" t="s">
        <v>405</v>
      </c>
      <c r="M38">
        <v>8</v>
      </c>
      <c r="N38">
        <v>0</v>
      </c>
      <c r="O38">
        <v>0</v>
      </c>
      <c r="P38" t="s">
        <v>75</v>
      </c>
      <c r="Q38" t="s">
        <v>285</v>
      </c>
      <c r="U38" s="118" t="s">
        <v>288</v>
      </c>
      <c r="V38" t="s">
        <v>311</v>
      </c>
      <c r="Y38" s="109" t="s">
        <v>735</v>
      </c>
      <c r="AF38">
        <f t="shared" si="4"/>
        <v>0</v>
      </c>
      <c r="AG38">
        <f t="shared" si="2"/>
        <v>0</v>
      </c>
      <c r="AI38">
        <v>1</v>
      </c>
      <c r="AL38" s="1">
        <v>35630</v>
      </c>
      <c r="AN38" t="s">
        <v>64</v>
      </c>
      <c r="AR38" s="120">
        <f t="shared" ca="1" si="5"/>
        <v>9922.4938750000001</v>
      </c>
      <c r="AS38" s="120">
        <f t="shared" si="9"/>
        <v>-716</v>
      </c>
      <c r="AT38">
        <v>0</v>
      </c>
      <c r="AV38">
        <v>8478460</v>
      </c>
    </row>
    <row r="39" spans="1:48" x14ac:dyDescent="0.25">
      <c r="A39">
        <v>37</v>
      </c>
      <c r="B39" s="1">
        <v>45369</v>
      </c>
      <c r="C39" s="1">
        <v>45386</v>
      </c>
      <c r="D39" s="1">
        <v>45387</v>
      </c>
      <c r="E39" s="2">
        <f t="shared" ca="1" si="6"/>
        <v>17</v>
      </c>
      <c r="F39" s="2">
        <f t="shared" ca="1" si="7"/>
        <v>166.49387500000012</v>
      </c>
      <c r="G39" s="113" t="s">
        <v>186</v>
      </c>
      <c r="H39" s="81" t="str">
        <f>IF(ISBLANK(G39), "", VLOOKUP(VLOOKUP(G39, NHLTeams!$B$2:$F$33, 4,FALSE), Conferences!$A$2:$B$3, 2,FALSE))</f>
        <v>Eastern</v>
      </c>
      <c r="I39" s="85" t="str">
        <f>IF(ISBLANK(G39), "", VLOOKUP(VLOOKUP(G39, NHLTeams!$B$2:$F$33, 5, FALSE), Divisions!$A$2:$B$5, 2, FALSE))</f>
        <v>Metropolitan</v>
      </c>
      <c r="J39" t="s">
        <v>53</v>
      </c>
      <c r="K39" t="s">
        <v>406</v>
      </c>
      <c r="L39" s="80" t="s">
        <v>407</v>
      </c>
      <c r="M39">
        <v>28</v>
      </c>
      <c r="N39">
        <v>0</v>
      </c>
      <c r="O39">
        <v>0</v>
      </c>
      <c r="P39" t="s">
        <v>293</v>
      </c>
      <c r="Q39" t="s">
        <v>4</v>
      </c>
      <c r="R39" t="s">
        <v>21</v>
      </c>
      <c r="S39" t="s">
        <v>73</v>
      </c>
      <c r="T39" t="s">
        <v>20</v>
      </c>
      <c r="U39" s="118" t="s">
        <v>288</v>
      </c>
      <c r="V39" t="s">
        <v>311</v>
      </c>
      <c r="Y39" s="109" t="s">
        <v>728</v>
      </c>
      <c r="AF39">
        <f t="shared" si="4"/>
        <v>0</v>
      </c>
      <c r="AG39">
        <f t="shared" si="2"/>
        <v>0</v>
      </c>
      <c r="AI39">
        <v>1</v>
      </c>
      <c r="AL39" s="1">
        <v>32154</v>
      </c>
      <c r="AN39" t="s">
        <v>61</v>
      </c>
      <c r="AR39" s="120">
        <f t="shared" ca="1" si="5"/>
        <v>13398.493875</v>
      </c>
      <c r="AS39" s="120">
        <f t="shared" si="9"/>
        <v>2760</v>
      </c>
      <c r="AT39">
        <v>0</v>
      </c>
      <c r="AV39">
        <v>8473512</v>
      </c>
    </row>
    <row r="40" spans="1:48" x14ac:dyDescent="0.25">
      <c r="A40">
        <v>38</v>
      </c>
      <c r="B40" s="1">
        <v>45369</v>
      </c>
      <c r="C40" s="1">
        <v>45386</v>
      </c>
      <c r="D40" s="1">
        <v>45395</v>
      </c>
      <c r="E40" s="2">
        <f t="shared" ca="1" si="6"/>
        <v>17</v>
      </c>
      <c r="F40" s="2">
        <f t="shared" ca="1" si="7"/>
        <v>166.49387500000012</v>
      </c>
      <c r="G40" s="114" t="s">
        <v>165</v>
      </c>
      <c r="H40" s="81" t="str">
        <f>IF(ISBLANK(G40), "", VLOOKUP(VLOOKUP(G40, NHLTeams!$B$2:$F$33, 4,FALSE), Conferences!$A$2:$B$3, 2,FALSE))</f>
        <v>Eastern</v>
      </c>
      <c r="I40" s="85" t="str">
        <f>IF(ISBLANK(G40), "", VLOOKUP(VLOOKUP(G40, NHLTeams!$B$2:$F$33, 5, FALSE), Divisions!$A$2:$B$5, 2, FALSE))</f>
        <v>Metropolitan</v>
      </c>
      <c r="J40" t="s">
        <v>53</v>
      </c>
      <c r="K40" t="s">
        <v>404</v>
      </c>
      <c r="L40" s="80" t="s">
        <v>408</v>
      </c>
      <c r="M40">
        <v>9</v>
      </c>
      <c r="N40">
        <v>0</v>
      </c>
      <c r="O40">
        <v>0</v>
      </c>
      <c r="P40" t="s">
        <v>75</v>
      </c>
      <c r="Q40" t="s">
        <v>4</v>
      </c>
      <c r="R40" t="s">
        <v>3</v>
      </c>
      <c r="S40" t="s">
        <v>73</v>
      </c>
      <c r="T40" t="s">
        <v>20</v>
      </c>
      <c r="U40" s="118" t="s">
        <v>288</v>
      </c>
      <c r="V40" t="s">
        <v>311</v>
      </c>
      <c r="Y40" s="109" t="s">
        <v>736</v>
      </c>
      <c r="AF40">
        <f t="shared" si="4"/>
        <v>0</v>
      </c>
      <c r="AG40">
        <f t="shared" si="2"/>
        <v>0</v>
      </c>
      <c r="AI40">
        <v>1</v>
      </c>
      <c r="AL40" s="1">
        <v>30891</v>
      </c>
      <c r="AN40" t="s">
        <v>58</v>
      </c>
      <c r="AR40" s="120">
        <f t="shared" ca="1" si="5"/>
        <v>14661.493875</v>
      </c>
      <c r="AS40" s="120">
        <f t="shared" si="9"/>
        <v>4023</v>
      </c>
      <c r="AT40">
        <v>0</v>
      </c>
      <c r="AV40">
        <v>8470610</v>
      </c>
    </row>
    <row r="41" spans="1:48" x14ac:dyDescent="0.25">
      <c r="A41">
        <v>39</v>
      </c>
      <c r="B41" s="1">
        <v>45369</v>
      </c>
      <c r="C41" s="1">
        <v>45426</v>
      </c>
      <c r="D41" s="1">
        <v>45426</v>
      </c>
      <c r="E41" s="2">
        <f t="shared" ca="1" si="6"/>
        <v>57</v>
      </c>
      <c r="F41" s="2">
        <f t="shared" ca="1" si="7"/>
        <v>126.49387500000012</v>
      </c>
      <c r="G41" s="115" t="s">
        <v>205</v>
      </c>
      <c r="H41" s="83" t="str">
        <f>IF(ISBLANK(G41), "", VLOOKUP(VLOOKUP(G41, NHLTeams!$B$2:$F$33, 4,FALSE), Conferences!$A$2:$B$3, 2,FALSE))</f>
        <v>Western</v>
      </c>
      <c r="I41" s="93" t="str">
        <f>IF(ISBLANK(G41), "", VLOOKUP(VLOOKUP(G41, NHLTeams!$B$2:$F$33, 5, FALSE), Divisions!$A$2:$B$5, 2, FALSE))</f>
        <v>Central</v>
      </c>
      <c r="J41" t="s">
        <v>53</v>
      </c>
      <c r="K41" t="s">
        <v>398</v>
      </c>
      <c r="L41" t="s">
        <v>399</v>
      </c>
      <c r="M41">
        <v>91</v>
      </c>
      <c r="N41">
        <v>0</v>
      </c>
      <c r="O41">
        <v>0</v>
      </c>
      <c r="P41" t="s">
        <v>297</v>
      </c>
      <c r="Q41" t="s">
        <v>4</v>
      </c>
      <c r="R41" t="s">
        <v>10</v>
      </c>
      <c r="S41" t="s">
        <v>286</v>
      </c>
      <c r="T41" t="s">
        <v>20</v>
      </c>
      <c r="U41" s="118" t="s">
        <v>288</v>
      </c>
      <c r="V41" t="s">
        <v>311</v>
      </c>
      <c r="Y41" s="109" t="s">
        <v>726</v>
      </c>
      <c r="AF41">
        <f t="shared" si="4"/>
        <v>0</v>
      </c>
      <c r="AG41">
        <f t="shared" si="2"/>
        <v>0</v>
      </c>
      <c r="AI41">
        <v>1</v>
      </c>
      <c r="AL41" s="1">
        <v>33585</v>
      </c>
      <c r="AN41" t="s">
        <v>63</v>
      </c>
      <c r="AR41" s="120">
        <f t="shared" ca="1" si="5"/>
        <v>11967.493875</v>
      </c>
      <c r="AS41" s="120">
        <f t="shared" si="9"/>
        <v>1329</v>
      </c>
      <c r="AT41">
        <v>0</v>
      </c>
      <c r="AV41">
        <v>8475765</v>
      </c>
    </row>
    <row r="42" spans="1:48" x14ac:dyDescent="0.25">
      <c r="A42">
        <v>40</v>
      </c>
      <c r="B42" s="1">
        <v>45369</v>
      </c>
      <c r="C42" s="1">
        <v>45386</v>
      </c>
      <c r="D42" s="1">
        <v>45396</v>
      </c>
      <c r="E42" s="2">
        <f t="shared" ca="1" si="6"/>
        <v>17</v>
      </c>
      <c r="F42" s="2">
        <f t="shared" ca="1" si="7"/>
        <v>166.49387500000012</v>
      </c>
      <c r="G42" s="116" t="s">
        <v>96</v>
      </c>
      <c r="H42" s="83" t="str">
        <f>IF(ISBLANK(G42), "", VLOOKUP(VLOOKUP(G42, NHLTeams!$B$2:$F$33, 4,FALSE), Conferences!$A$2:$B$3, 2,FALSE))</f>
        <v>Western</v>
      </c>
      <c r="I42" s="93" t="str">
        <f>IF(ISBLANK(G42), "", VLOOKUP(VLOOKUP(G42, NHLTeams!$B$2:$F$33, 5, FALSE), Divisions!$A$2:$B$5, 2, FALSE))</f>
        <v>Central</v>
      </c>
      <c r="J42" t="s">
        <v>53</v>
      </c>
      <c r="K42" t="s">
        <v>400</v>
      </c>
      <c r="L42" t="s">
        <v>401</v>
      </c>
      <c r="M42">
        <v>16</v>
      </c>
      <c r="N42">
        <v>0</v>
      </c>
      <c r="O42">
        <v>0</v>
      </c>
      <c r="P42" t="s">
        <v>293</v>
      </c>
      <c r="Q42" t="s">
        <v>4</v>
      </c>
      <c r="R42" t="s">
        <v>32</v>
      </c>
      <c r="S42" t="s">
        <v>20</v>
      </c>
      <c r="U42" s="118" t="s">
        <v>288</v>
      </c>
      <c r="V42" t="s">
        <v>311</v>
      </c>
      <c r="Y42" s="109" t="s">
        <v>737</v>
      </c>
      <c r="AF42">
        <f t="shared" si="4"/>
        <v>0</v>
      </c>
      <c r="AG42">
        <f t="shared" si="2"/>
        <v>0</v>
      </c>
      <c r="AI42">
        <v>0</v>
      </c>
      <c r="AL42" s="1">
        <v>34760</v>
      </c>
      <c r="AN42" t="s">
        <v>59</v>
      </c>
      <c r="AR42" s="120">
        <f t="shared" ca="1" si="5"/>
        <v>10792.493875</v>
      </c>
      <c r="AS42" s="120">
        <f t="shared" si="9"/>
        <v>154</v>
      </c>
      <c r="AT42">
        <v>0</v>
      </c>
      <c r="AV42">
        <v>8477503</v>
      </c>
    </row>
    <row r="43" spans="1:48" x14ac:dyDescent="0.25">
      <c r="A43">
        <v>41</v>
      </c>
      <c r="B43" s="1">
        <v>45369</v>
      </c>
      <c r="C43" s="1">
        <v>45386</v>
      </c>
      <c r="D43" s="1">
        <v>45550</v>
      </c>
      <c r="E43" s="2">
        <f t="shared" ca="1" si="6"/>
        <v>17</v>
      </c>
      <c r="F43" s="2">
        <f t="shared" ca="1" si="7"/>
        <v>166.49387500000012</v>
      </c>
      <c r="G43" s="15" t="s">
        <v>26</v>
      </c>
      <c r="H43" s="83" t="str">
        <f>IF(ISBLANK(G43), "", VLOOKUP(VLOOKUP(G43, NHLTeams!$B$2:$F$33, 4,FALSE), Conferences!$A$2:$B$3, 2,FALSE))</f>
        <v>Western</v>
      </c>
      <c r="I43" s="93" t="str">
        <f>IF(ISBLANK(G43), "", VLOOKUP(VLOOKUP(G43, NHLTeams!$B$2:$F$33, 5, FALSE), Divisions!$A$2:$B$5, 2, FALSE))</f>
        <v>Central</v>
      </c>
      <c r="J43" t="s">
        <v>53</v>
      </c>
      <c r="K43" t="s">
        <v>402</v>
      </c>
      <c r="L43" t="s">
        <v>403</v>
      </c>
      <c r="M43">
        <v>9</v>
      </c>
      <c r="N43">
        <v>0</v>
      </c>
      <c r="O43">
        <v>0</v>
      </c>
      <c r="P43" t="s">
        <v>293</v>
      </c>
      <c r="Q43" t="s">
        <v>285</v>
      </c>
      <c r="R43" t="s">
        <v>20</v>
      </c>
      <c r="S43" t="s">
        <v>32</v>
      </c>
      <c r="T43" t="s">
        <v>10</v>
      </c>
      <c r="U43" s="118" t="s">
        <v>288</v>
      </c>
      <c r="V43" t="s">
        <v>311</v>
      </c>
      <c r="AF43">
        <f t="shared" si="4"/>
        <v>0</v>
      </c>
      <c r="AG43">
        <f t="shared" si="2"/>
        <v>0</v>
      </c>
      <c r="AI43">
        <v>0</v>
      </c>
      <c r="AL43" s="1">
        <v>33254</v>
      </c>
      <c r="AN43" t="s">
        <v>323</v>
      </c>
      <c r="AR43" s="120">
        <f t="shared" ca="1" si="5"/>
        <v>12298.493875</v>
      </c>
      <c r="AS43" s="120">
        <f t="shared" si="9"/>
        <v>1660</v>
      </c>
      <c r="AT43">
        <v>0</v>
      </c>
      <c r="AV43">
        <v>8475168</v>
      </c>
    </row>
    <row r="44" spans="1:48" x14ac:dyDescent="0.25">
      <c r="A44">
        <v>42</v>
      </c>
      <c r="B44" s="1">
        <v>45386</v>
      </c>
      <c r="C44" s="1">
        <v>45391</v>
      </c>
      <c r="D44" s="1">
        <v>45393</v>
      </c>
      <c r="E44" s="2">
        <f t="shared" ca="1" si="6"/>
        <v>5</v>
      </c>
      <c r="F44" s="2">
        <f t="shared" ca="1" si="7"/>
        <v>161.49387500000012</v>
      </c>
      <c r="G44" s="117" t="s">
        <v>181</v>
      </c>
      <c r="H44" s="81" t="str">
        <f>IF(ISBLANK(G44), "", VLOOKUP(VLOOKUP(G44, NHLTeams!$B$2:$F$33, 4,FALSE), Conferences!$A$2:$B$3, 2,FALSE))</f>
        <v>Eastern</v>
      </c>
      <c r="I44" s="82" t="str">
        <f>IF(ISBLANK(G44), "", VLOOKUP(VLOOKUP(G44, NHLTeams!$B$2:$F$33, 5, FALSE), Divisions!$A$2:$B$5, 2, FALSE))</f>
        <v>Atlantic</v>
      </c>
      <c r="J44" t="s">
        <v>53</v>
      </c>
      <c r="K44" t="s">
        <v>411</v>
      </c>
      <c r="L44" t="s">
        <v>2</v>
      </c>
      <c r="M44">
        <v>7</v>
      </c>
      <c r="N44">
        <v>1</v>
      </c>
      <c r="O44">
        <v>0</v>
      </c>
      <c r="P44" t="s">
        <v>75</v>
      </c>
      <c r="Q44" t="s">
        <v>4</v>
      </c>
      <c r="R44" t="s">
        <v>73</v>
      </c>
      <c r="S44" t="s">
        <v>3</v>
      </c>
      <c r="T44" t="s">
        <v>20</v>
      </c>
      <c r="U44" s="118">
        <v>56</v>
      </c>
      <c r="V44" t="s">
        <v>302</v>
      </c>
      <c r="W44" t="s">
        <v>303</v>
      </c>
      <c r="X44" t="s">
        <v>372</v>
      </c>
      <c r="Y44" s="109" t="s">
        <v>721</v>
      </c>
      <c r="AF44">
        <f t="shared" si="4"/>
        <v>0</v>
      </c>
      <c r="AG44">
        <f t="shared" si="2"/>
        <v>0</v>
      </c>
      <c r="AI44">
        <v>0</v>
      </c>
      <c r="AL44" s="1">
        <v>36419</v>
      </c>
      <c r="AN44" t="s">
        <v>412</v>
      </c>
      <c r="AR44" s="120">
        <f t="shared" ca="1" si="5"/>
        <v>9133.4938750000001</v>
      </c>
      <c r="AS44" s="120">
        <f t="shared" si="9"/>
        <v>-1505</v>
      </c>
      <c r="AT44">
        <v>0</v>
      </c>
      <c r="AV44">
        <v>8480801</v>
      </c>
    </row>
    <row r="45" spans="1:48" x14ac:dyDescent="0.25">
      <c r="A45">
        <v>43</v>
      </c>
      <c r="B45" s="1">
        <v>45395</v>
      </c>
      <c r="C45" s="1">
        <v>45401</v>
      </c>
      <c r="D45" s="1">
        <v>45464</v>
      </c>
      <c r="E45" s="2">
        <f t="shared" ca="1" si="6"/>
        <v>6</v>
      </c>
      <c r="F45" s="2">
        <f t="shared" ca="1" si="7"/>
        <v>151.49387500000012</v>
      </c>
      <c r="G45" s="95" t="s">
        <v>151</v>
      </c>
      <c r="H45" s="83" t="str">
        <f>IF(ISBLANK(G45), "", VLOOKUP(VLOOKUP(G45, NHLTeams!$B$2:$F$33, 4,FALSE), Conferences!$A$2:$B$3, 2,FALSE))</f>
        <v>Western</v>
      </c>
      <c r="I45" s="84" t="str">
        <f>IF(ISBLANK(G45), "", VLOOKUP(VLOOKUP(G45, NHLTeams!$B$2:$F$33, 5, FALSE), Divisions!$A$2:$B$5, 2, FALSE))</f>
        <v>Pacific</v>
      </c>
      <c r="J45" t="s">
        <v>53</v>
      </c>
      <c r="K45" t="s">
        <v>421</v>
      </c>
      <c r="L45" t="s">
        <v>422</v>
      </c>
      <c r="M45">
        <v>99</v>
      </c>
      <c r="N45">
        <v>1</v>
      </c>
      <c r="O45">
        <v>0</v>
      </c>
      <c r="P45" t="s">
        <v>293</v>
      </c>
      <c r="Q45" t="s">
        <v>4</v>
      </c>
      <c r="R45" t="s">
        <v>73</v>
      </c>
      <c r="S45" t="s">
        <v>443</v>
      </c>
      <c r="T45" t="s">
        <v>20</v>
      </c>
      <c r="U45" s="118" t="s">
        <v>288</v>
      </c>
      <c r="V45" t="s">
        <v>394</v>
      </c>
      <c r="X45" t="s">
        <v>372</v>
      </c>
      <c r="AF45">
        <f t="shared" si="4"/>
        <v>0</v>
      </c>
      <c r="AG45">
        <f t="shared" si="2"/>
        <v>0</v>
      </c>
      <c r="AI45">
        <v>0</v>
      </c>
      <c r="AL45" s="1">
        <v>22307</v>
      </c>
      <c r="AM45">
        <v>1999</v>
      </c>
      <c r="AN45" t="s">
        <v>445</v>
      </c>
      <c r="AO45" t="s">
        <v>395</v>
      </c>
      <c r="AR45" s="120">
        <f t="shared" ca="1" si="5"/>
        <v>23245.493875</v>
      </c>
      <c r="AS45" s="120">
        <f t="shared" si="9"/>
        <v>12607</v>
      </c>
      <c r="AT45">
        <v>0</v>
      </c>
      <c r="AV45">
        <v>8447400</v>
      </c>
    </row>
    <row r="46" spans="1:48" x14ac:dyDescent="0.25">
      <c r="A46">
        <v>44</v>
      </c>
      <c r="B46" s="1">
        <v>45399</v>
      </c>
      <c r="C46" s="1">
        <v>45407</v>
      </c>
      <c r="E46" s="2">
        <f t="shared" ca="1" si="6"/>
        <v>8</v>
      </c>
      <c r="F46" s="2">
        <f t="shared" ca="1" si="7"/>
        <v>145.49387500000012</v>
      </c>
      <c r="G46" s="104" t="s">
        <v>192</v>
      </c>
      <c r="H46" s="83" t="str">
        <f>IF(ISBLANK(G46), "", VLOOKUP(VLOOKUP(G46, NHLTeams!$B$2:$F$33, 4,FALSE), Conferences!$A$2:$B$3, 2,FALSE))</f>
        <v>Western</v>
      </c>
      <c r="I46" s="84" t="str">
        <f>IF(ISBLANK(G46), "", VLOOKUP(VLOOKUP(G46, NHLTeams!$B$2:$F$33, 5, FALSE), Divisions!$A$2:$B$5, 2, FALSE))</f>
        <v>Pacific</v>
      </c>
      <c r="J46" t="s">
        <v>273</v>
      </c>
      <c r="K46" t="s">
        <v>383</v>
      </c>
      <c r="L46" t="s">
        <v>423</v>
      </c>
      <c r="M46">
        <v>55</v>
      </c>
      <c r="N46">
        <v>1</v>
      </c>
      <c r="O46">
        <v>0</v>
      </c>
      <c r="P46" t="s">
        <v>293</v>
      </c>
      <c r="Q46" t="s">
        <v>4</v>
      </c>
      <c r="R46" t="s">
        <v>287</v>
      </c>
      <c r="S46" t="s">
        <v>331</v>
      </c>
      <c r="T46" t="s">
        <v>3</v>
      </c>
      <c r="U46" s="118">
        <v>56</v>
      </c>
      <c r="V46" t="s">
        <v>302</v>
      </c>
      <c r="W46" t="s">
        <v>303</v>
      </c>
      <c r="X46" t="s">
        <v>444</v>
      </c>
      <c r="AA46">
        <v>249.99</v>
      </c>
      <c r="AC46">
        <f>9.62/3</f>
        <v>3.2066666666666666</v>
      </c>
      <c r="AD46">
        <v>150</v>
      </c>
      <c r="AF46">
        <f t="shared" si="4"/>
        <v>15.479500000000002</v>
      </c>
      <c r="AG46">
        <f t="shared" si="2"/>
        <v>118.67616666666669</v>
      </c>
      <c r="AI46">
        <v>0</v>
      </c>
      <c r="AL46" s="1">
        <v>30592</v>
      </c>
      <c r="AN46" t="s">
        <v>58</v>
      </c>
      <c r="AR46" s="120">
        <f t="shared" ca="1" si="5"/>
        <v>14960.493875</v>
      </c>
      <c r="AS46" s="120">
        <f t="shared" si="9"/>
        <v>4322</v>
      </c>
      <c r="AT46">
        <v>0</v>
      </c>
      <c r="AV46">
        <v>8470966</v>
      </c>
    </row>
    <row r="47" spans="1:48" x14ac:dyDescent="0.25">
      <c r="A47">
        <v>45</v>
      </c>
      <c r="B47" s="1">
        <v>45399</v>
      </c>
      <c r="E47" s="2">
        <f t="shared" ca="1" si="6"/>
        <v>153.49387500000012</v>
      </c>
      <c r="F47" s="2">
        <f t="shared" ca="1" si="7"/>
        <v>0</v>
      </c>
      <c r="G47" s="16" t="s">
        <v>65</v>
      </c>
      <c r="H47" s="83" t="str">
        <f>IF(ISBLANK(G47), "", VLOOKUP(VLOOKUP(G47, NHLTeams!$B$2:$F$33, 4,FALSE), Conferences!$A$2:$B$3, 2,FALSE))</f>
        <v>Western</v>
      </c>
      <c r="I47" s="93" t="str">
        <f>IF(ISBLANK(G47), "", VLOOKUP(VLOOKUP(G47, NHLTeams!$B$2:$F$33, 5, FALSE), Divisions!$A$2:$B$5, 2, FALSE))</f>
        <v>Central</v>
      </c>
      <c r="AA47">
        <v>249.99</v>
      </c>
      <c r="AC47">
        <f>9.62/3</f>
        <v>3.2066666666666666</v>
      </c>
      <c r="AD47">
        <v>100</v>
      </c>
      <c r="AF47">
        <f t="shared" si="4"/>
        <v>22.979500000000002</v>
      </c>
      <c r="AG47">
        <f t="shared" si="2"/>
        <v>176.17616666666669</v>
      </c>
      <c r="AL47" s="1">
        <v>35408</v>
      </c>
      <c r="AR47" s="120">
        <f t="shared" ca="1" si="5"/>
        <v>10144.493875</v>
      </c>
      <c r="AS47" s="120">
        <f t="shared" si="9"/>
        <v>-494</v>
      </c>
      <c r="AT47">
        <v>1</v>
      </c>
    </row>
    <row r="48" spans="1:48" x14ac:dyDescent="0.25">
      <c r="A48">
        <v>46</v>
      </c>
      <c r="B48" s="1">
        <v>45399</v>
      </c>
      <c r="C48" s="1">
        <v>45407</v>
      </c>
      <c r="D48" s="1">
        <v>45538</v>
      </c>
      <c r="E48" s="2">
        <f t="shared" ca="1" si="6"/>
        <v>8</v>
      </c>
      <c r="F48" s="2">
        <f t="shared" ca="1" si="7"/>
        <v>145.49387500000012</v>
      </c>
      <c r="G48" s="117" t="s">
        <v>181</v>
      </c>
      <c r="H48" s="81" t="str">
        <f>IF(ISBLANK(G48), "", VLOOKUP(VLOOKUP(G48, NHLTeams!$B$2:$F$33, 4,FALSE), Conferences!$A$2:$B$3, 2,FALSE))</f>
        <v>Eastern</v>
      </c>
      <c r="I48" s="82" t="str">
        <f>IF(ISBLANK(G48), "", VLOOKUP(VLOOKUP(G48, NHLTeams!$B$2:$F$33, 5, FALSE), Divisions!$A$2:$B$5, 2, FALSE))</f>
        <v>Atlantic</v>
      </c>
      <c r="J48" t="s">
        <v>53</v>
      </c>
      <c r="K48" t="s">
        <v>424</v>
      </c>
      <c r="L48" t="s">
        <v>425</v>
      </c>
      <c r="M48">
        <v>19</v>
      </c>
      <c r="N48">
        <v>0</v>
      </c>
      <c r="O48">
        <v>0</v>
      </c>
      <c r="P48" t="s">
        <v>293</v>
      </c>
      <c r="Q48" t="s">
        <v>285</v>
      </c>
      <c r="R48" t="s">
        <v>20</v>
      </c>
      <c r="S48" t="s">
        <v>3</v>
      </c>
      <c r="T48" t="s">
        <v>73</v>
      </c>
      <c r="U48" s="118">
        <v>56</v>
      </c>
      <c r="V48" t="s">
        <v>302</v>
      </c>
      <c r="W48" t="s">
        <v>303</v>
      </c>
      <c r="X48" t="s">
        <v>444</v>
      </c>
      <c r="AA48">
        <v>249.99</v>
      </c>
      <c r="AC48">
        <f>9.62/3</f>
        <v>3.2066666666666666</v>
      </c>
      <c r="AD48">
        <v>100</v>
      </c>
      <c r="AF48">
        <f t="shared" si="4"/>
        <v>22.979500000000002</v>
      </c>
      <c r="AG48">
        <f t="shared" si="2"/>
        <v>176.17616666666669</v>
      </c>
      <c r="AI48">
        <v>0</v>
      </c>
      <c r="AL48" s="1">
        <v>35912</v>
      </c>
      <c r="AN48" t="s">
        <v>412</v>
      </c>
      <c r="AR48" s="120">
        <f t="shared" ca="1" si="5"/>
        <v>9640.4938750000001</v>
      </c>
      <c r="AS48" s="120">
        <f t="shared" si="9"/>
        <v>-998</v>
      </c>
      <c r="AT48">
        <v>0</v>
      </c>
      <c r="AV48">
        <v>8480208</v>
      </c>
    </row>
    <row r="49" spans="1:48" x14ac:dyDescent="0.25">
      <c r="A49">
        <v>47</v>
      </c>
      <c r="B49" s="1">
        <v>45445</v>
      </c>
      <c r="C49" s="1">
        <v>45454</v>
      </c>
      <c r="D49" s="1">
        <v>45513</v>
      </c>
      <c r="E49" s="2">
        <f t="shared" ca="1" si="6"/>
        <v>9</v>
      </c>
      <c r="F49" s="2">
        <f t="shared" ca="1" si="7"/>
        <v>98.493875000000116</v>
      </c>
      <c r="G49" s="14" t="s">
        <v>25</v>
      </c>
      <c r="H49" s="81" t="str">
        <f>IF(ISBLANK(G49), "", VLOOKUP(VLOOKUP(G49, NHLTeams!$B$2:$F$33, 4,FALSE), Conferences!$A$2:$B$3, 2,FALSE))</f>
        <v>Eastern</v>
      </c>
      <c r="I49" s="82" t="str">
        <f>IF(ISBLANK(G49), "", VLOOKUP(VLOOKUP(G49, NHLTeams!$B$2:$F$33, 5, FALSE), Divisions!$A$2:$B$5, 2, FALSE))</f>
        <v>Atlantic</v>
      </c>
      <c r="J49" t="s">
        <v>53</v>
      </c>
      <c r="K49" t="s">
        <v>426</v>
      </c>
      <c r="L49" t="s">
        <v>427</v>
      </c>
      <c r="M49">
        <v>14</v>
      </c>
      <c r="N49">
        <v>1</v>
      </c>
      <c r="O49">
        <v>0</v>
      </c>
      <c r="P49" t="s">
        <v>293</v>
      </c>
      <c r="Q49" t="s">
        <v>483</v>
      </c>
      <c r="R49" t="s">
        <v>385</v>
      </c>
      <c r="S49" t="s">
        <v>430</v>
      </c>
      <c r="T49" t="s">
        <v>20</v>
      </c>
      <c r="U49" s="118">
        <v>56</v>
      </c>
      <c r="V49" t="s">
        <v>302</v>
      </c>
      <c r="W49" t="s">
        <v>303</v>
      </c>
      <c r="Y49" s="109" t="s">
        <v>378</v>
      </c>
      <c r="AF49">
        <f t="shared" si="4"/>
        <v>0</v>
      </c>
      <c r="AG49">
        <f t="shared" si="2"/>
        <v>0</v>
      </c>
      <c r="AI49">
        <v>0</v>
      </c>
      <c r="AL49" s="1">
        <v>36382</v>
      </c>
      <c r="AN49" t="s">
        <v>432</v>
      </c>
      <c r="AR49" s="120">
        <f t="shared" ca="1" si="5"/>
        <v>9170.4938750000001</v>
      </c>
      <c r="AS49" s="120">
        <f t="shared" si="9"/>
        <v>-1468</v>
      </c>
      <c r="AT49">
        <v>0</v>
      </c>
      <c r="AV49">
        <v>8480018</v>
      </c>
    </row>
    <row r="50" spans="1:48" x14ac:dyDescent="0.25">
      <c r="A50">
        <v>48</v>
      </c>
      <c r="B50" s="1">
        <v>45449</v>
      </c>
      <c r="C50" s="1">
        <v>45464</v>
      </c>
      <c r="D50" s="1">
        <v>45550</v>
      </c>
      <c r="E50" s="2">
        <f t="shared" ca="1" si="6"/>
        <v>15</v>
      </c>
      <c r="F50" s="2">
        <f t="shared" ca="1" si="7"/>
        <v>88.493875000000116</v>
      </c>
      <c r="G50" s="17" t="s">
        <v>66</v>
      </c>
      <c r="H50" s="81" t="str">
        <f>IF(ISBLANK(G50), "", VLOOKUP(VLOOKUP(G50, NHLTeams!$B$2:$F$33, 4,FALSE), Conferences!$A$2:$B$3, 2,FALSE))</f>
        <v>Eastern</v>
      </c>
      <c r="I50" s="85" t="str">
        <f>IF(ISBLANK(G50), "", VLOOKUP(VLOOKUP(G50, NHLTeams!$B$2:$F$33, 5, FALSE), Divisions!$A$2:$B$5, 2, FALSE))</f>
        <v>Metropolitan</v>
      </c>
      <c r="J50" t="s">
        <v>273</v>
      </c>
      <c r="K50" t="s">
        <v>428</v>
      </c>
      <c r="L50" t="s">
        <v>429</v>
      </c>
      <c r="M50">
        <v>58</v>
      </c>
      <c r="N50">
        <v>0</v>
      </c>
      <c r="O50">
        <v>0</v>
      </c>
      <c r="P50" t="s">
        <v>293</v>
      </c>
      <c r="Q50" t="s">
        <v>330</v>
      </c>
      <c r="R50" t="s">
        <v>73</v>
      </c>
      <c r="S50" t="s">
        <v>286</v>
      </c>
      <c r="T50" t="s">
        <v>20</v>
      </c>
      <c r="U50" s="118">
        <v>56</v>
      </c>
      <c r="V50" t="s">
        <v>302</v>
      </c>
      <c r="W50" t="s">
        <v>303</v>
      </c>
      <c r="X50" t="s">
        <v>431</v>
      </c>
      <c r="AF50">
        <f t="shared" si="4"/>
        <v>0</v>
      </c>
      <c r="AG50">
        <f t="shared" si="2"/>
        <v>0</v>
      </c>
      <c r="AI50">
        <v>1</v>
      </c>
      <c r="AL50" s="1">
        <v>31891</v>
      </c>
      <c r="AN50" t="s">
        <v>291</v>
      </c>
      <c r="AR50" s="120">
        <f t="shared" ca="1" si="5"/>
        <v>13661.493875</v>
      </c>
      <c r="AS50" s="120">
        <f t="shared" si="9"/>
        <v>3023</v>
      </c>
      <c r="AT50">
        <v>0</v>
      </c>
      <c r="AU50" t="s">
        <v>720</v>
      </c>
      <c r="AV50">
        <v>8471724</v>
      </c>
    </row>
    <row r="51" spans="1:48" x14ac:dyDescent="0.25">
      <c r="A51">
        <v>49</v>
      </c>
      <c r="B51" s="1">
        <v>45450</v>
      </c>
      <c r="C51" s="1">
        <v>45456</v>
      </c>
      <c r="E51" s="2">
        <f t="shared" ca="1" si="6"/>
        <v>6</v>
      </c>
      <c r="F51" s="2">
        <f t="shared" ca="1" si="7"/>
        <v>96.493875000000116</v>
      </c>
      <c r="G51" s="96" t="s">
        <v>177</v>
      </c>
      <c r="H51" s="81" t="str">
        <f>IF(ISBLANK(G51), "", VLOOKUP(VLOOKUP(G51, NHLTeams!$B$2:$F$33, 4,FALSE), Conferences!$A$2:$B$3, 2,FALSE))</f>
        <v>Eastern</v>
      </c>
      <c r="I51" s="85" t="str">
        <f>IF(ISBLANK(G51), "", VLOOKUP(VLOOKUP(G51, NHLTeams!$B$2:$F$33, 5, FALSE), Divisions!$A$2:$B$5, 2, FALSE))</f>
        <v>Metropolitan</v>
      </c>
      <c r="J51" t="s">
        <v>53</v>
      </c>
      <c r="K51" t="s">
        <v>433</v>
      </c>
      <c r="L51" t="s">
        <v>434</v>
      </c>
      <c r="M51">
        <v>10</v>
      </c>
      <c r="N51">
        <v>0</v>
      </c>
      <c r="O51">
        <v>0</v>
      </c>
      <c r="P51" t="s">
        <v>297</v>
      </c>
      <c r="Q51" t="s">
        <v>330</v>
      </c>
      <c r="R51" t="s">
        <v>430</v>
      </c>
      <c r="S51" t="s">
        <v>3</v>
      </c>
      <c r="T51" t="s">
        <v>385</v>
      </c>
      <c r="U51" s="118">
        <v>56</v>
      </c>
      <c r="V51" t="s">
        <v>302</v>
      </c>
      <c r="W51" t="s">
        <v>303</v>
      </c>
      <c r="X51" t="s">
        <v>372</v>
      </c>
      <c r="AB51">
        <f t="shared" ref="AB51:AB57" si="10">214.1/7</f>
        <v>30.585714285714285</v>
      </c>
      <c r="AC51">
        <f t="shared" ref="AC51:AC57" si="11">15.99/7</f>
        <v>2.2842857142857143</v>
      </c>
      <c r="AE51" t="s">
        <v>458</v>
      </c>
      <c r="AF51">
        <f t="shared" si="4"/>
        <v>4.9304999999999994</v>
      </c>
      <c r="AG51">
        <f t="shared" si="2"/>
        <v>37.8005</v>
      </c>
      <c r="AI51">
        <v>0</v>
      </c>
      <c r="AL51" s="1">
        <v>33541</v>
      </c>
      <c r="AN51" t="s">
        <v>59</v>
      </c>
      <c r="AR51" s="120">
        <f t="shared" ca="1" si="5"/>
        <v>12011.493875</v>
      </c>
      <c r="AS51" s="120">
        <f t="shared" si="9"/>
        <v>1373</v>
      </c>
      <c r="AT51">
        <v>0</v>
      </c>
      <c r="AU51" t="s">
        <v>718</v>
      </c>
      <c r="AV51">
        <v>8478550</v>
      </c>
    </row>
    <row r="52" spans="1:48" x14ac:dyDescent="0.25">
      <c r="A52">
        <v>50</v>
      </c>
      <c r="B52" s="1">
        <v>45450</v>
      </c>
      <c r="C52" s="1">
        <v>45456</v>
      </c>
      <c r="E52" s="2">
        <f t="shared" ca="1" si="6"/>
        <v>6</v>
      </c>
      <c r="F52" s="2">
        <f t="shared" ca="1" si="7"/>
        <v>96.493875000000116</v>
      </c>
      <c r="G52" s="103" t="s">
        <v>171</v>
      </c>
      <c r="H52" s="81" t="str">
        <f>IF(ISBLANK(G52), "", VLOOKUP(VLOOKUP(G52, NHLTeams!$B$2:$F$33, 4,FALSE), Conferences!$A$2:$B$3, 2,FALSE))</f>
        <v>Eastern</v>
      </c>
      <c r="I52" s="85" t="str">
        <f>IF(ISBLANK(G52), "", VLOOKUP(VLOOKUP(G52, NHLTeams!$B$2:$F$33, 5, FALSE), Divisions!$A$2:$B$5, 2, FALSE))</f>
        <v>Metropolitan</v>
      </c>
      <c r="J52" t="s">
        <v>53</v>
      </c>
      <c r="K52" t="s">
        <v>1</v>
      </c>
      <c r="L52" t="s">
        <v>435</v>
      </c>
      <c r="M52">
        <v>13</v>
      </c>
      <c r="N52">
        <v>0</v>
      </c>
      <c r="O52">
        <v>0</v>
      </c>
      <c r="P52" t="s">
        <v>293</v>
      </c>
      <c r="Q52" t="s">
        <v>4</v>
      </c>
      <c r="R52" t="s">
        <v>430</v>
      </c>
      <c r="S52" t="s">
        <v>21</v>
      </c>
      <c r="T52" t="s">
        <v>20</v>
      </c>
      <c r="U52" s="118">
        <v>56</v>
      </c>
      <c r="V52" t="s">
        <v>302</v>
      </c>
      <c r="W52" t="s">
        <v>303</v>
      </c>
      <c r="X52" t="s">
        <v>372</v>
      </c>
      <c r="AB52">
        <f t="shared" si="10"/>
        <v>30.585714285714285</v>
      </c>
      <c r="AC52">
        <f t="shared" si="11"/>
        <v>2.2842857142857143</v>
      </c>
      <c r="AD52">
        <v>93</v>
      </c>
      <c r="AE52" t="s">
        <v>458</v>
      </c>
      <c r="AF52">
        <f t="shared" si="4"/>
        <v>-9.0195000000000007</v>
      </c>
      <c r="AG52">
        <f t="shared" si="2"/>
        <v>-69.149500000000003</v>
      </c>
      <c r="AI52">
        <v>0</v>
      </c>
      <c r="AL52" s="1">
        <v>35576</v>
      </c>
      <c r="AN52" t="s">
        <v>64</v>
      </c>
      <c r="AR52" s="120">
        <f t="shared" ca="1" si="5"/>
        <v>9976.4938750000001</v>
      </c>
      <c r="AS52" s="120">
        <f t="shared" si="9"/>
        <v>-662</v>
      </c>
      <c r="AT52">
        <v>0</v>
      </c>
      <c r="AV52">
        <v>8478445</v>
      </c>
    </row>
    <row r="53" spans="1:48" x14ac:dyDescent="0.25">
      <c r="A53">
        <v>51</v>
      </c>
      <c r="B53" s="1">
        <v>45450</v>
      </c>
      <c r="C53" s="1">
        <v>45456</v>
      </c>
      <c r="D53" s="1">
        <v>45534</v>
      </c>
      <c r="E53" s="2">
        <f t="shared" ca="1" si="6"/>
        <v>6</v>
      </c>
      <c r="F53" s="2">
        <f t="shared" ca="1" si="7"/>
        <v>96.493875000000116</v>
      </c>
      <c r="G53" s="112" t="s">
        <v>117</v>
      </c>
      <c r="H53" s="81" t="str">
        <f>IF(ISBLANK(G53), "", VLOOKUP(VLOOKUP(G53, NHLTeams!$B$2:$F$33, 4,FALSE), Conferences!$A$2:$B$3, 2,FALSE))</f>
        <v>Eastern</v>
      </c>
      <c r="I53" s="85" t="str">
        <f>IF(ISBLANK(G53), "", VLOOKUP(VLOOKUP(G53, NHLTeams!$B$2:$F$33, 5, FALSE), Divisions!$A$2:$B$5, 2, FALSE))</f>
        <v>Metropolitan</v>
      </c>
      <c r="J53" t="s">
        <v>53</v>
      </c>
      <c r="K53" t="s">
        <v>442</v>
      </c>
      <c r="L53" t="s">
        <v>436</v>
      </c>
      <c r="M53">
        <v>13</v>
      </c>
      <c r="N53">
        <v>0</v>
      </c>
      <c r="O53">
        <v>0</v>
      </c>
      <c r="P53" t="s">
        <v>75</v>
      </c>
      <c r="Q53" t="s">
        <v>4</v>
      </c>
      <c r="R53" t="s">
        <v>10</v>
      </c>
      <c r="S53" t="s">
        <v>20</v>
      </c>
      <c r="T53" t="s">
        <v>3</v>
      </c>
      <c r="U53" s="118">
        <v>56</v>
      </c>
      <c r="V53" t="s">
        <v>302</v>
      </c>
      <c r="W53" t="s">
        <v>303</v>
      </c>
      <c r="X53" t="s">
        <v>372</v>
      </c>
      <c r="AB53">
        <f t="shared" si="10"/>
        <v>30.585714285714285</v>
      </c>
      <c r="AC53">
        <f t="shared" si="11"/>
        <v>2.2842857142857143</v>
      </c>
      <c r="AD53">
        <v>93</v>
      </c>
      <c r="AE53" t="s">
        <v>458</v>
      </c>
      <c r="AF53">
        <f t="shared" si="4"/>
        <v>-9.0195000000000007</v>
      </c>
      <c r="AG53">
        <f t="shared" si="2"/>
        <v>-69.149500000000003</v>
      </c>
      <c r="AI53">
        <v>0</v>
      </c>
      <c r="AL53" s="1">
        <v>34194</v>
      </c>
      <c r="AN53" t="s">
        <v>60</v>
      </c>
      <c r="AR53" s="120">
        <f t="shared" ca="1" si="5"/>
        <v>11358.493875</v>
      </c>
      <c r="AS53" s="120">
        <f t="shared" si="9"/>
        <v>720</v>
      </c>
      <c r="AT53">
        <v>0</v>
      </c>
      <c r="AU53" t="s">
        <v>717</v>
      </c>
      <c r="AV53">
        <v>8476346</v>
      </c>
    </row>
    <row r="54" spans="1:48" x14ac:dyDescent="0.25">
      <c r="A54">
        <v>52</v>
      </c>
      <c r="B54" s="1">
        <v>45450</v>
      </c>
      <c r="C54" s="1">
        <v>45461</v>
      </c>
      <c r="D54" s="1">
        <v>45474</v>
      </c>
      <c r="E54" s="2">
        <f t="shared" ca="1" si="6"/>
        <v>11</v>
      </c>
      <c r="F54" s="2">
        <f t="shared" ca="1" si="7"/>
        <v>91.493875000000116</v>
      </c>
      <c r="G54" s="110" t="s">
        <v>209</v>
      </c>
      <c r="H54" s="81" t="str">
        <f>IF(ISBLANK(G54), "", VLOOKUP(VLOOKUP(G54, NHLTeams!$B$2:$F$33, 4,FALSE), Conferences!$A$2:$B$3, 2,FALSE))</f>
        <v>Eastern</v>
      </c>
      <c r="I54" s="82" t="str">
        <f>IF(ISBLANK(G54), "", VLOOKUP(VLOOKUP(G54, NHLTeams!$B$2:$F$33, 5, FALSE), Divisions!$A$2:$B$5, 2, FALSE))</f>
        <v>Atlantic</v>
      </c>
      <c r="J54" t="s">
        <v>53</v>
      </c>
      <c r="K54" t="s">
        <v>437</v>
      </c>
      <c r="L54" t="s">
        <v>413</v>
      </c>
      <c r="M54">
        <v>91</v>
      </c>
      <c r="N54">
        <v>1</v>
      </c>
      <c r="O54">
        <v>0</v>
      </c>
      <c r="P54" t="s">
        <v>293</v>
      </c>
      <c r="Q54" t="s">
        <v>4</v>
      </c>
      <c r="R54" t="s">
        <v>10</v>
      </c>
      <c r="S54" t="s">
        <v>20</v>
      </c>
      <c r="U54" s="118">
        <v>56</v>
      </c>
      <c r="V54" t="s">
        <v>302</v>
      </c>
      <c r="W54" t="s">
        <v>303</v>
      </c>
      <c r="X54" t="s">
        <v>372</v>
      </c>
      <c r="Y54" s="109" t="s">
        <v>380</v>
      </c>
      <c r="AB54">
        <f t="shared" si="10"/>
        <v>30.585714285714285</v>
      </c>
      <c r="AC54">
        <f t="shared" si="11"/>
        <v>2.2842857142857143</v>
      </c>
      <c r="AD54">
        <v>93</v>
      </c>
      <c r="AE54" t="s">
        <v>458</v>
      </c>
      <c r="AF54">
        <f t="shared" si="4"/>
        <v>-9.0195000000000007</v>
      </c>
      <c r="AG54">
        <f t="shared" si="2"/>
        <v>-69.149500000000003</v>
      </c>
      <c r="AI54">
        <v>0</v>
      </c>
      <c r="AL54" s="1">
        <v>32911</v>
      </c>
      <c r="AN54" t="s">
        <v>260</v>
      </c>
      <c r="AR54" s="120">
        <f t="shared" ca="1" si="5"/>
        <v>12641.493875</v>
      </c>
      <c r="AS54" s="120">
        <f t="shared" si="9"/>
        <v>2003</v>
      </c>
      <c r="AT54">
        <v>0</v>
      </c>
      <c r="AV54">
        <v>8474564</v>
      </c>
    </row>
    <row r="55" spans="1:48" x14ac:dyDescent="0.25">
      <c r="A55">
        <v>53</v>
      </c>
      <c r="B55" s="1">
        <v>45450</v>
      </c>
      <c r="C55" s="1">
        <v>45456</v>
      </c>
      <c r="E55" s="2">
        <f t="shared" ca="1" si="6"/>
        <v>6</v>
      </c>
      <c r="F55" s="2">
        <f t="shared" ca="1" si="7"/>
        <v>96.493875000000116</v>
      </c>
      <c r="G55" s="16" t="s">
        <v>65</v>
      </c>
      <c r="H55" s="83" t="str">
        <f>IF(ISBLANK(G55), "", VLOOKUP(VLOOKUP(G55, NHLTeams!$B$2:$F$33, 4,FALSE), Conferences!$A$2:$B$3, 2,FALSE))</f>
        <v>Western</v>
      </c>
      <c r="I55" s="93" t="str">
        <f>IF(ISBLANK(G55), "", VLOOKUP(VLOOKUP(G55, NHLTeams!$B$2:$F$33, 5, FALSE), Divisions!$A$2:$B$5, 2, FALSE))</f>
        <v>Central</v>
      </c>
      <c r="J55" t="s">
        <v>53</v>
      </c>
      <c r="K55" t="s">
        <v>438</v>
      </c>
      <c r="L55" t="s">
        <v>9</v>
      </c>
      <c r="M55">
        <v>81</v>
      </c>
      <c r="N55">
        <v>0</v>
      </c>
      <c r="O55">
        <v>0</v>
      </c>
      <c r="P55" t="s">
        <v>75</v>
      </c>
      <c r="Q55" t="s">
        <v>262</v>
      </c>
      <c r="R55" t="s">
        <v>385</v>
      </c>
      <c r="S55" t="s">
        <v>3</v>
      </c>
      <c r="T55" t="s">
        <v>10</v>
      </c>
      <c r="U55" s="118">
        <v>56</v>
      </c>
      <c r="V55" t="s">
        <v>302</v>
      </c>
      <c r="W55" t="s">
        <v>303</v>
      </c>
      <c r="X55" t="s">
        <v>372</v>
      </c>
      <c r="AB55">
        <f t="shared" si="10"/>
        <v>30.585714285714285</v>
      </c>
      <c r="AC55">
        <f t="shared" si="11"/>
        <v>2.2842857142857143</v>
      </c>
      <c r="AE55" t="s">
        <v>458</v>
      </c>
      <c r="AF55">
        <f t="shared" si="4"/>
        <v>4.9304999999999994</v>
      </c>
      <c r="AG55">
        <f t="shared" si="2"/>
        <v>37.8005</v>
      </c>
      <c r="AI55">
        <v>0</v>
      </c>
      <c r="AL55" s="1">
        <v>35408</v>
      </c>
      <c r="AN55" t="s">
        <v>64</v>
      </c>
      <c r="AR55" s="120">
        <f t="shared" ca="1" si="5"/>
        <v>10144.493875</v>
      </c>
      <c r="AS55" s="120">
        <f t="shared" si="9"/>
        <v>-494</v>
      </c>
      <c r="AT55">
        <v>0</v>
      </c>
      <c r="AV55">
        <v>8478398</v>
      </c>
    </row>
    <row r="56" spans="1:48" x14ac:dyDescent="0.25">
      <c r="A56">
        <v>54</v>
      </c>
      <c r="B56" s="1">
        <v>45450</v>
      </c>
      <c r="C56" s="1">
        <v>45456</v>
      </c>
      <c r="E56" s="2">
        <f t="shared" ca="1" si="6"/>
        <v>6</v>
      </c>
      <c r="F56" s="2">
        <f t="shared" ca="1" si="7"/>
        <v>96.493875000000116</v>
      </c>
      <c r="G56" s="111" t="s">
        <v>136</v>
      </c>
      <c r="H56" s="83" t="str">
        <f>IF(ISBLANK(G56), "", VLOOKUP(VLOOKUP(G56, NHLTeams!$B$2:$F$33, 4,FALSE), Conferences!$A$2:$B$3, 2,FALSE))</f>
        <v>Western</v>
      </c>
      <c r="I56" s="93" t="str">
        <f>IF(ISBLANK(G56), "", VLOOKUP(VLOOKUP(G56, NHLTeams!$B$2:$F$33, 5, FALSE), Divisions!$A$2:$B$5, 2, FALSE))</f>
        <v>Central</v>
      </c>
      <c r="J56" t="s">
        <v>53</v>
      </c>
      <c r="K56" t="s">
        <v>439</v>
      </c>
      <c r="L56" t="s">
        <v>440</v>
      </c>
      <c r="M56">
        <v>91</v>
      </c>
      <c r="N56">
        <v>0</v>
      </c>
      <c r="O56">
        <v>0</v>
      </c>
      <c r="P56" t="s">
        <v>293</v>
      </c>
      <c r="Q56" t="s">
        <v>4</v>
      </c>
      <c r="R56" t="s">
        <v>270</v>
      </c>
      <c r="S56" t="s">
        <v>20</v>
      </c>
      <c r="T56" t="s">
        <v>443</v>
      </c>
      <c r="U56" s="118">
        <v>56</v>
      </c>
      <c r="V56" t="s">
        <v>302</v>
      </c>
      <c r="X56" t="s">
        <v>372</v>
      </c>
      <c r="AB56">
        <f t="shared" si="10"/>
        <v>30.585714285714285</v>
      </c>
      <c r="AC56">
        <f t="shared" si="11"/>
        <v>2.2842857142857143</v>
      </c>
      <c r="AE56" t="s">
        <v>458</v>
      </c>
      <c r="AF56">
        <f t="shared" si="4"/>
        <v>4.9304999999999994</v>
      </c>
      <c r="AG56">
        <f t="shared" si="2"/>
        <v>37.8005</v>
      </c>
      <c r="AI56">
        <v>0</v>
      </c>
      <c r="AL56" s="1">
        <v>33634</v>
      </c>
      <c r="AN56" t="s">
        <v>290</v>
      </c>
      <c r="AR56" s="120">
        <f t="shared" ca="1" si="5"/>
        <v>11918.493875</v>
      </c>
      <c r="AS56" s="120">
        <f t="shared" si="9"/>
        <v>1280</v>
      </c>
      <c r="AT56">
        <v>0</v>
      </c>
      <c r="AV56">
        <v>8475794</v>
      </c>
    </row>
    <row r="57" spans="1:48" x14ac:dyDescent="0.25">
      <c r="A57">
        <v>55</v>
      </c>
      <c r="B57" s="1">
        <v>45450</v>
      </c>
      <c r="C57" s="1">
        <v>45456</v>
      </c>
      <c r="E57" s="2">
        <f t="shared" ca="1" si="6"/>
        <v>6</v>
      </c>
      <c r="F57" s="2">
        <f t="shared" ca="1" si="7"/>
        <v>96.493875000000116</v>
      </c>
      <c r="G57" s="94" t="s">
        <v>216</v>
      </c>
      <c r="H57" s="83" t="str">
        <f>IF(ISBLANK(G57), "", VLOOKUP(VLOOKUP(G57, NHLTeams!$B$2:$F$33, 4,FALSE), Conferences!$A$2:$B$3, 2,FALSE))</f>
        <v>Western</v>
      </c>
      <c r="I57" s="84" t="str">
        <f>IF(ISBLANK(G57), "", VLOOKUP(VLOOKUP(G57, NHLTeams!$B$2:$F$33, 5, FALSE), Divisions!$A$2:$B$5, 2, FALSE))</f>
        <v>Pacific</v>
      </c>
      <c r="J57" t="s">
        <v>53</v>
      </c>
      <c r="K57" t="s">
        <v>441</v>
      </c>
      <c r="L57" t="s">
        <v>745</v>
      </c>
      <c r="M57">
        <v>40</v>
      </c>
      <c r="N57">
        <v>0</v>
      </c>
      <c r="O57">
        <v>0</v>
      </c>
      <c r="P57" t="s">
        <v>309</v>
      </c>
      <c r="Q57" t="s">
        <v>285</v>
      </c>
      <c r="R57" t="s">
        <v>20</v>
      </c>
      <c r="S57" t="s">
        <v>10</v>
      </c>
      <c r="T57" t="s">
        <v>270</v>
      </c>
      <c r="U57" s="118">
        <v>56</v>
      </c>
      <c r="V57" t="s">
        <v>302</v>
      </c>
      <c r="W57" t="s">
        <v>303</v>
      </c>
      <c r="X57" t="s">
        <v>372</v>
      </c>
      <c r="AB57">
        <f t="shared" si="10"/>
        <v>30.585714285714285</v>
      </c>
      <c r="AC57">
        <f t="shared" si="11"/>
        <v>2.2842857142857143</v>
      </c>
      <c r="AE57" t="s">
        <v>458</v>
      </c>
      <c r="AF57">
        <f t="shared" si="4"/>
        <v>4.9304999999999994</v>
      </c>
      <c r="AG57">
        <f t="shared" si="2"/>
        <v>37.8005</v>
      </c>
      <c r="AI57">
        <v>0</v>
      </c>
      <c r="AL57" s="1">
        <v>36111</v>
      </c>
      <c r="AN57" t="s">
        <v>412</v>
      </c>
      <c r="AR57" s="120">
        <f t="shared" ca="1" si="5"/>
        <v>9441.4938750000001</v>
      </c>
      <c r="AS57" s="120">
        <f t="shared" si="9"/>
        <v>-1197</v>
      </c>
      <c r="AT57">
        <v>0</v>
      </c>
      <c r="AV57">
        <v>8480012</v>
      </c>
    </row>
    <row r="58" spans="1:48" x14ac:dyDescent="0.25">
      <c r="A58">
        <v>56</v>
      </c>
      <c r="B58" s="1">
        <v>45452</v>
      </c>
      <c r="C58" s="1">
        <v>45457</v>
      </c>
      <c r="D58" s="1">
        <v>45513</v>
      </c>
      <c r="E58" s="2">
        <f t="shared" ca="1" si="6"/>
        <v>5</v>
      </c>
      <c r="F58" s="2">
        <f t="shared" ca="1" si="7"/>
        <v>95.493875000000116</v>
      </c>
      <c r="G58" s="19" t="s">
        <v>5</v>
      </c>
      <c r="H58" s="83" t="str">
        <f>IF(ISBLANK(G58), "", VLOOKUP(VLOOKUP(G58, NHLTeams!$B$2:$F$33, 4,FALSE), Conferences!$A$2:$B$3, 2,FALSE))</f>
        <v>Western</v>
      </c>
      <c r="I58" s="84" t="str">
        <f>IF(ISBLANK(G58), "", VLOOKUP(VLOOKUP(G58, NHLTeams!$B$2:$F$33, 5, FALSE), Divisions!$A$2:$B$5, 2, FALSE))</f>
        <v>Pacific</v>
      </c>
      <c r="J58" t="s">
        <v>53</v>
      </c>
      <c r="K58" t="s">
        <v>442</v>
      </c>
      <c r="L58" t="s">
        <v>436</v>
      </c>
      <c r="M58">
        <v>13</v>
      </c>
      <c r="N58">
        <v>0</v>
      </c>
      <c r="O58">
        <v>0</v>
      </c>
      <c r="P58" t="s">
        <v>75</v>
      </c>
      <c r="Q58" t="s">
        <v>483</v>
      </c>
      <c r="R58" t="s">
        <v>73</v>
      </c>
      <c r="S58" t="s">
        <v>3</v>
      </c>
      <c r="T58" t="s">
        <v>286</v>
      </c>
      <c r="U58" s="118">
        <v>56</v>
      </c>
      <c r="V58" t="s">
        <v>302</v>
      </c>
      <c r="W58" t="s">
        <v>303</v>
      </c>
      <c r="X58" t="s">
        <v>444</v>
      </c>
      <c r="Y58" s="109" t="s">
        <v>738</v>
      </c>
      <c r="AA58">
        <v>49.99</v>
      </c>
      <c r="AB58">
        <v>1</v>
      </c>
      <c r="AC58">
        <v>0</v>
      </c>
      <c r="AE58" t="s">
        <v>459</v>
      </c>
      <c r="AF58">
        <f t="shared" si="4"/>
        <v>7.6485000000000003</v>
      </c>
      <c r="AG58">
        <f t="shared" si="2"/>
        <v>58.638500000000001</v>
      </c>
      <c r="AI58">
        <v>0</v>
      </c>
      <c r="AL58" s="1">
        <v>34194</v>
      </c>
      <c r="AN58" t="s">
        <v>60</v>
      </c>
      <c r="AR58" s="120">
        <f t="shared" ca="1" si="5"/>
        <v>11358.493875</v>
      </c>
      <c r="AS58" s="120">
        <f t="shared" si="9"/>
        <v>720</v>
      </c>
      <c r="AT58">
        <v>0</v>
      </c>
      <c r="AV58">
        <v>8476346</v>
      </c>
    </row>
    <row r="59" spans="1:48" x14ac:dyDescent="0.25">
      <c r="A59">
        <v>57</v>
      </c>
      <c r="B59" s="1">
        <v>45452</v>
      </c>
      <c r="C59" s="1">
        <v>45457</v>
      </c>
      <c r="E59" s="2">
        <f t="shared" ca="1" si="6"/>
        <v>5</v>
      </c>
      <c r="F59" s="2">
        <f t="shared" ca="1" si="7"/>
        <v>95.493875000000116</v>
      </c>
      <c r="G59" s="19" t="s">
        <v>5</v>
      </c>
      <c r="H59" s="83" t="str">
        <f>IF(ISBLANK(G59), "", VLOOKUP(VLOOKUP(G59, NHLTeams!$B$2:$F$33, 4,FALSE), Conferences!$A$2:$B$3, 2,FALSE))</f>
        <v>Western</v>
      </c>
      <c r="I59" s="84" t="str">
        <f>IF(ISBLANK(G59), "", VLOOKUP(VLOOKUP(G59, NHLTeams!$B$2:$F$33, 5, FALSE), Divisions!$A$2:$B$5, 2, FALSE))</f>
        <v>Pacific</v>
      </c>
      <c r="J59" t="s">
        <v>53</v>
      </c>
      <c r="K59" t="s">
        <v>1</v>
      </c>
      <c r="L59" t="s">
        <v>2</v>
      </c>
      <c r="M59">
        <v>19</v>
      </c>
      <c r="N59">
        <v>0</v>
      </c>
      <c r="O59">
        <v>0</v>
      </c>
      <c r="P59" t="s">
        <v>75</v>
      </c>
      <c r="Q59" t="s">
        <v>4</v>
      </c>
      <c r="R59" t="s">
        <v>3</v>
      </c>
      <c r="S59" t="s">
        <v>286</v>
      </c>
      <c r="T59" t="s">
        <v>20</v>
      </c>
      <c r="U59" s="118">
        <v>56</v>
      </c>
      <c r="V59" t="s">
        <v>302</v>
      </c>
      <c r="X59" t="s">
        <v>444</v>
      </c>
      <c r="AA59">
        <v>49.99</v>
      </c>
      <c r="AB59">
        <v>1</v>
      </c>
      <c r="AC59">
        <v>0</v>
      </c>
      <c r="AE59" t="s">
        <v>459</v>
      </c>
      <c r="AF59">
        <f t="shared" si="4"/>
        <v>7.6485000000000003</v>
      </c>
      <c r="AG59">
        <f t="shared" si="2"/>
        <v>58.638500000000001</v>
      </c>
      <c r="AI59">
        <v>0</v>
      </c>
      <c r="AL59" s="1">
        <v>35775</v>
      </c>
      <c r="AN59" t="s">
        <v>64</v>
      </c>
      <c r="AR59" s="120">
        <f t="shared" ca="1" si="5"/>
        <v>9777.4938750000001</v>
      </c>
      <c r="AS59" s="120">
        <f t="shared" si="9"/>
        <v>-861</v>
      </c>
      <c r="AT59">
        <v>0</v>
      </c>
      <c r="AV59">
        <v>8479314</v>
      </c>
    </row>
    <row r="60" spans="1:48" x14ac:dyDescent="0.25">
      <c r="A60">
        <v>58</v>
      </c>
      <c r="B60" s="1">
        <v>45470</v>
      </c>
      <c r="C60" s="1">
        <v>45485</v>
      </c>
      <c r="D60" s="1">
        <v>45538</v>
      </c>
      <c r="E60" s="2">
        <f t="shared" ca="1" si="6"/>
        <v>15</v>
      </c>
      <c r="F60" s="2">
        <f t="shared" ca="1" si="7"/>
        <v>67.493875000000116</v>
      </c>
      <c r="G60" s="98" t="s">
        <v>88</v>
      </c>
      <c r="H60" s="83" t="str">
        <f>IF(ISBLANK(G60), "", VLOOKUP(VLOOKUP(G60, NHLTeams!$B$2:$F$33, 4,FALSE), Conferences!$A$2:$B$3, 2,FALSE))</f>
        <v>Western</v>
      </c>
      <c r="I60" s="84" t="str">
        <f>IF(ISBLANK(G60), "", VLOOKUP(VLOOKUP(G60, NHLTeams!$B$2:$F$33, 5, FALSE), Divisions!$A$2:$B$5, 2, FALSE))</f>
        <v>Pacific</v>
      </c>
      <c r="J60" t="s">
        <v>53</v>
      </c>
      <c r="K60" t="s">
        <v>448</v>
      </c>
      <c r="L60" t="s">
        <v>449</v>
      </c>
      <c r="M60">
        <v>14</v>
      </c>
      <c r="N60">
        <v>0</v>
      </c>
      <c r="O60">
        <v>0</v>
      </c>
      <c r="P60" t="s">
        <v>293</v>
      </c>
      <c r="Q60" t="s">
        <v>4</v>
      </c>
      <c r="R60" t="s">
        <v>21</v>
      </c>
      <c r="U60" s="118">
        <v>56</v>
      </c>
      <c r="V60" t="s">
        <v>302</v>
      </c>
      <c r="W60" t="s">
        <v>753</v>
      </c>
      <c r="AD60">
        <v>0</v>
      </c>
      <c r="AF60">
        <f t="shared" si="4"/>
        <v>0</v>
      </c>
      <c r="AG60">
        <f t="shared" si="2"/>
        <v>0</v>
      </c>
      <c r="AL60" s="1">
        <v>32910</v>
      </c>
      <c r="AN60" t="s">
        <v>290</v>
      </c>
      <c r="AR60" s="120">
        <f t="shared" ca="1" si="5"/>
        <v>12642.493875</v>
      </c>
      <c r="AS60" s="120">
        <f t="shared" si="9"/>
        <v>2004</v>
      </c>
      <c r="AT60">
        <v>0</v>
      </c>
      <c r="AV60">
        <v>8474641</v>
      </c>
    </row>
    <row r="61" spans="1:48" x14ac:dyDescent="0.25">
      <c r="A61">
        <v>59</v>
      </c>
      <c r="B61" s="1">
        <v>45470</v>
      </c>
      <c r="C61" s="1">
        <v>45476</v>
      </c>
      <c r="D61" s="1">
        <v>45538</v>
      </c>
      <c r="E61" s="2">
        <f t="shared" ca="1" si="6"/>
        <v>6</v>
      </c>
      <c r="F61" s="2">
        <f t="shared" ca="1" si="7"/>
        <v>76.493875000000116</v>
      </c>
      <c r="G61" s="18" t="s">
        <v>67</v>
      </c>
      <c r="H61" s="81" t="str">
        <f>IF(ISBLANK(G61), "", VLOOKUP(VLOOKUP(G61, NHLTeams!$B$2:$F$33, 4,FALSE), Conferences!$A$2:$B$3, 2,FALSE))</f>
        <v>Eastern</v>
      </c>
      <c r="I61" s="82" t="str">
        <f>IF(ISBLANK(G61), "", VLOOKUP(VLOOKUP(G61, NHLTeams!$B$2:$F$33, 5, FALSE), Divisions!$A$2:$B$5, 2, FALSE))</f>
        <v>Atlantic</v>
      </c>
      <c r="J61" t="s">
        <v>53</v>
      </c>
      <c r="K61" t="s">
        <v>450</v>
      </c>
      <c r="L61" t="s">
        <v>451</v>
      </c>
      <c r="M61">
        <v>16</v>
      </c>
      <c r="N61">
        <v>0</v>
      </c>
      <c r="O61">
        <v>0</v>
      </c>
      <c r="P61" t="s">
        <v>293</v>
      </c>
      <c r="Q61" t="s">
        <v>262</v>
      </c>
      <c r="U61" s="118">
        <v>56</v>
      </c>
      <c r="V61" t="s">
        <v>302</v>
      </c>
      <c r="W61" t="s">
        <v>303</v>
      </c>
      <c r="AA61">
        <v>250.65</v>
      </c>
      <c r="AB61">
        <v>28.2</v>
      </c>
      <c r="AC61">
        <v>0</v>
      </c>
      <c r="AD61">
        <v>62.66</v>
      </c>
      <c r="AE61" t="s">
        <v>458</v>
      </c>
      <c r="AF61">
        <f t="shared" si="4"/>
        <v>32.4285</v>
      </c>
      <c r="AG61">
        <f t="shared" si="2"/>
        <v>248.61850000000004</v>
      </c>
      <c r="AH61">
        <v>216.19</v>
      </c>
      <c r="AI61">
        <v>0</v>
      </c>
      <c r="AJ61">
        <v>0</v>
      </c>
      <c r="AL61" s="1">
        <v>35555</v>
      </c>
      <c r="AN61" t="s">
        <v>64</v>
      </c>
      <c r="AR61" s="120">
        <f t="shared" ca="1" si="5"/>
        <v>9997.4938750000001</v>
      </c>
      <c r="AS61" s="120">
        <f t="shared" si="9"/>
        <v>-641</v>
      </c>
      <c r="AT61">
        <v>0</v>
      </c>
      <c r="AV61">
        <v>8478483</v>
      </c>
    </row>
    <row r="62" spans="1:48" x14ac:dyDescent="0.25">
      <c r="A62">
        <v>60</v>
      </c>
      <c r="B62" s="1">
        <v>45470</v>
      </c>
      <c r="C62" s="1">
        <v>45485</v>
      </c>
      <c r="E62" s="2">
        <f t="shared" ca="1" si="6"/>
        <v>15</v>
      </c>
      <c r="F62" s="2">
        <f t="shared" ca="1" si="7"/>
        <v>67.493875000000116</v>
      </c>
      <c r="G62" s="114" t="s">
        <v>165</v>
      </c>
      <c r="H62" s="81" t="str">
        <f>IF(ISBLANK(G62), "", VLOOKUP(VLOOKUP(G62, NHLTeams!$B$2:$F$33, 4,FALSE), Conferences!$A$2:$B$3, 2,FALSE))</f>
        <v>Eastern</v>
      </c>
      <c r="I62" s="85" t="str">
        <f>IF(ISBLANK(G62), "", VLOOKUP(VLOOKUP(G62, NHLTeams!$B$2:$F$33, 5, FALSE), Divisions!$A$2:$B$5, 2, FALSE))</f>
        <v>Metropolitan</v>
      </c>
      <c r="J62" t="s">
        <v>53</v>
      </c>
      <c r="K62" t="s">
        <v>452</v>
      </c>
      <c r="L62" t="s">
        <v>453</v>
      </c>
      <c r="M62">
        <v>13</v>
      </c>
      <c r="N62">
        <v>0</v>
      </c>
      <c r="O62">
        <v>0</v>
      </c>
      <c r="P62" t="s">
        <v>457</v>
      </c>
      <c r="Q62" t="s">
        <v>285</v>
      </c>
      <c r="U62" s="118">
        <v>56</v>
      </c>
      <c r="V62" t="s">
        <v>302</v>
      </c>
      <c r="AE62" t="s">
        <v>460</v>
      </c>
      <c r="AF62">
        <f t="shared" si="4"/>
        <v>0</v>
      </c>
      <c r="AG62">
        <f t="shared" si="2"/>
        <v>0</v>
      </c>
      <c r="AL62" s="1">
        <v>36164</v>
      </c>
      <c r="AN62" t="s">
        <v>322</v>
      </c>
      <c r="AR62" s="120">
        <f t="shared" ca="1" si="5"/>
        <v>9388.4938750000001</v>
      </c>
      <c r="AS62" s="120">
        <f t="shared" si="9"/>
        <v>-1250</v>
      </c>
      <c r="AT62">
        <v>0</v>
      </c>
      <c r="AV62">
        <v>8480002</v>
      </c>
    </row>
    <row r="63" spans="1:48" x14ac:dyDescent="0.25">
      <c r="A63">
        <v>61</v>
      </c>
      <c r="B63" s="1">
        <v>45471</v>
      </c>
      <c r="C63" s="1">
        <v>45482</v>
      </c>
      <c r="E63" s="2">
        <f t="shared" ca="1" si="6"/>
        <v>11</v>
      </c>
      <c r="F63" s="2">
        <f t="shared" ca="1" si="7"/>
        <v>70.493875000000116</v>
      </c>
      <c r="G63" s="20" t="s">
        <v>24</v>
      </c>
      <c r="H63" s="81" t="str">
        <f>IF(ISBLANK(G63), "", VLOOKUP(VLOOKUP(G63, NHLTeams!$B$2:$F$33, 4,FALSE), Conferences!$A$2:$B$3, 2,FALSE))</f>
        <v>Eastern</v>
      </c>
      <c r="I63" s="85" t="str">
        <f>IF(ISBLANK(G63), "", VLOOKUP(VLOOKUP(G63, NHLTeams!$B$2:$F$33, 5, FALSE), Divisions!$A$2:$B$5, 2, FALSE))</f>
        <v>Metropolitan</v>
      </c>
      <c r="J63" t="s">
        <v>53</v>
      </c>
      <c r="K63" t="s">
        <v>455</v>
      </c>
      <c r="L63" t="s">
        <v>456</v>
      </c>
      <c r="M63">
        <v>77</v>
      </c>
      <c r="N63">
        <v>0</v>
      </c>
      <c r="O63">
        <v>0</v>
      </c>
      <c r="P63" t="s">
        <v>75</v>
      </c>
      <c r="Q63" t="s">
        <v>262</v>
      </c>
      <c r="U63" s="118">
        <v>56</v>
      </c>
      <c r="V63" t="s">
        <v>302</v>
      </c>
      <c r="W63" t="s">
        <v>303</v>
      </c>
      <c r="AA63">
        <v>330.149</v>
      </c>
      <c r="AB63">
        <v>41.85</v>
      </c>
      <c r="AC63">
        <v>0</v>
      </c>
      <c r="AD63">
        <v>93</v>
      </c>
      <c r="AE63" t="s">
        <v>458</v>
      </c>
      <c r="AF63">
        <f>(SUM(AA63:AC63)-AD63)*0.15</f>
        <v>41.849850000000004</v>
      </c>
      <c r="AG63">
        <f t="shared" si="2"/>
        <v>320.84885000000003</v>
      </c>
      <c r="AH63">
        <v>320.83999999999997</v>
      </c>
      <c r="AI63">
        <v>0</v>
      </c>
      <c r="AJ63">
        <v>0</v>
      </c>
      <c r="AL63" s="1">
        <v>31769</v>
      </c>
      <c r="AN63" t="s">
        <v>260</v>
      </c>
      <c r="AR63" s="120">
        <f t="shared" ca="1" si="5"/>
        <v>13783.493875</v>
      </c>
      <c r="AS63" s="120">
        <f t="shared" si="9"/>
        <v>3145</v>
      </c>
      <c r="AT63">
        <v>0</v>
      </c>
      <c r="AV63">
        <v>8471698</v>
      </c>
    </row>
    <row r="64" spans="1:48" x14ac:dyDescent="0.25">
      <c r="A64">
        <v>62</v>
      </c>
      <c r="B64" s="1">
        <v>45482</v>
      </c>
      <c r="C64" s="1">
        <v>45492</v>
      </c>
      <c r="D64" s="1">
        <v>45550</v>
      </c>
      <c r="E64" s="2">
        <f t="shared" ca="1" si="6"/>
        <v>10</v>
      </c>
      <c r="F64" s="2">
        <f t="shared" ca="1" si="7"/>
        <v>60.493875000000116</v>
      </c>
      <c r="G64" s="14" t="s">
        <v>25</v>
      </c>
      <c r="H64" s="81" t="str">
        <f>IF(ISBLANK(G64), "", VLOOKUP(VLOOKUP(G64, NHLTeams!$B$2:$F$33, 4,FALSE), Conferences!$A$2:$B$3, 2,FALSE))</f>
        <v>Eastern</v>
      </c>
      <c r="I64" s="82" t="str">
        <f>IF(ISBLANK(G64), "", VLOOKUP(VLOOKUP(G64, NHLTeams!$B$2:$F$33, 5, FALSE), Divisions!$A$2:$B$5, 2, FALSE))</f>
        <v>Atlantic</v>
      </c>
      <c r="J64" t="s">
        <v>53</v>
      </c>
      <c r="K64" t="s">
        <v>7</v>
      </c>
      <c r="L64" t="s">
        <v>472</v>
      </c>
      <c r="M64">
        <v>92</v>
      </c>
      <c r="N64">
        <v>0</v>
      </c>
      <c r="O64">
        <v>0</v>
      </c>
      <c r="P64" t="s">
        <v>293</v>
      </c>
      <c r="Q64" t="s">
        <v>285</v>
      </c>
      <c r="U64" s="118">
        <v>56</v>
      </c>
      <c r="V64" t="s">
        <v>302</v>
      </c>
      <c r="AG64">
        <f t="shared" si="2"/>
        <v>0</v>
      </c>
      <c r="AL64" s="1">
        <v>34786</v>
      </c>
      <c r="AN64" t="s">
        <v>269</v>
      </c>
      <c r="AR64" s="120">
        <f t="shared" ca="1" si="5"/>
        <v>10766.493875</v>
      </c>
      <c r="AS64" s="120">
        <f t="shared" si="9"/>
        <v>128</v>
      </c>
      <c r="AT64">
        <v>0</v>
      </c>
      <c r="AV64">
        <v>8477494</v>
      </c>
    </row>
    <row r="65" spans="1:48" x14ac:dyDescent="0.25">
      <c r="A65">
        <v>63</v>
      </c>
      <c r="B65" s="1">
        <v>45483</v>
      </c>
      <c r="C65" s="1">
        <v>45489</v>
      </c>
      <c r="E65" s="2">
        <f t="shared" ca="1" si="6"/>
        <v>6</v>
      </c>
      <c r="F65" s="2">
        <f t="shared" ca="1" si="7"/>
        <v>63.493875000000116</v>
      </c>
      <c r="G65" s="13" t="s">
        <v>6</v>
      </c>
      <c r="H65" s="83" t="str">
        <f>IF(ISBLANK(G65), "", VLOOKUP(VLOOKUP(G65, NHLTeams!$B$2:$F$33, 4,FALSE), Conferences!$A$2:$B$3, 2,FALSE))</f>
        <v>Western</v>
      </c>
      <c r="I65" s="84" t="str">
        <f>IF(ISBLANK(G65), "", VLOOKUP(VLOOKUP(G65, NHLTeams!$B$2:$F$33, 5, FALSE), Divisions!$A$2:$B$5, 2, FALSE))</f>
        <v>Pacific</v>
      </c>
      <c r="J65" t="s">
        <v>53</v>
      </c>
      <c r="K65" t="s">
        <v>9</v>
      </c>
      <c r="L65" t="s">
        <v>454</v>
      </c>
      <c r="M65">
        <v>97</v>
      </c>
      <c r="N65">
        <v>1</v>
      </c>
      <c r="O65">
        <v>0</v>
      </c>
      <c r="P65" t="s">
        <v>293</v>
      </c>
      <c r="Q65" t="s">
        <v>285</v>
      </c>
      <c r="U65" s="118">
        <v>56</v>
      </c>
      <c r="V65" t="s">
        <v>302</v>
      </c>
      <c r="W65" t="s">
        <v>303</v>
      </c>
      <c r="AG65">
        <f t="shared" si="2"/>
        <v>0</v>
      </c>
      <c r="AL65" s="1">
        <v>35443</v>
      </c>
      <c r="AN65" t="s">
        <v>59</v>
      </c>
      <c r="AR65" s="120">
        <f t="shared" ca="1" si="5"/>
        <v>10109.493875</v>
      </c>
      <c r="AS65" s="120">
        <f t="shared" si="9"/>
        <v>-529</v>
      </c>
      <c r="AT65">
        <v>0</v>
      </c>
      <c r="AV65">
        <v>8478402</v>
      </c>
    </row>
    <row r="66" spans="1:48" x14ac:dyDescent="0.25">
      <c r="A66">
        <v>64</v>
      </c>
      <c r="B66" s="1">
        <v>45495</v>
      </c>
      <c r="C66" s="1">
        <v>45513</v>
      </c>
      <c r="D66" s="1">
        <v>45513</v>
      </c>
      <c r="E66" s="2">
        <f t="shared" ca="1" si="6"/>
        <v>18</v>
      </c>
      <c r="F66" s="2">
        <f t="shared" ca="1" si="7"/>
        <v>39.493875000000116</v>
      </c>
      <c r="G66" s="17" t="s">
        <v>66</v>
      </c>
      <c r="H66" s="81" t="str">
        <f>IF(ISBLANK(G66), "", VLOOKUP(VLOOKUP(G66, NHLTeams!$B$2:$F$33, 4,FALSE), Conferences!$A$2:$B$3, 2,FALSE))</f>
        <v>Eastern</v>
      </c>
      <c r="I66" s="85" t="str">
        <f>IF(ISBLANK(G66), "", VLOOKUP(VLOOKUP(G66, NHLTeams!$B$2:$F$33, 5, FALSE), Divisions!$A$2:$B$5, 2, FALSE))</f>
        <v>Metropolitan</v>
      </c>
      <c r="J66" t="s">
        <v>53</v>
      </c>
      <c r="K66" t="s">
        <v>473</v>
      </c>
      <c r="L66" t="s">
        <v>416</v>
      </c>
      <c r="M66">
        <v>71</v>
      </c>
      <c r="N66">
        <v>0</v>
      </c>
      <c r="O66">
        <v>0</v>
      </c>
      <c r="P66" t="s">
        <v>297</v>
      </c>
      <c r="Q66" t="s">
        <v>285</v>
      </c>
      <c r="U66" s="118">
        <v>56</v>
      </c>
      <c r="V66" t="s">
        <v>302</v>
      </c>
      <c r="Y66" s="109" t="s">
        <v>739</v>
      </c>
      <c r="AG66">
        <f t="shared" ref="AG66:AG69" si="12">(SUM(AA66:AC66)-AD66)+AF66</f>
        <v>0</v>
      </c>
      <c r="AL66" s="1">
        <v>31624</v>
      </c>
      <c r="AN66" t="s">
        <v>291</v>
      </c>
      <c r="AR66" s="120">
        <f t="shared" ca="1" si="5"/>
        <v>13928.493875</v>
      </c>
      <c r="AS66" s="120">
        <f t="shared" ref="AS66:AS82" si="13">IF(ISBLANK($AL66), 0, DATE(YEAR("1995-08-3"),MONTH("1995-08-3"), DAY("1995-08-3")) - DATE(YEAR($AL66),MONTH($AL66), DAY($AL66)))</f>
        <v>3290</v>
      </c>
      <c r="AT66">
        <v>0</v>
      </c>
      <c r="AV66">
        <v>8471215</v>
      </c>
    </row>
    <row r="67" spans="1:48" x14ac:dyDescent="0.25">
      <c r="A67">
        <v>65</v>
      </c>
      <c r="B67" s="1">
        <v>45496</v>
      </c>
      <c r="C67" s="1">
        <v>45513</v>
      </c>
      <c r="D67" s="1">
        <v>45513</v>
      </c>
      <c r="E67" s="2">
        <f t="shared" ca="1" si="6"/>
        <v>17</v>
      </c>
      <c r="F67" s="2">
        <f t="shared" ca="1" si="7"/>
        <v>39.493875000000116</v>
      </c>
      <c r="G67" s="108" t="s">
        <v>200</v>
      </c>
      <c r="H67" s="83" t="str">
        <f>IF(ISBLANK(G67), "", VLOOKUP(VLOOKUP(G67, NHLTeams!$B$2:$F$33, 4,FALSE), Conferences!$A$2:$B$3, 2,FALSE))</f>
        <v>Western</v>
      </c>
      <c r="I67" s="84" t="str">
        <f>IF(ISBLANK(G67), "", VLOOKUP(VLOOKUP(G67, NHLTeams!$B$2:$F$33, 5, FALSE), Divisions!$A$2:$B$5, 2, FALSE))</f>
        <v>Pacific</v>
      </c>
      <c r="J67" t="s">
        <v>53</v>
      </c>
      <c r="K67" t="s">
        <v>474</v>
      </c>
      <c r="L67" t="s">
        <v>475</v>
      </c>
      <c r="M67">
        <v>19</v>
      </c>
      <c r="N67">
        <v>0</v>
      </c>
      <c r="O67">
        <v>1</v>
      </c>
      <c r="P67" t="s">
        <v>293</v>
      </c>
      <c r="Q67" t="s">
        <v>4</v>
      </c>
      <c r="U67" s="118">
        <v>56</v>
      </c>
      <c r="V67" t="s">
        <v>485</v>
      </c>
      <c r="AG67">
        <f t="shared" si="12"/>
        <v>0</v>
      </c>
      <c r="AL67" s="1">
        <v>29038</v>
      </c>
      <c r="AN67" t="s">
        <v>476</v>
      </c>
      <c r="AR67" s="120">
        <f t="shared" ca="1" si="5"/>
        <v>16514.493875</v>
      </c>
      <c r="AS67" s="120">
        <f t="shared" si="13"/>
        <v>5876</v>
      </c>
      <c r="AT67">
        <v>0</v>
      </c>
      <c r="AV67">
        <v>8466138</v>
      </c>
    </row>
    <row r="68" spans="1:48" x14ac:dyDescent="0.25">
      <c r="A68">
        <v>66</v>
      </c>
      <c r="B68" s="1">
        <v>45502</v>
      </c>
      <c r="C68" s="1">
        <v>45517</v>
      </c>
      <c r="D68" s="1">
        <v>45550</v>
      </c>
      <c r="E68" s="2">
        <f t="shared" ca="1" si="6"/>
        <v>15</v>
      </c>
      <c r="F68" s="2">
        <f t="shared" ca="1" si="7"/>
        <v>35.493875000000116</v>
      </c>
      <c r="G68" s="17" t="s">
        <v>66</v>
      </c>
      <c r="H68" s="81" t="str">
        <f>IF(ISBLANK(G68), "", VLOOKUP(VLOOKUP(G68, NHLTeams!$B$2:$F$33, 4,FALSE), Conferences!$A$2:$B$3, 2,FALSE))</f>
        <v>Eastern</v>
      </c>
      <c r="I68" s="85" t="str">
        <f>IF(ISBLANK(G68), "", VLOOKUP(VLOOKUP(G68, NHLTeams!$B$2:$F$33, 5, FALSE), Divisions!$A$2:$B$5, 2, FALSE))</f>
        <v>Metropolitan</v>
      </c>
      <c r="J68" t="s">
        <v>273</v>
      </c>
      <c r="K68" t="s">
        <v>428</v>
      </c>
      <c r="L68" t="s">
        <v>429</v>
      </c>
      <c r="M68">
        <v>58</v>
      </c>
      <c r="P68" t="s">
        <v>293</v>
      </c>
      <c r="Q68" t="s">
        <v>484</v>
      </c>
      <c r="U68" s="118">
        <v>54</v>
      </c>
      <c r="V68" t="s">
        <v>485</v>
      </c>
      <c r="AG68">
        <f t="shared" si="12"/>
        <v>0</v>
      </c>
      <c r="AL68" s="1">
        <v>31891</v>
      </c>
      <c r="AN68" t="s">
        <v>291</v>
      </c>
      <c r="AR68" s="120">
        <f t="shared" ca="1" si="5"/>
        <v>13661.493875</v>
      </c>
      <c r="AS68" s="120">
        <f t="shared" si="13"/>
        <v>3023</v>
      </c>
      <c r="AT68">
        <v>0</v>
      </c>
      <c r="AV68">
        <v>8471724</v>
      </c>
    </row>
    <row r="69" spans="1:48" x14ac:dyDescent="0.25">
      <c r="A69">
        <v>67</v>
      </c>
      <c r="B69" s="1">
        <v>45504</v>
      </c>
      <c r="C69" s="1">
        <v>45511</v>
      </c>
      <c r="D69" s="1">
        <v>45538</v>
      </c>
      <c r="E69" s="2">
        <f t="shared" ca="1" si="6"/>
        <v>7</v>
      </c>
      <c r="F69" s="2">
        <f t="shared" ca="1" si="7"/>
        <v>41.493875000000116</v>
      </c>
      <c r="G69" s="13" t="s">
        <v>6</v>
      </c>
      <c r="H69" s="83" t="str">
        <f>IF(ISBLANK(G69), "", VLOOKUP(VLOOKUP(G69, NHLTeams!$B$2:$F$33, 4,FALSE), Conferences!$A$2:$B$3, 2,FALSE))</f>
        <v>Western</v>
      </c>
      <c r="I69" s="84" t="str">
        <f>IF(ISBLANK(G69), "", VLOOKUP(VLOOKUP(G69, NHLTeams!$B$2:$F$33, 5, FALSE), Divisions!$A$2:$B$5, 2, FALSE))</f>
        <v>Pacific</v>
      </c>
      <c r="J69" t="s">
        <v>53</v>
      </c>
      <c r="K69" t="s">
        <v>477</v>
      </c>
      <c r="L69" t="s">
        <v>478</v>
      </c>
      <c r="M69">
        <v>29</v>
      </c>
      <c r="N69">
        <v>0</v>
      </c>
      <c r="O69">
        <v>0</v>
      </c>
      <c r="P69" t="s">
        <v>479</v>
      </c>
      <c r="Q69" t="s">
        <v>262</v>
      </c>
      <c r="U69" s="118">
        <v>56</v>
      </c>
      <c r="V69" t="s">
        <v>302</v>
      </c>
      <c r="AG69">
        <f t="shared" si="12"/>
        <v>0</v>
      </c>
      <c r="AL69" s="1">
        <v>34999</v>
      </c>
      <c r="AN69" t="s">
        <v>269</v>
      </c>
      <c r="AR69" s="120">
        <f t="shared" ca="1" si="5"/>
        <v>10553.493875</v>
      </c>
      <c r="AS69" s="120">
        <f t="shared" si="13"/>
        <v>-85</v>
      </c>
      <c r="AT69">
        <v>0</v>
      </c>
      <c r="AV69">
        <v>8477934</v>
      </c>
    </row>
    <row r="70" spans="1:48" x14ac:dyDescent="0.25">
      <c r="A70">
        <v>68</v>
      </c>
      <c r="B70" s="1">
        <v>45504</v>
      </c>
      <c r="C70" s="1">
        <v>45516</v>
      </c>
      <c r="E70" s="2">
        <f t="shared" ca="1" si="6"/>
        <v>12</v>
      </c>
      <c r="F70" s="2">
        <f t="shared" ca="1" si="7"/>
        <v>36.493875000000116</v>
      </c>
      <c r="G70" s="19" t="s">
        <v>5</v>
      </c>
      <c r="H70" s="83" t="str">
        <f>IF(ISBLANK(G70), "", VLOOKUP(VLOOKUP(G70, NHLTeams!$B$2:$F$33, 4,FALSE), Conferences!$A$2:$B$3, 2,FALSE))</f>
        <v>Western</v>
      </c>
      <c r="I70" s="84" t="str">
        <f>IF(ISBLANK(G70), "", VLOOKUP(VLOOKUP(G70, NHLTeams!$B$2:$F$33, 5, FALSE), Divisions!$A$2:$B$5, 2, FALSE))</f>
        <v>Pacific</v>
      </c>
      <c r="J70" t="s">
        <v>273</v>
      </c>
      <c r="K70" t="s">
        <v>480</v>
      </c>
      <c r="L70" t="s">
        <v>481</v>
      </c>
      <c r="M70">
        <v>52</v>
      </c>
      <c r="N70">
        <v>0</v>
      </c>
      <c r="O70">
        <v>1</v>
      </c>
      <c r="P70" t="s">
        <v>293</v>
      </c>
      <c r="Q70" t="s">
        <v>285</v>
      </c>
      <c r="U70" s="118">
        <v>56</v>
      </c>
      <c r="V70" t="s">
        <v>302</v>
      </c>
      <c r="W70" t="s">
        <v>303</v>
      </c>
      <c r="AL70" s="1">
        <v>34341</v>
      </c>
      <c r="AN70" t="s">
        <v>64</v>
      </c>
      <c r="AR70" s="120">
        <f t="shared" ca="1" si="5"/>
        <v>11211.493875</v>
      </c>
      <c r="AS70" s="120">
        <f t="shared" si="13"/>
        <v>573</v>
      </c>
      <c r="AT70">
        <v>0</v>
      </c>
      <c r="AU70" t="s">
        <v>716</v>
      </c>
      <c r="AV70">
        <v>8477346</v>
      </c>
    </row>
    <row r="71" spans="1:48" x14ac:dyDescent="0.25">
      <c r="A71">
        <v>69</v>
      </c>
      <c r="B71" s="1">
        <v>45510</v>
      </c>
      <c r="C71" s="1">
        <v>45524</v>
      </c>
      <c r="D71" s="1">
        <v>45538</v>
      </c>
      <c r="E71" s="2">
        <f t="shared" ca="1" si="6"/>
        <v>14</v>
      </c>
      <c r="F71" s="2">
        <f t="shared" ca="1" si="7"/>
        <v>28.493875000000116</v>
      </c>
      <c r="G71" s="96" t="s">
        <v>177</v>
      </c>
      <c r="H71" s="81" t="str">
        <f>IF(ISBLANK(G71), "", VLOOKUP(VLOOKUP(G71, NHLTeams!$B$2:$F$33, 4,FALSE), Conferences!$A$2:$B$3, 2,FALSE))</f>
        <v>Eastern</v>
      </c>
      <c r="I71" s="85" t="str">
        <f>IF(ISBLANK(G71), "", VLOOKUP(VLOOKUP(G71, NHLTeams!$B$2:$F$33, 5, FALSE), Divisions!$A$2:$B$5, 2, FALSE))</f>
        <v>Metropolitan</v>
      </c>
      <c r="J71" t="s">
        <v>53</v>
      </c>
      <c r="K71" t="s">
        <v>433</v>
      </c>
      <c r="L71" t="s">
        <v>434</v>
      </c>
      <c r="M71">
        <v>10</v>
      </c>
      <c r="N71">
        <v>0</v>
      </c>
      <c r="O71">
        <v>0</v>
      </c>
      <c r="P71" t="s">
        <v>297</v>
      </c>
      <c r="Q71" t="s">
        <v>483</v>
      </c>
      <c r="U71" s="118">
        <v>56</v>
      </c>
      <c r="V71" t="s">
        <v>302</v>
      </c>
      <c r="W71" t="s">
        <v>303</v>
      </c>
      <c r="AH71">
        <v>336.94</v>
      </c>
      <c r="AL71" s="1">
        <v>33541</v>
      </c>
      <c r="AN71" t="s">
        <v>59</v>
      </c>
      <c r="AR71" s="120">
        <f t="shared" ref="AR71:AR82" ca="1" si="14">NOW()-AL71</f>
        <v>12011.493875</v>
      </c>
      <c r="AS71" s="120">
        <f t="shared" si="13"/>
        <v>1373</v>
      </c>
      <c r="AT71">
        <v>0</v>
      </c>
      <c r="AU71" t="s">
        <v>719</v>
      </c>
      <c r="AV71">
        <v>8478550</v>
      </c>
    </row>
    <row r="72" spans="1:48" x14ac:dyDescent="0.25">
      <c r="A72">
        <v>70</v>
      </c>
      <c r="B72" s="1">
        <v>45532</v>
      </c>
      <c r="C72" s="1">
        <v>45538</v>
      </c>
      <c r="E72" s="2">
        <f t="shared" ca="1" si="6"/>
        <v>6</v>
      </c>
      <c r="F72" s="2">
        <f t="shared" ca="1" si="7"/>
        <v>14.493875000000116</v>
      </c>
      <c r="G72" s="94" t="s">
        <v>216</v>
      </c>
      <c r="H72" s="83" t="str">
        <f>IF(ISBLANK(G72), "", VLOOKUP(VLOOKUP(G72, NHLTeams!$B$2:$F$33, 4,FALSE), Conferences!$A$2:$B$3, 2,FALSE))</f>
        <v>Western</v>
      </c>
      <c r="I72" s="84" t="str">
        <f>IF(ISBLANK(G72), "", VLOOKUP(VLOOKUP(G72, NHLTeams!$B$2:$F$33, 5, FALSE), Divisions!$A$2:$B$5, 2, FALSE))</f>
        <v>Pacific</v>
      </c>
      <c r="J72" t="s">
        <v>273</v>
      </c>
      <c r="K72" t="s">
        <v>740</v>
      </c>
      <c r="L72" t="s">
        <v>741</v>
      </c>
      <c r="M72">
        <v>3</v>
      </c>
      <c r="N72">
        <v>0</v>
      </c>
      <c r="O72">
        <v>0</v>
      </c>
      <c r="P72" t="s">
        <v>293</v>
      </c>
      <c r="Q72" t="s">
        <v>742</v>
      </c>
      <c r="U72" s="118" t="s">
        <v>288</v>
      </c>
      <c r="V72" t="s">
        <v>311</v>
      </c>
      <c r="AL72" s="1">
        <v>29753</v>
      </c>
      <c r="AN72" t="s">
        <v>58</v>
      </c>
      <c r="AO72" t="s">
        <v>322</v>
      </c>
      <c r="AR72" s="120">
        <f t="shared" ca="1" si="14"/>
        <v>15799.493875</v>
      </c>
      <c r="AS72" s="120">
        <f t="shared" si="13"/>
        <v>5161</v>
      </c>
      <c r="AT72">
        <v>0</v>
      </c>
      <c r="AV72">
        <v>8469598</v>
      </c>
    </row>
    <row r="73" spans="1:48" x14ac:dyDescent="0.25">
      <c r="A73">
        <v>71</v>
      </c>
      <c r="B73" s="1">
        <v>45532</v>
      </c>
      <c r="C73" s="1">
        <v>45538</v>
      </c>
      <c r="E73" s="2">
        <f t="shared" ca="1" si="6"/>
        <v>6</v>
      </c>
      <c r="F73" s="2">
        <f t="shared" ca="1" si="7"/>
        <v>14.493875000000116</v>
      </c>
      <c r="G73" s="13" t="s">
        <v>6</v>
      </c>
      <c r="H73" s="83" t="str">
        <f>IF(ISBLANK(G73), "", VLOOKUP(VLOOKUP(G73, NHLTeams!$B$2:$F$33, 4,FALSE), Conferences!$A$2:$B$3, 2,FALSE))</f>
        <v>Western</v>
      </c>
      <c r="I73" s="84" t="str">
        <f>IF(ISBLANK(G73), "", VLOOKUP(VLOOKUP(G73, NHLTeams!$B$2:$F$33, 5, FALSE), Divisions!$A$2:$B$5, 2, FALSE))</f>
        <v>Pacific</v>
      </c>
      <c r="J73" t="s">
        <v>53</v>
      </c>
      <c r="K73" t="s">
        <v>421</v>
      </c>
      <c r="L73" t="s">
        <v>422</v>
      </c>
      <c r="M73">
        <v>99</v>
      </c>
      <c r="N73">
        <v>1</v>
      </c>
      <c r="O73">
        <v>0</v>
      </c>
      <c r="P73" t="s">
        <v>293</v>
      </c>
      <c r="U73" s="118" t="s">
        <v>288</v>
      </c>
      <c r="V73" t="s">
        <v>311</v>
      </c>
      <c r="AL73" s="1">
        <v>22307</v>
      </c>
      <c r="AM73">
        <v>1999</v>
      </c>
      <c r="AN73" t="s">
        <v>445</v>
      </c>
      <c r="AO73" t="s">
        <v>395</v>
      </c>
      <c r="AR73" s="120">
        <f t="shared" ca="1" si="14"/>
        <v>23245.493875</v>
      </c>
      <c r="AS73" s="120">
        <f t="shared" si="13"/>
        <v>12607</v>
      </c>
      <c r="AT73">
        <v>0</v>
      </c>
      <c r="AV73">
        <v>8447400</v>
      </c>
    </row>
    <row r="74" spans="1:48" x14ac:dyDescent="0.25">
      <c r="A74">
        <v>72</v>
      </c>
      <c r="B74" s="1">
        <v>45533</v>
      </c>
      <c r="C74" s="1">
        <v>45540</v>
      </c>
      <c r="E74" s="2">
        <f t="shared" ca="1" si="6"/>
        <v>7</v>
      </c>
      <c r="F74" s="2">
        <f t="shared" ca="1" si="7"/>
        <v>12.493875000000116</v>
      </c>
      <c r="G74" s="95" t="s">
        <v>151</v>
      </c>
      <c r="H74" s="83" t="str">
        <f>IF(ISBLANK(G74), "", VLOOKUP(VLOOKUP(G74, NHLTeams!$B$2:$F$33, 4,FALSE), Conferences!$A$2:$B$3, 2,FALSE))</f>
        <v>Western</v>
      </c>
      <c r="I74" s="84" t="str">
        <f>IF(ISBLANK(G74), "", VLOOKUP(VLOOKUP(G74, NHLTeams!$B$2:$F$33, 5, FALSE), Divisions!$A$2:$B$5, 2, FALSE))</f>
        <v>Pacific</v>
      </c>
      <c r="J74" t="s">
        <v>53</v>
      </c>
      <c r="K74" t="s">
        <v>274</v>
      </c>
      <c r="L74" t="s">
        <v>275</v>
      </c>
      <c r="M74">
        <v>11</v>
      </c>
      <c r="N74">
        <v>1</v>
      </c>
      <c r="O74">
        <v>0</v>
      </c>
      <c r="P74" t="s">
        <v>292</v>
      </c>
      <c r="Q74" t="s">
        <v>483</v>
      </c>
      <c r="U74" s="118">
        <v>56</v>
      </c>
      <c r="V74" t="s">
        <v>302</v>
      </c>
      <c r="W74" t="s">
        <v>303</v>
      </c>
      <c r="AL74" s="1">
        <v>32013</v>
      </c>
      <c r="AN74" t="s">
        <v>291</v>
      </c>
      <c r="AR74" s="120">
        <f t="shared" ca="1" si="14"/>
        <v>13539.493875</v>
      </c>
      <c r="AS74" s="120">
        <f t="shared" si="13"/>
        <v>2901</v>
      </c>
      <c r="AV74">
        <v>8471685</v>
      </c>
    </row>
    <row r="75" spans="1:48" x14ac:dyDescent="0.25">
      <c r="A75">
        <v>73</v>
      </c>
      <c r="B75" s="1">
        <v>45533</v>
      </c>
      <c r="C75" s="1">
        <v>45539</v>
      </c>
      <c r="E75" s="2">
        <f t="shared" ref="E75:E101" ca="1" si="15">IF(ISBLANK(C75), (NOW()-B75), (C75-B75))</f>
        <v>6</v>
      </c>
      <c r="F75" s="2">
        <f t="shared" ref="F75:F101" ca="1" si="16">IF(ISBLANK(C75), 0, NOW()-C75)</f>
        <v>13.493875000000116</v>
      </c>
      <c r="G75" s="18" t="s">
        <v>67</v>
      </c>
      <c r="H75" s="81" t="str">
        <f>IF(ISBLANK(G75), "", VLOOKUP(VLOOKUP(G75, NHLTeams!$B$2:$F$33, 4,FALSE), Conferences!$A$2:$B$3, 2,FALSE))</f>
        <v>Eastern</v>
      </c>
      <c r="I75" s="82" t="str">
        <f>IF(ISBLANK(G75), "", VLOOKUP(VLOOKUP(G75, NHLTeams!$B$2:$F$33, 5, FALSE), Divisions!$A$2:$B$5, 2, FALSE))</f>
        <v>Atlantic</v>
      </c>
      <c r="J75" t="s">
        <v>53</v>
      </c>
      <c r="K75" t="s">
        <v>277</v>
      </c>
      <c r="L75" t="s">
        <v>746</v>
      </c>
      <c r="M75">
        <v>90</v>
      </c>
      <c r="N75">
        <v>0</v>
      </c>
      <c r="O75">
        <v>0</v>
      </c>
      <c r="P75" t="s">
        <v>293</v>
      </c>
      <c r="Q75" t="s">
        <v>285</v>
      </c>
      <c r="U75" s="118">
        <v>56</v>
      </c>
      <c r="V75" t="s">
        <v>302</v>
      </c>
      <c r="AL75" s="1">
        <v>33276</v>
      </c>
      <c r="AN75" t="s">
        <v>323</v>
      </c>
      <c r="AR75" s="120">
        <f t="shared" ca="1" si="14"/>
        <v>12276.493875</v>
      </c>
      <c r="AS75" s="120">
        <f t="shared" si="13"/>
        <v>1638</v>
      </c>
      <c r="AV75">
        <v>8475158</v>
      </c>
    </row>
    <row r="76" spans="1:48" x14ac:dyDescent="0.25">
      <c r="A76">
        <v>74</v>
      </c>
      <c r="B76" s="1">
        <v>45535</v>
      </c>
      <c r="E76" s="2">
        <f t="shared" ca="1" si="15"/>
        <v>17.493875000000116</v>
      </c>
      <c r="F76" s="2">
        <f t="shared" ca="1" si="16"/>
        <v>0</v>
      </c>
      <c r="G76" s="20" t="s">
        <v>24</v>
      </c>
      <c r="H76" s="81" t="str">
        <f>IF(ISBLANK(G76), "", VLOOKUP(VLOOKUP(G76, NHLTeams!$B$2:$F$33, 4,FALSE), Conferences!$A$2:$B$3, 2,FALSE))</f>
        <v>Eastern</v>
      </c>
      <c r="I76" s="85" t="str">
        <f>IF(ISBLANK(G76), "", VLOOKUP(VLOOKUP(G76, NHLTeams!$B$2:$F$33, 5, FALSE), Divisions!$A$2:$B$5, 2, FALSE))</f>
        <v>Metropolitan</v>
      </c>
      <c r="J76" t="s">
        <v>53</v>
      </c>
      <c r="K76" t="s">
        <v>27</v>
      </c>
      <c r="L76" t="s">
        <v>31</v>
      </c>
      <c r="M76">
        <v>8</v>
      </c>
      <c r="N76">
        <v>1</v>
      </c>
      <c r="O76">
        <v>0</v>
      </c>
      <c r="P76" t="s">
        <v>297</v>
      </c>
      <c r="Q76" t="s">
        <v>483</v>
      </c>
      <c r="U76" s="118">
        <v>56</v>
      </c>
      <c r="V76" t="s">
        <v>302</v>
      </c>
      <c r="W76" t="s">
        <v>303</v>
      </c>
      <c r="AL76" s="1">
        <v>31307</v>
      </c>
      <c r="AN76" t="s">
        <v>58</v>
      </c>
      <c r="AR76" s="120">
        <f t="shared" ca="1" si="14"/>
        <v>14245.493875</v>
      </c>
      <c r="AS76" s="120">
        <f t="shared" si="13"/>
        <v>3607</v>
      </c>
      <c r="AV76">
        <v>8471214</v>
      </c>
    </row>
    <row r="77" spans="1:48" x14ac:dyDescent="0.25">
      <c r="A77">
        <v>75</v>
      </c>
      <c r="B77" s="1">
        <v>45535</v>
      </c>
      <c r="C77" s="1">
        <v>45551</v>
      </c>
      <c r="E77" s="2">
        <f t="shared" ca="1" si="15"/>
        <v>16</v>
      </c>
      <c r="F77" s="2">
        <f t="shared" ca="1" si="16"/>
        <v>1.4938750000001164</v>
      </c>
      <c r="G77" s="17" t="s">
        <v>101</v>
      </c>
      <c r="H77" s="81" t="str">
        <f>IF(ISBLANK(G77), "", VLOOKUP(VLOOKUP(G77, NHLTeams!$B$2:$F$33, 4,FALSE), Conferences!$A$2:$B$3, 2,FALSE))</f>
        <v>Eastern</v>
      </c>
      <c r="I77" s="82" t="str">
        <f>IF(ISBLANK(G77), "", VLOOKUP(VLOOKUP(G77, NHLTeams!$B$2:$F$33, 5, FALSE), Divisions!$A$2:$B$5, 2, FALSE))</f>
        <v>Atlantic</v>
      </c>
      <c r="J77" t="s">
        <v>53</v>
      </c>
      <c r="K77" t="s">
        <v>748</v>
      </c>
      <c r="L77" t="s">
        <v>749</v>
      </c>
      <c r="M77">
        <v>88</v>
      </c>
      <c r="N77">
        <v>0</v>
      </c>
      <c r="O77">
        <v>0</v>
      </c>
      <c r="P77" t="s">
        <v>752</v>
      </c>
      <c r="Q77" t="s">
        <v>262</v>
      </c>
      <c r="U77" s="118">
        <v>56</v>
      </c>
      <c r="V77" t="s">
        <v>302</v>
      </c>
      <c r="W77" t="s">
        <v>303</v>
      </c>
      <c r="AL77" s="1">
        <v>35210</v>
      </c>
      <c r="AN77" t="s">
        <v>269</v>
      </c>
      <c r="AR77" s="120">
        <f t="shared" ca="1" si="14"/>
        <v>10342.493875</v>
      </c>
      <c r="AS77" s="120">
        <f t="shared" si="13"/>
        <v>-296</v>
      </c>
      <c r="AV77">
        <v>8477956</v>
      </c>
    </row>
    <row r="78" spans="1:48" x14ac:dyDescent="0.25">
      <c r="A78">
        <v>76</v>
      </c>
      <c r="B78" s="1">
        <v>45535</v>
      </c>
      <c r="C78" s="1">
        <v>45552</v>
      </c>
      <c r="E78" s="2">
        <f t="shared" ca="1" si="15"/>
        <v>17</v>
      </c>
      <c r="F78" s="2">
        <f t="shared" ca="1" si="16"/>
        <v>0.49387500000011642</v>
      </c>
      <c r="G78" s="97" t="s">
        <v>106</v>
      </c>
      <c r="H78" s="81" t="str">
        <f>IF(ISBLANK(G78), "", VLOOKUP(VLOOKUP(G78, NHLTeams!$B$2:$F$33, 4,FALSE), Conferences!$A$2:$B$3, 2,FALSE))</f>
        <v>Eastern</v>
      </c>
      <c r="I78" s="82" t="str">
        <f>IF(ISBLANK(G78), "", VLOOKUP(VLOOKUP(G78, NHLTeams!$B$2:$F$33, 5, FALSE), Divisions!$A$2:$B$5, 2, FALSE))</f>
        <v>Atlantic</v>
      </c>
      <c r="J78" t="s">
        <v>273</v>
      </c>
      <c r="K78" t="s">
        <v>750</v>
      </c>
      <c r="L78" t="s">
        <v>751</v>
      </c>
      <c r="M78">
        <v>26</v>
      </c>
      <c r="N78">
        <v>0</v>
      </c>
      <c r="O78">
        <v>0</v>
      </c>
      <c r="P78" t="s">
        <v>309</v>
      </c>
      <c r="Q78" t="s">
        <v>262</v>
      </c>
      <c r="U78" s="118">
        <v>56</v>
      </c>
      <c r="V78" t="s">
        <v>302</v>
      </c>
      <c r="W78" t="s">
        <v>303</v>
      </c>
      <c r="AL78" s="1">
        <v>36629</v>
      </c>
      <c r="AN78" t="s">
        <v>412</v>
      </c>
      <c r="AR78" s="120">
        <f t="shared" ca="1" si="14"/>
        <v>8923.4938750000001</v>
      </c>
      <c r="AS78" s="120">
        <f t="shared" si="13"/>
        <v>-1715</v>
      </c>
      <c r="AV78">
        <v>8480839</v>
      </c>
    </row>
    <row r="79" spans="1:48" x14ac:dyDescent="0.25">
      <c r="A79">
        <v>77</v>
      </c>
      <c r="B79" s="1">
        <v>45535</v>
      </c>
      <c r="C79" s="1">
        <v>45541</v>
      </c>
      <c r="D79" s="1">
        <v>45550</v>
      </c>
      <c r="E79" s="2">
        <f t="shared" ca="1" si="15"/>
        <v>6</v>
      </c>
      <c r="F79" s="2">
        <f t="shared" ca="1" si="16"/>
        <v>11.493875000000116</v>
      </c>
      <c r="G79" s="16" t="s">
        <v>65</v>
      </c>
      <c r="H79" s="83" t="str">
        <f>IF(ISBLANK(G79), "", VLOOKUP(VLOOKUP(G79, NHLTeams!$B$2:$F$33, 4,FALSE), Conferences!$A$2:$B$3, 2,FALSE))</f>
        <v>Western</v>
      </c>
      <c r="I79" s="93" t="str">
        <f>IF(ISBLANK(G79), "", VLOOKUP(VLOOKUP(G79, NHLTeams!$B$2:$F$33, 5, FALSE), Divisions!$A$2:$B$5, 2, FALSE))</f>
        <v>Central</v>
      </c>
      <c r="J79" t="s">
        <v>53</v>
      </c>
      <c r="K79" t="s">
        <v>383</v>
      </c>
      <c r="L79" s="80" t="s">
        <v>384</v>
      </c>
      <c r="M79">
        <v>55</v>
      </c>
      <c r="N79">
        <v>0</v>
      </c>
      <c r="O79">
        <v>0</v>
      </c>
      <c r="P79" t="s">
        <v>293</v>
      </c>
      <c r="Q79" t="s">
        <v>262</v>
      </c>
      <c r="U79" s="118">
        <v>56</v>
      </c>
      <c r="V79" t="s">
        <v>302</v>
      </c>
      <c r="W79" t="s">
        <v>303</v>
      </c>
      <c r="AL79" s="1">
        <v>34043</v>
      </c>
      <c r="AN79" t="s">
        <v>387</v>
      </c>
      <c r="AR79" s="120">
        <f t="shared" ca="1" si="14"/>
        <v>11509.493875</v>
      </c>
      <c r="AS79" s="120">
        <f t="shared" si="13"/>
        <v>871</v>
      </c>
      <c r="AV79">
        <v>8476460</v>
      </c>
    </row>
    <row r="80" spans="1:48" x14ac:dyDescent="0.25">
      <c r="A80">
        <v>78</v>
      </c>
      <c r="B80" s="1">
        <v>45535</v>
      </c>
      <c r="C80" s="1">
        <v>45552</v>
      </c>
      <c r="E80" s="2">
        <f t="shared" ca="1" si="15"/>
        <v>17</v>
      </c>
      <c r="F80" s="2">
        <f t="shared" ca="1" si="16"/>
        <v>0.49387500000011642</v>
      </c>
      <c r="G80" s="101" t="s">
        <v>168</v>
      </c>
      <c r="H80" s="83" t="str">
        <f>IF(ISBLANK(G80), "", VLOOKUP(VLOOKUP(G80, NHLTeams!$B$2:$F$33, 4,FALSE), Conferences!$A$2:$B$3, 2,FALSE))</f>
        <v>Western</v>
      </c>
      <c r="I80" s="93" t="str">
        <f>IF(ISBLANK(G80), "", VLOOKUP(VLOOKUP(G80, NHLTeams!$B$2:$F$33, 5, FALSE), Divisions!$A$2:$B$5, 2, FALSE))</f>
        <v>Central</v>
      </c>
      <c r="J80" t="s">
        <v>53</v>
      </c>
      <c r="K80" t="s">
        <v>307</v>
      </c>
      <c r="L80" s="80" t="s">
        <v>308</v>
      </c>
      <c r="M80">
        <v>9</v>
      </c>
      <c r="N80">
        <v>0</v>
      </c>
      <c r="O80">
        <v>0</v>
      </c>
      <c r="P80" t="s">
        <v>309</v>
      </c>
      <c r="Q80" t="s">
        <v>483</v>
      </c>
      <c r="U80" s="118">
        <v>54</v>
      </c>
      <c r="V80" t="s">
        <v>302</v>
      </c>
      <c r="W80" t="s">
        <v>303</v>
      </c>
      <c r="AL80" s="1">
        <v>34559</v>
      </c>
      <c r="AN80" t="s">
        <v>63</v>
      </c>
      <c r="AR80" s="120">
        <f t="shared" ca="1" si="14"/>
        <v>10993.493875</v>
      </c>
      <c r="AS80" s="120">
        <f t="shared" si="13"/>
        <v>355</v>
      </c>
      <c r="AV80">
        <v>8476887</v>
      </c>
    </row>
    <row r="81" spans="5:45" x14ac:dyDescent="0.25">
      <c r="E81" s="2">
        <f t="shared" ca="1" si="15"/>
        <v>45552.493875</v>
      </c>
      <c r="F81" s="2">
        <f t="shared" ca="1" si="16"/>
        <v>0</v>
      </c>
      <c r="G81" s="80"/>
      <c r="H81" s="80" t="str">
        <f>IF(ISBLANK(G81), "", VLOOKUP(VLOOKUP(G81, NHLTeams!$B$2:$F$33, 4,FALSE), Conferences!$A$2:$B$3, 2,FALSE))</f>
        <v/>
      </c>
      <c r="I81" s="80" t="str">
        <f>IF(ISBLANK(G81), "", VLOOKUP(VLOOKUP(G81, NHLTeams!$B$2:$F$33, 5, FALSE), Divisions!$A$2:$B$5, 2, FALSE))</f>
        <v/>
      </c>
      <c r="AR81" s="120">
        <f t="shared" ca="1" si="14"/>
        <v>45552.493875</v>
      </c>
      <c r="AS81" s="120">
        <f t="shared" si="13"/>
        <v>0</v>
      </c>
    </row>
    <row r="82" spans="5:45" x14ac:dyDescent="0.25">
      <c r="E82" s="2">
        <f t="shared" ca="1" si="15"/>
        <v>45552.493875</v>
      </c>
      <c r="F82" s="2">
        <f t="shared" ca="1" si="16"/>
        <v>0</v>
      </c>
      <c r="G82" s="80"/>
      <c r="H82" s="80" t="str">
        <f>IF(ISBLANK(G82), "", VLOOKUP(VLOOKUP(G82, NHLTeams!$B$2:$F$33, 4,FALSE), Conferences!$A$2:$B$3, 2,FALSE))</f>
        <v/>
      </c>
      <c r="I82" s="80" t="str">
        <f>IF(ISBLANK(G82), "", VLOOKUP(VLOOKUP(G82, NHLTeams!$B$2:$F$33, 5, FALSE), Divisions!$A$2:$B$5, 2, FALSE))</f>
        <v/>
      </c>
      <c r="AR82" s="120">
        <f t="shared" ca="1" si="14"/>
        <v>45552.493875</v>
      </c>
      <c r="AS82" s="120">
        <f t="shared" si="13"/>
        <v>0</v>
      </c>
    </row>
    <row r="83" spans="5:45" x14ac:dyDescent="0.25">
      <c r="E83" s="2">
        <f t="shared" ca="1" si="15"/>
        <v>45552.493875</v>
      </c>
      <c r="F83" s="2">
        <f t="shared" ca="1" si="16"/>
        <v>0</v>
      </c>
      <c r="G83" s="80"/>
      <c r="H83" s="80" t="str">
        <f>IF(ISBLANK(G83), "", VLOOKUP(VLOOKUP(G83, NHLTeams!$B$2:$F$33, 4,FALSE), Conferences!$A$2:$B$3, 2,FALSE))</f>
        <v/>
      </c>
      <c r="I83" s="80" t="str">
        <f>IF(ISBLANK(G83), "", VLOOKUP(VLOOKUP(G83, NHLTeams!$B$2:$F$33, 5, FALSE), Divisions!$A$2:$B$5, 2, FALSE))</f>
        <v/>
      </c>
    </row>
    <row r="84" spans="5:45" x14ac:dyDescent="0.25">
      <c r="E84" s="2">
        <f t="shared" ca="1" si="15"/>
        <v>45552.493875</v>
      </c>
      <c r="F84" s="2">
        <f t="shared" ca="1" si="16"/>
        <v>0</v>
      </c>
      <c r="G84" s="80"/>
      <c r="H84" s="80" t="str">
        <f>IF(ISBLANK(G84), "", VLOOKUP(VLOOKUP(G84, NHLTeams!$B$2:$F$33, 4,FALSE), Conferences!$A$2:$B$3, 2,FALSE))</f>
        <v/>
      </c>
      <c r="I84" s="80" t="str">
        <f>IF(ISBLANK(G84), "", VLOOKUP(VLOOKUP(G84, NHLTeams!$B$2:$F$33, 5, FALSE), Divisions!$A$2:$B$5, 2, FALSE))</f>
        <v/>
      </c>
    </row>
    <row r="85" spans="5:45" x14ac:dyDescent="0.25">
      <c r="E85" s="2">
        <f t="shared" ca="1" si="15"/>
        <v>45552.493875</v>
      </c>
      <c r="F85" s="2">
        <f t="shared" ca="1" si="16"/>
        <v>0</v>
      </c>
      <c r="G85" s="80"/>
      <c r="H85" s="80" t="str">
        <f>IF(ISBLANK(G85), "", VLOOKUP(VLOOKUP(G85, NHLTeams!$B$2:$F$33, 4,FALSE), Conferences!$A$2:$B$3, 2,FALSE))</f>
        <v/>
      </c>
      <c r="I85" s="80" t="str">
        <f>IF(ISBLANK(G85), "", VLOOKUP(VLOOKUP(G85, NHLTeams!$B$2:$F$33, 5, FALSE), Divisions!$A$2:$B$5, 2, FALSE))</f>
        <v/>
      </c>
    </row>
    <row r="86" spans="5:45" x14ac:dyDescent="0.25">
      <c r="E86" s="2">
        <f t="shared" ca="1" si="15"/>
        <v>45552.493875</v>
      </c>
      <c r="F86" s="2">
        <f t="shared" ca="1" si="16"/>
        <v>0</v>
      </c>
      <c r="G86" s="80"/>
      <c r="H86" s="80" t="str">
        <f>IF(ISBLANK(G86), "", VLOOKUP(VLOOKUP(G86, NHLTeams!$B$2:$F$33, 4,FALSE), Conferences!$A$2:$B$3, 2,FALSE))</f>
        <v/>
      </c>
      <c r="I86" s="80" t="str">
        <f>IF(ISBLANK(G86), "", VLOOKUP(VLOOKUP(G86, NHLTeams!$B$2:$F$33, 5, FALSE), Divisions!$A$2:$B$5, 2, FALSE))</f>
        <v/>
      </c>
    </row>
    <row r="87" spans="5:45" x14ac:dyDescent="0.25">
      <c r="E87" s="2">
        <f t="shared" ca="1" si="15"/>
        <v>45552.493875</v>
      </c>
      <c r="F87" s="2">
        <f t="shared" ca="1" si="16"/>
        <v>0</v>
      </c>
      <c r="G87" s="80"/>
      <c r="H87" s="80" t="str">
        <f>IF(ISBLANK(G87), "", VLOOKUP(VLOOKUP(G87, NHLTeams!$B$2:$F$33, 4,FALSE), Conferences!$A$2:$B$3, 2,FALSE))</f>
        <v/>
      </c>
      <c r="I87" s="80" t="str">
        <f>IF(ISBLANK(G87), "", VLOOKUP(VLOOKUP(G87, NHLTeams!$B$2:$F$33, 5, FALSE), Divisions!$A$2:$B$5, 2, FALSE))</f>
        <v/>
      </c>
    </row>
    <row r="88" spans="5:45" x14ac:dyDescent="0.25">
      <c r="E88" s="2">
        <f t="shared" ca="1" si="15"/>
        <v>45552.493875</v>
      </c>
      <c r="F88" s="2">
        <f t="shared" ca="1" si="16"/>
        <v>0</v>
      </c>
      <c r="G88" s="80"/>
      <c r="H88" s="80" t="str">
        <f>IF(ISBLANK(G88), "", VLOOKUP(VLOOKUP(G88, NHLTeams!$B$2:$F$33, 4,FALSE), Conferences!$A$2:$B$3, 2,FALSE))</f>
        <v/>
      </c>
      <c r="I88" s="80" t="str">
        <f>IF(ISBLANK(G88), "", VLOOKUP(VLOOKUP(G88, NHLTeams!$B$2:$F$33, 5, FALSE), Divisions!$A$2:$B$5, 2, FALSE))</f>
        <v/>
      </c>
    </row>
    <row r="89" spans="5:45" x14ac:dyDescent="0.25">
      <c r="E89" s="2">
        <f t="shared" ca="1" si="15"/>
        <v>45552.493875</v>
      </c>
      <c r="F89" s="2">
        <f t="shared" ca="1" si="16"/>
        <v>0</v>
      </c>
      <c r="G89" s="80"/>
      <c r="H89" s="80" t="str">
        <f>IF(ISBLANK(G89), "", VLOOKUP(VLOOKUP(G89, NHLTeams!$B$2:$F$33, 4,FALSE), Conferences!$A$2:$B$3, 2,FALSE))</f>
        <v/>
      </c>
      <c r="I89" s="80" t="str">
        <f>IF(ISBLANK(G89), "", VLOOKUP(VLOOKUP(G89, NHLTeams!$B$2:$F$33, 5, FALSE), Divisions!$A$2:$B$5, 2, FALSE))</f>
        <v/>
      </c>
    </row>
    <row r="90" spans="5:45" x14ac:dyDescent="0.25">
      <c r="E90" s="2">
        <f t="shared" ca="1" si="15"/>
        <v>45552.493875</v>
      </c>
      <c r="F90" s="2">
        <f t="shared" ca="1" si="16"/>
        <v>0</v>
      </c>
      <c r="G90" s="80"/>
      <c r="H90" s="80" t="str">
        <f>IF(ISBLANK(G90), "", VLOOKUP(VLOOKUP(G90, NHLTeams!$B$2:$F$33, 4,FALSE), Conferences!$A$2:$B$3, 2,FALSE))</f>
        <v/>
      </c>
      <c r="I90" s="80" t="str">
        <f>IF(ISBLANK(G90), "", VLOOKUP(VLOOKUP(G90, NHLTeams!$B$2:$F$33, 5, FALSE), Divisions!$A$2:$B$5, 2, FALSE))</f>
        <v/>
      </c>
    </row>
    <row r="91" spans="5:45" x14ac:dyDescent="0.25">
      <c r="E91" s="2">
        <f t="shared" ca="1" si="15"/>
        <v>45552.493875</v>
      </c>
      <c r="F91" s="2">
        <f t="shared" ca="1" si="16"/>
        <v>0</v>
      </c>
      <c r="G91" s="80"/>
      <c r="H91" s="80" t="str">
        <f>IF(ISBLANK(G91), "", VLOOKUP(VLOOKUP(G91, NHLTeams!$B$2:$F$33, 4,FALSE), Conferences!$A$2:$B$3, 2,FALSE))</f>
        <v/>
      </c>
      <c r="I91" s="80" t="str">
        <f>IF(ISBLANK(G91), "", VLOOKUP(VLOOKUP(G91, NHLTeams!$B$2:$F$33, 5, FALSE), Divisions!$A$2:$B$5, 2, FALSE))</f>
        <v/>
      </c>
    </row>
    <row r="92" spans="5:45" x14ac:dyDescent="0.25">
      <c r="E92" s="2">
        <f t="shared" ca="1" si="15"/>
        <v>45552.493875</v>
      </c>
      <c r="F92" s="2">
        <f t="shared" ca="1" si="16"/>
        <v>0</v>
      </c>
      <c r="G92" s="80"/>
      <c r="H92" s="80" t="str">
        <f>IF(ISBLANK(G92), "", VLOOKUP(VLOOKUP(G92, NHLTeams!$B$2:$F$33, 4,FALSE), Conferences!$A$2:$B$3, 2,FALSE))</f>
        <v/>
      </c>
      <c r="I92" s="80" t="str">
        <f>IF(ISBLANK(G92), "", VLOOKUP(VLOOKUP(G92, NHLTeams!$B$2:$F$33, 5, FALSE), Divisions!$A$2:$B$5, 2, FALSE))</f>
        <v/>
      </c>
    </row>
    <row r="93" spans="5:45" x14ac:dyDescent="0.25">
      <c r="E93" s="2">
        <f t="shared" ca="1" si="15"/>
        <v>45552.493875</v>
      </c>
      <c r="F93" s="2">
        <f t="shared" ca="1" si="16"/>
        <v>0</v>
      </c>
      <c r="G93" s="80"/>
      <c r="H93" s="80" t="str">
        <f>IF(ISBLANK(G93), "", VLOOKUP(VLOOKUP(G93, NHLTeams!$B$2:$F$33, 4,FALSE), Conferences!$A$2:$B$3, 2,FALSE))</f>
        <v/>
      </c>
      <c r="I93" s="80" t="str">
        <f>IF(ISBLANK(G93), "", VLOOKUP(VLOOKUP(G93, NHLTeams!$B$2:$F$33, 5, FALSE), Divisions!$A$2:$B$5, 2, FALSE))</f>
        <v/>
      </c>
    </row>
    <row r="94" spans="5:45" x14ac:dyDescent="0.25">
      <c r="E94" s="2">
        <f t="shared" ca="1" si="15"/>
        <v>45552.493875</v>
      </c>
      <c r="F94" s="2">
        <f t="shared" ca="1" si="16"/>
        <v>0</v>
      </c>
      <c r="G94" s="80"/>
      <c r="H94" s="80" t="str">
        <f>IF(ISBLANK(G94), "", VLOOKUP(VLOOKUP(G94, NHLTeams!$B$2:$F$33, 4,FALSE), Conferences!$A$2:$B$3, 2,FALSE))</f>
        <v/>
      </c>
      <c r="I94" s="80" t="str">
        <f>IF(ISBLANK(G94), "", VLOOKUP(VLOOKUP(G94, NHLTeams!$B$2:$F$33, 5, FALSE), Divisions!$A$2:$B$5, 2, FALSE))</f>
        <v/>
      </c>
    </row>
    <row r="95" spans="5:45" x14ac:dyDescent="0.25">
      <c r="E95" s="2">
        <f t="shared" ca="1" si="15"/>
        <v>45552.493875</v>
      </c>
      <c r="F95" s="2">
        <f t="shared" ca="1" si="16"/>
        <v>0</v>
      </c>
      <c r="G95" s="80"/>
      <c r="H95" s="80" t="str">
        <f>IF(ISBLANK(G95), "", VLOOKUP(VLOOKUP(G95, NHLTeams!$B$2:$F$33, 4,FALSE), Conferences!$A$2:$B$3, 2,FALSE))</f>
        <v/>
      </c>
      <c r="I95" s="80" t="str">
        <f>IF(ISBLANK(G95), "", VLOOKUP(VLOOKUP(G95, NHLTeams!$B$2:$F$33, 5, FALSE), Divisions!$A$2:$B$5, 2, FALSE))</f>
        <v/>
      </c>
    </row>
    <row r="96" spans="5:45" x14ac:dyDescent="0.25">
      <c r="E96" s="2">
        <f t="shared" ca="1" si="15"/>
        <v>45552.493875</v>
      </c>
      <c r="F96" s="2">
        <f t="shared" ca="1" si="16"/>
        <v>0</v>
      </c>
      <c r="G96" s="80"/>
      <c r="H96" s="80" t="str">
        <f>IF(ISBLANK(G96), "", VLOOKUP(VLOOKUP(G96, NHLTeams!$B$2:$F$33, 4,FALSE), Conferences!$A$2:$B$3, 2,FALSE))</f>
        <v/>
      </c>
      <c r="I96" s="80" t="str">
        <f>IF(ISBLANK(G96), "", VLOOKUP(VLOOKUP(G96, NHLTeams!$B$2:$F$33, 5, FALSE), Divisions!$A$2:$B$5, 2, FALSE))</f>
        <v/>
      </c>
    </row>
    <row r="97" spans="5:9" x14ac:dyDescent="0.25">
      <c r="E97" s="2">
        <f t="shared" ca="1" si="15"/>
        <v>45552.493875</v>
      </c>
      <c r="F97" s="2">
        <f t="shared" ca="1" si="16"/>
        <v>0</v>
      </c>
      <c r="G97" s="80"/>
      <c r="H97" s="80" t="str">
        <f>IF(ISBLANK(G97), "", VLOOKUP(VLOOKUP(G97, NHLTeams!$B$2:$F$33, 4,FALSE), Conferences!$A$2:$B$3, 2,FALSE))</f>
        <v/>
      </c>
      <c r="I97" s="80" t="str">
        <f>IF(ISBLANK(G97), "", VLOOKUP(VLOOKUP(G97, NHLTeams!$B$2:$F$33, 5, FALSE), Divisions!$A$2:$B$5, 2, FALSE))</f>
        <v/>
      </c>
    </row>
    <row r="98" spans="5:9" x14ac:dyDescent="0.25">
      <c r="E98" s="2">
        <f t="shared" ca="1" si="15"/>
        <v>45552.493875</v>
      </c>
      <c r="F98" s="2">
        <f t="shared" ca="1" si="16"/>
        <v>0</v>
      </c>
      <c r="G98" s="80"/>
      <c r="H98" s="80" t="str">
        <f>IF(ISBLANK(G98), "", VLOOKUP(VLOOKUP(G98, NHLTeams!$B$2:$F$33, 4,FALSE), Conferences!$A$2:$B$3, 2,FALSE))</f>
        <v/>
      </c>
      <c r="I98" s="80" t="str">
        <f>IF(ISBLANK(G98), "", VLOOKUP(VLOOKUP(G98, NHLTeams!$B$2:$F$33, 5, FALSE), Divisions!$A$2:$B$5, 2, FALSE))</f>
        <v/>
      </c>
    </row>
    <row r="99" spans="5:9" x14ac:dyDescent="0.25">
      <c r="E99" s="2">
        <f t="shared" ca="1" si="15"/>
        <v>45552.493875</v>
      </c>
      <c r="F99" s="2">
        <f t="shared" ca="1" si="16"/>
        <v>0</v>
      </c>
      <c r="G99" s="80"/>
      <c r="H99" s="80" t="str">
        <f>IF(ISBLANK(G99), "", VLOOKUP(VLOOKUP(G99, NHLTeams!$B$2:$F$33, 4,FALSE), Conferences!$A$2:$B$3, 2,FALSE))</f>
        <v/>
      </c>
      <c r="I99" s="80" t="str">
        <f>IF(ISBLANK(G99), "", VLOOKUP(VLOOKUP(G99, NHLTeams!$B$2:$F$33, 5, FALSE), Divisions!$A$2:$B$5, 2, FALSE))</f>
        <v/>
      </c>
    </row>
    <row r="100" spans="5:9" x14ac:dyDescent="0.25">
      <c r="E100" s="2">
        <f t="shared" ca="1" si="15"/>
        <v>45552.493875</v>
      </c>
      <c r="F100" s="2">
        <f t="shared" ca="1" si="16"/>
        <v>0</v>
      </c>
      <c r="G100" s="80"/>
      <c r="H100" s="80" t="str">
        <f>IF(ISBLANK(G100), "", VLOOKUP(VLOOKUP(G100, NHLTeams!$B$2:$F$33, 4,FALSE), Conferences!$A$2:$B$3, 2,FALSE))</f>
        <v/>
      </c>
      <c r="I100" s="80" t="str">
        <f>IF(ISBLANK(G100), "", VLOOKUP(VLOOKUP(G100, NHLTeams!$B$2:$F$33, 5, FALSE), Divisions!$A$2:$B$5, 2, FALSE))</f>
        <v/>
      </c>
    </row>
    <row r="101" spans="5:9" x14ac:dyDescent="0.25">
      <c r="E101" s="2">
        <f t="shared" ca="1" si="15"/>
        <v>45552.493875</v>
      </c>
      <c r="F101" s="2">
        <f t="shared" ca="1" si="16"/>
        <v>0</v>
      </c>
      <c r="G101" s="80"/>
      <c r="H101" s="80" t="str">
        <f>IF(ISBLANK(G101), "", VLOOKUP(VLOOKUP(G101, NHLTeams!$B$2:$F$33, 4,FALSE), Conferences!$A$2:$B$3, 2,FALSE))</f>
        <v/>
      </c>
      <c r="I101" s="80" t="str">
        <f>IF(ISBLANK(G101), "", VLOOKUP(VLOOKUP(G101, NHLTeams!$B$2:$F$33, 5, FALSE), Divisions!$A$2:$B$5, 2, FALSE))</f>
        <v/>
      </c>
    </row>
    <row r="102" spans="5:9" x14ac:dyDescent="0.25">
      <c r="G102" s="80"/>
      <c r="H102" s="80" t="str">
        <f>IF(ISBLANK(G102), "", VLOOKUP(VLOOKUP(G102, NHLTeams!$B$2:$F$33, 4,FALSE), Conferences!$A$2:$B$3, 2,FALSE))</f>
        <v/>
      </c>
      <c r="I102" s="80" t="str">
        <f>IF(ISBLANK(G102), "", VLOOKUP(VLOOKUP(G102, NHLTeams!$B$2:$F$33, 5, FALSE), Divisions!$A$2:$B$5, 2, FALSE))</f>
        <v/>
      </c>
    </row>
    <row r="103" spans="5:9" x14ac:dyDescent="0.25">
      <c r="G103" s="80"/>
      <c r="H103" s="80"/>
      <c r="I103" s="80"/>
    </row>
    <row r="104" spans="5:9" x14ac:dyDescent="0.25">
      <c r="G104" s="80"/>
      <c r="H104" s="80"/>
      <c r="I104" s="80"/>
    </row>
  </sheetData>
  <conditionalFormatting sqref="AL2:AL101">
    <cfRule type="cellIs" dxfId="5" priority="2" operator="greaterThan">
      <formula>35280</formula>
    </cfRule>
    <cfRule type="cellIs" dxfId="4" priority="3" operator="lessThan">
      <formula>34549</formula>
    </cfRule>
    <cfRule type="cellIs" dxfId="3" priority="4" operator="between">
      <formula>34549</formula>
      <formula>35280</formula>
    </cfRule>
  </conditionalFormatting>
  <conditionalFormatting sqref="AS1:AS1048576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B35CC-8FF6-48F7-92D9-7F0DE2910AA1}">
  <dimension ref="A1:E110"/>
  <sheetViews>
    <sheetView workbookViewId="0">
      <selection activeCell="D103" sqref="D103"/>
    </sheetView>
  </sheetViews>
  <sheetFormatPr defaultRowHeight="15" x14ac:dyDescent="0.25"/>
  <cols>
    <col min="1" max="1" width="13.85546875" customWidth="1"/>
    <col min="3" max="3" width="11.7109375" customWidth="1"/>
    <col min="4" max="4" width="52.28515625" customWidth="1"/>
    <col min="5" max="5" width="91.28515625" bestFit="1" customWidth="1"/>
  </cols>
  <sheetData>
    <row r="1" spans="1:5" x14ac:dyDescent="0.25">
      <c r="A1" t="s">
        <v>489</v>
      </c>
      <c r="B1" t="s">
        <v>488</v>
      </c>
      <c r="C1" t="s">
        <v>495</v>
      </c>
      <c r="D1" t="s">
        <v>490</v>
      </c>
      <c r="E1" t="s">
        <v>491</v>
      </c>
    </row>
    <row r="2" spans="1:5" x14ac:dyDescent="0.25">
      <c r="A2">
        <v>0</v>
      </c>
      <c r="B2">
        <v>9</v>
      </c>
      <c r="C2" t="s">
        <v>496</v>
      </c>
      <c r="D2" t="s">
        <v>494</v>
      </c>
      <c r="E2" t="s">
        <v>695</v>
      </c>
    </row>
    <row r="3" spans="1:5" x14ac:dyDescent="0.25">
      <c r="A3">
        <v>1</v>
      </c>
      <c r="B3">
        <v>9</v>
      </c>
      <c r="C3" t="s">
        <v>522</v>
      </c>
      <c r="D3" t="s">
        <v>493</v>
      </c>
      <c r="E3" t="s">
        <v>696</v>
      </c>
    </row>
    <row r="4" spans="1:5" x14ac:dyDescent="0.25">
      <c r="A4">
        <v>2</v>
      </c>
      <c r="B4">
        <v>9</v>
      </c>
      <c r="C4" t="s">
        <v>497</v>
      </c>
      <c r="D4" t="s">
        <v>492</v>
      </c>
      <c r="E4" t="s">
        <v>695</v>
      </c>
    </row>
    <row r="5" spans="1:5" x14ac:dyDescent="0.25">
      <c r="A5">
        <v>3</v>
      </c>
      <c r="B5">
        <v>16</v>
      </c>
      <c r="C5" t="s">
        <v>496</v>
      </c>
      <c r="D5" t="s">
        <v>498</v>
      </c>
      <c r="E5" t="s">
        <v>562</v>
      </c>
    </row>
    <row r="6" spans="1:5" x14ac:dyDescent="0.25">
      <c r="A6">
        <v>4</v>
      </c>
      <c r="B6">
        <v>16</v>
      </c>
      <c r="C6" t="s">
        <v>521</v>
      </c>
      <c r="D6" t="s">
        <v>502</v>
      </c>
      <c r="E6" t="s">
        <v>561</v>
      </c>
    </row>
    <row r="7" spans="1:5" x14ac:dyDescent="0.25">
      <c r="A7">
        <v>5</v>
      </c>
      <c r="B7">
        <v>16</v>
      </c>
      <c r="C7" t="s">
        <v>497</v>
      </c>
      <c r="D7" t="s">
        <v>503</v>
      </c>
      <c r="E7" t="s">
        <v>560</v>
      </c>
    </row>
    <row r="8" spans="1:5" x14ac:dyDescent="0.25">
      <c r="A8">
        <v>6</v>
      </c>
      <c r="B8">
        <v>13</v>
      </c>
      <c r="C8" t="s">
        <v>496</v>
      </c>
      <c r="D8" t="s">
        <v>504</v>
      </c>
      <c r="E8" t="s">
        <v>559</v>
      </c>
    </row>
    <row r="9" spans="1:5" x14ac:dyDescent="0.25">
      <c r="A9">
        <v>7</v>
      </c>
      <c r="B9">
        <v>13</v>
      </c>
      <c r="C9" t="s">
        <v>522</v>
      </c>
      <c r="D9" t="s">
        <v>505</v>
      </c>
      <c r="E9" t="s">
        <v>558</v>
      </c>
    </row>
    <row r="10" spans="1:5" x14ac:dyDescent="0.25">
      <c r="A10">
        <v>8</v>
      </c>
      <c r="B10">
        <v>13</v>
      </c>
      <c r="C10" t="s">
        <v>521</v>
      </c>
      <c r="D10" t="s">
        <v>506</v>
      </c>
      <c r="E10" t="s">
        <v>557</v>
      </c>
    </row>
    <row r="11" spans="1:5" x14ac:dyDescent="0.25">
      <c r="A11">
        <v>9</v>
      </c>
      <c r="B11">
        <v>13</v>
      </c>
      <c r="C11" t="s">
        <v>497</v>
      </c>
      <c r="D11" t="s">
        <v>507</v>
      </c>
      <c r="E11" t="s">
        <v>556</v>
      </c>
    </row>
    <row r="12" spans="1:5" x14ac:dyDescent="0.25">
      <c r="A12">
        <v>10</v>
      </c>
      <c r="B12">
        <v>30</v>
      </c>
      <c r="C12" t="s">
        <v>496</v>
      </c>
      <c r="D12" t="s">
        <v>508</v>
      </c>
      <c r="E12" t="s">
        <v>555</v>
      </c>
    </row>
    <row r="13" spans="1:5" x14ac:dyDescent="0.25">
      <c r="A13">
        <v>11</v>
      </c>
      <c r="B13">
        <v>30</v>
      </c>
      <c r="C13" t="s">
        <v>521</v>
      </c>
      <c r="D13" t="s">
        <v>509</v>
      </c>
      <c r="E13" t="s">
        <v>554</v>
      </c>
    </row>
    <row r="14" spans="1:5" x14ac:dyDescent="0.25">
      <c r="A14">
        <v>12</v>
      </c>
      <c r="B14">
        <v>30</v>
      </c>
      <c r="C14" t="s">
        <v>497</v>
      </c>
      <c r="D14" t="s">
        <v>510</v>
      </c>
      <c r="E14" t="s">
        <v>553</v>
      </c>
    </row>
    <row r="15" spans="1:5" x14ac:dyDescent="0.25">
      <c r="A15">
        <v>13</v>
      </c>
      <c r="B15">
        <v>20</v>
      </c>
      <c r="C15" t="s">
        <v>496</v>
      </c>
      <c r="D15" t="s">
        <v>511</v>
      </c>
      <c r="E15" t="s">
        <v>552</v>
      </c>
    </row>
    <row r="16" spans="1:5" x14ac:dyDescent="0.25">
      <c r="A16">
        <v>14</v>
      </c>
      <c r="B16">
        <v>20</v>
      </c>
      <c r="C16" t="s">
        <v>521</v>
      </c>
      <c r="D16" t="s">
        <v>512</v>
      </c>
      <c r="E16" t="s">
        <v>551</v>
      </c>
    </row>
    <row r="17" spans="1:5" x14ac:dyDescent="0.25">
      <c r="A17">
        <v>15</v>
      </c>
      <c r="B17">
        <v>20</v>
      </c>
      <c r="C17" t="s">
        <v>522</v>
      </c>
      <c r="D17" t="s">
        <v>513</v>
      </c>
      <c r="E17" t="s">
        <v>550</v>
      </c>
    </row>
    <row r="18" spans="1:5" x14ac:dyDescent="0.25">
      <c r="A18">
        <v>16</v>
      </c>
      <c r="B18">
        <v>20</v>
      </c>
      <c r="C18" t="s">
        <v>497</v>
      </c>
      <c r="D18" t="s">
        <v>514</v>
      </c>
      <c r="E18" t="s">
        <v>549</v>
      </c>
    </row>
    <row r="19" spans="1:5" x14ac:dyDescent="0.25">
      <c r="A19">
        <v>17</v>
      </c>
      <c r="B19">
        <v>28</v>
      </c>
      <c r="C19" t="s">
        <v>496</v>
      </c>
      <c r="D19" t="s">
        <v>515</v>
      </c>
      <c r="E19" t="s">
        <v>548</v>
      </c>
    </row>
    <row r="20" spans="1:5" x14ac:dyDescent="0.25">
      <c r="A20">
        <v>18</v>
      </c>
      <c r="B20">
        <v>28</v>
      </c>
      <c r="C20" t="s">
        <v>522</v>
      </c>
      <c r="D20" t="s">
        <v>516</v>
      </c>
      <c r="E20" t="s">
        <v>547</v>
      </c>
    </row>
    <row r="21" spans="1:5" x14ac:dyDescent="0.25">
      <c r="A21">
        <v>19</v>
      </c>
      <c r="B21">
        <v>28</v>
      </c>
      <c r="C21" t="s">
        <v>497</v>
      </c>
      <c r="D21" t="s">
        <v>517</v>
      </c>
      <c r="E21" t="s">
        <v>546</v>
      </c>
    </row>
    <row r="22" spans="1:5" x14ac:dyDescent="0.25">
      <c r="A22">
        <v>20</v>
      </c>
      <c r="B22">
        <v>26</v>
      </c>
      <c r="C22" t="s">
        <v>496</v>
      </c>
      <c r="D22" t="s">
        <v>518</v>
      </c>
      <c r="E22" t="s">
        <v>545</v>
      </c>
    </row>
    <row r="23" spans="1:5" x14ac:dyDescent="0.25">
      <c r="A23">
        <v>21</v>
      </c>
      <c r="B23">
        <v>26</v>
      </c>
      <c r="C23" t="s">
        <v>522</v>
      </c>
      <c r="D23" t="s">
        <v>519</v>
      </c>
      <c r="E23" t="s">
        <v>544</v>
      </c>
    </row>
    <row r="24" spans="1:5" x14ac:dyDescent="0.25">
      <c r="A24">
        <v>22</v>
      </c>
      <c r="B24">
        <v>26</v>
      </c>
      <c r="C24" t="s">
        <v>497</v>
      </c>
      <c r="D24" t="s">
        <v>520</v>
      </c>
      <c r="E24" t="s">
        <v>543</v>
      </c>
    </row>
    <row r="25" spans="1:5" x14ac:dyDescent="0.25">
      <c r="A25">
        <v>23</v>
      </c>
      <c r="B25">
        <v>14</v>
      </c>
      <c r="C25" t="s">
        <v>496</v>
      </c>
      <c r="D25" t="s">
        <v>523</v>
      </c>
      <c r="E25" t="s">
        <v>542</v>
      </c>
    </row>
    <row r="26" spans="1:5" x14ac:dyDescent="0.25">
      <c r="A26">
        <v>24</v>
      </c>
      <c r="B26">
        <v>14</v>
      </c>
      <c r="C26" t="s">
        <v>522</v>
      </c>
      <c r="D26" t="s">
        <v>524</v>
      </c>
      <c r="E26" t="s">
        <v>541</v>
      </c>
    </row>
    <row r="27" spans="1:5" x14ac:dyDescent="0.25">
      <c r="A27">
        <v>25</v>
      </c>
      <c r="B27">
        <v>14</v>
      </c>
      <c r="C27" t="s">
        <v>521</v>
      </c>
      <c r="D27" t="s">
        <v>525</v>
      </c>
      <c r="E27" t="s">
        <v>540</v>
      </c>
    </row>
    <row r="28" spans="1:5" x14ac:dyDescent="0.25">
      <c r="A28">
        <v>26</v>
      </c>
      <c r="B28">
        <v>14</v>
      </c>
      <c r="C28" t="s">
        <v>497</v>
      </c>
      <c r="D28" t="s">
        <v>526</v>
      </c>
      <c r="E28" t="s">
        <v>539</v>
      </c>
    </row>
    <row r="29" spans="1:5" x14ac:dyDescent="0.25">
      <c r="A29">
        <v>27</v>
      </c>
      <c r="B29">
        <v>22</v>
      </c>
      <c r="C29" t="s">
        <v>496</v>
      </c>
      <c r="D29" t="s">
        <v>527</v>
      </c>
      <c r="E29" t="s">
        <v>537</v>
      </c>
    </row>
    <row r="30" spans="1:5" x14ac:dyDescent="0.25">
      <c r="A30">
        <v>28</v>
      </c>
      <c r="B30">
        <v>22</v>
      </c>
      <c r="C30" t="s">
        <v>521</v>
      </c>
      <c r="D30" t="s">
        <v>528</v>
      </c>
      <c r="E30" t="s">
        <v>538</v>
      </c>
    </row>
    <row r="31" spans="1:5" x14ac:dyDescent="0.25">
      <c r="A31">
        <v>29</v>
      </c>
      <c r="B31">
        <v>22</v>
      </c>
      <c r="C31" t="s">
        <v>497</v>
      </c>
      <c r="D31" t="s">
        <v>529</v>
      </c>
      <c r="E31" t="s">
        <v>537</v>
      </c>
    </row>
    <row r="32" spans="1:5" x14ac:dyDescent="0.25">
      <c r="A32">
        <v>30</v>
      </c>
      <c r="B32">
        <v>32</v>
      </c>
      <c r="C32" t="s">
        <v>496</v>
      </c>
      <c r="D32" t="s">
        <v>530</v>
      </c>
      <c r="E32" t="s">
        <v>536</v>
      </c>
    </row>
    <row r="33" spans="1:5" x14ac:dyDescent="0.25">
      <c r="A33">
        <v>31</v>
      </c>
      <c r="B33">
        <v>32</v>
      </c>
      <c r="C33" t="s">
        <v>521</v>
      </c>
      <c r="D33" t="s">
        <v>531</v>
      </c>
      <c r="E33" t="s">
        <v>535</v>
      </c>
    </row>
    <row r="34" spans="1:5" x14ac:dyDescent="0.25">
      <c r="A34">
        <v>32</v>
      </c>
      <c r="B34">
        <v>32</v>
      </c>
      <c r="C34" t="s">
        <v>497</v>
      </c>
      <c r="D34" t="s">
        <v>532</v>
      </c>
      <c r="E34" t="s">
        <v>534</v>
      </c>
    </row>
    <row r="35" spans="1:5" x14ac:dyDescent="0.25">
      <c r="A35">
        <v>33</v>
      </c>
      <c r="B35">
        <v>27</v>
      </c>
      <c r="C35" t="s">
        <v>496</v>
      </c>
      <c r="D35" t="s">
        <v>566</v>
      </c>
      <c r="E35" t="s">
        <v>533</v>
      </c>
    </row>
    <row r="36" spans="1:5" x14ac:dyDescent="0.25">
      <c r="A36">
        <v>34</v>
      </c>
      <c r="B36">
        <v>27</v>
      </c>
      <c r="C36" t="s">
        <v>522</v>
      </c>
      <c r="D36" t="s">
        <v>567</v>
      </c>
      <c r="E36" t="s">
        <v>563</v>
      </c>
    </row>
    <row r="37" spans="1:5" x14ac:dyDescent="0.25">
      <c r="A37">
        <v>35</v>
      </c>
      <c r="B37">
        <v>27</v>
      </c>
      <c r="C37" t="s">
        <v>521</v>
      </c>
      <c r="D37" t="s">
        <v>568</v>
      </c>
      <c r="E37" t="s">
        <v>564</v>
      </c>
    </row>
    <row r="38" spans="1:5" x14ac:dyDescent="0.25">
      <c r="A38">
        <v>36</v>
      </c>
      <c r="B38">
        <v>27</v>
      </c>
      <c r="C38" t="s">
        <v>497</v>
      </c>
      <c r="D38" t="s">
        <v>569</v>
      </c>
      <c r="E38" t="s">
        <v>565</v>
      </c>
    </row>
    <row r="39" spans="1:5" x14ac:dyDescent="0.25">
      <c r="A39">
        <v>37</v>
      </c>
      <c r="B39">
        <v>29</v>
      </c>
      <c r="C39" t="s">
        <v>496</v>
      </c>
      <c r="D39" t="s">
        <v>570</v>
      </c>
      <c r="E39" t="s">
        <v>575</v>
      </c>
    </row>
    <row r="40" spans="1:5" x14ac:dyDescent="0.25">
      <c r="A40">
        <v>38</v>
      </c>
      <c r="B40">
        <v>29</v>
      </c>
      <c r="C40" t="s">
        <v>521</v>
      </c>
      <c r="D40" t="s">
        <v>571</v>
      </c>
      <c r="E40" t="s">
        <v>576</v>
      </c>
    </row>
    <row r="41" spans="1:5" x14ac:dyDescent="0.25">
      <c r="A41">
        <v>39</v>
      </c>
      <c r="B41">
        <v>29</v>
      </c>
      <c r="C41" t="s">
        <v>497</v>
      </c>
      <c r="D41" t="s">
        <v>572</v>
      </c>
      <c r="E41" t="s">
        <v>577</v>
      </c>
    </row>
    <row r="42" spans="1:5" x14ac:dyDescent="0.25">
      <c r="A42">
        <v>40</v>
      </c>
      <c r="B42">
        <v>25</v>
      </c>
      <c r="C42" t="s">
        <v>496</v>
      </c>
      <c r="D42" t="s">
        <v>579</v>
      </c>
      <c r="E42" t="s">
        <v>573</v>
      </c>
    </row>
    <row r="43" spans="1:5" x14ac:dyDescent="0.25">
      <c r="A43">
        <v>41</v>
      </c>
      <c r="B43">
        <v>25</v>
      </c>
      <c r="C43" t="s">
        <v>521</v>
      </c>
      <c r="D43" t="s">
        <v>580</v>
      </c>
      <c r="E43" t="s">
        <v>578</v>
      </c>
    </row>
    <row r="44" spans="1:5" x14ac:dyDescent="0.25">
      <c r="A44">
        <v>42</v>
      </c>
      <c r="B44">
        <v>25</v>
      </c>
      <c r="C44" t="s">
        <v>497</v>
      </c>
      <c r="D44" t="s">
        <v>581</v>
      </c>
      <c r="E44" t="s">
        <v>574</v>
      </c>
    </row>
    <row r="45" spans="1:5" x14ac:dyDescent="0.25">
      <c r="A45">
        <v>43</v>
      </c>
      <c r="B45">
        <v>23</v>
      </c>
      <c r="C45" t="s">
        <v>496</v>
      </c>
      <c r="D45" t="s">
        <v>586</v>
      </c>
      <c r="E45" t="s">
        <v>582</v>
      </c>
    </row>
    <row r="46" spans="1:5" x14ac:dyDescent="0.25">
      <c r="A46">
        <v>44</v>
      </c>
      <c r="B46">
        <v>23</v>
      </c>
      <c r="C46" t="s">
        <v>521</v>
      </c>
      <c r="D46" t="s">
        <v>587</v>
      </c>
      <c r="E46" t="s">
        <v>584</v>
      </c>
    </row>
    <row r="47" spans="1:5" x14ac:dyDescent="0.25">
      <c r="A47">
        <v>45</v>
      </c>
      <c r="B47">
        <v>23</v>
      </c>
      <c r="C47" t="s">
        <v>522</v>
      </c>
      <c r="D47" t="s">
        <v>588</v>
      </c>
      <c r="E47" t="s">
        <v>585</v>
      </c>
    </row>
    <row r="48" spans="1:5" x14ac:dyDescent="0.25">
      <c r="A48">
        <v>46</v>
      </c>
      <c r="B48">
        <v>23</v>
      </c>
      <c r="C48" t="s">
        <v>497</v>
      </c>
      <c r="D48" t="s">
        <v>589</v>
      </c>
      <c r="E48" t="s">
        <v>583</v>
      </c>
    </row>
    <row r="49" spans="1:5" x14ac:dyDescent="0.25">
      <c r="A49">
        <v>47</v>
      </c>
      <c r="B49">
        <v>18</v>
      </c>
      <c r="C49" t="s">
        <v>496</v>
      </c>
      <c r="D49" t="s">
        <v>594</v>
      </c>
      <c r="E49" t="s">
        <v>590</v>
      </c>
    </row>
    <row r="50" spans="1:5" x14ac:dyDescent="0.25">
      <c r="A50">
        <v>48</v>
      </c>
      <c r="B50">
        <v>18</v>
      </c>
      <c r="C50" t="s">
        <v>522</v>
      </c>
      <c r="D50" t="s">
        <v>595</v>
      </c>
      <c r="E50" t="s">
        <v>591</v>
      </c>
    </row>
    <row r="51" spans="1:5" x14ac:dyDescent="0.25">
      <c r="A51">
        <v>49</v>
      </c>
      <c r="B51">
        <v>18</v>
      </c>
      <c r="C51" t="s">
        <v>521</v>
      </c>
      <c r="D51" t="s">
        <v>596</v>
      </c>
      <c r="E51" t="s">
        <v>592</v>
      </c>
    </row>
    <row r="52" spans="1:5" x14ac:dyDescent="0.25">
      <c r="A52">
        <v>50</v>
      </c>
      <c r="B52">
        <v>18</v>
      </c>
      <c r="C52" t="s">
        <v>497</v>
      </c>
      <c r="D52" t="s">
        <v>597</v>
      </c>
      <c r="E52" t="s">
        <v>593</v>
      </c>
    </row>
    <row r="53" spans="1:5" x14ac:dyDescent="0.25">
      <c r="A53">
        <v>51</v>
      </c>
      <c r="B53">
        <v>19</v>
      </c>
      <c r="C53" t="s">
        <v>496</v>
      </c>
      <c r="D53" t="s">
        <v>601</v>
      </c>
      <c r="E53" t="s">
        <v>598</v>
      </c>
    </row>
    <row r="54" spans="1:5" x14ac:dyDescent="0.25">
      <c r="A54">
        <v>52</v>
      </c>
      <c r="B54">
        <v>19</v>
      </c>
      <c r="C54" t="s">
        <v>521</v>
      </c>
      <c r="D54" t="s">
        <v>602</v>
      </c>
      <c r="E54" t="s">
        <v>600</v>
      </c>
    </row>
    <row r="55" spans="1:5" x14ac:dyDescent="0.25">
      <c r="A55">
        <v>53</v>
      </c>
      <c r="B55">
        <v>19</v>
      </c>
      <c r="C55" t="s">
        <v>497</v>
      </c>
      <c r="D55" t="s">
        <v>603</v>
      </c>
      <c r="E55" t="s">
        <v>599</v>
      </c>
    </row>
    <row r="56" spans="1:5" x14ac:dyDescent="0.25">
      <c r="A56">
        <v>54</v>
      </c>
      <c r="B56">
        <v>17</v>
      </c>
      <c r="C56" t="s">
        <v>496</v>
      </c>
      <c r="D56" t="s">
        <v>608</v>
      </c>
      <c r="E56" t="s">
        <v>604</v>
      </c>
    </row>
    <row r="57" spans="1:5" x14ac:dyDescent="0.25">
      <c r="A57">
        <v>55</v>
      </c>
      <c r="B57">
        <v>17</v>
      </c>
      <c r="C57" t="s">
        <v>522</v>
      </c>
      <c r="D57" t="s">
        <v>609</v>
      </c>
      <c r="E57" t="s">
        <v>605</v>
      </c>
    </row>
    <row r="58" spans="1:5" x14ac:dyDescent="0.25">
      <c r="A58">
        <v>56</v>
      </c>
      <c r="B58">
        <v>17</v>
      </c>
      <c r="C58" t="s">
        <v>521</v>
      </c>
      <c r="D58" t="s">
        <v>610</v>
      </c>
      <c r="E58" t="s">
        <v>606</v>
      </c>
    </row>
    <row r="59" spans="1:5" x14ac:dyDescent="0.25">
      <c r="A59">
        <v>57</v>
      </c>
      <c r="B59">
        <v>17</v>
      </c>
      <c r="C59" t="s">
        <v>497</v>
      </c>
      <c r="D59" t="s">
        <v>611</v>
      </c>
      <c r="E59" t="s">
        <v>607</v>
      </c>
    </row>
    <row r="60" spans="1:5" x14ac:dyDescent="0.25">
      <c r="A60">
        <v>58</v>
      </c>
      <c r="B60">
        <v>31</v>
      </c>
      <c r="C60" t="s">
        <v>496</v>
      </c>
      <c r="D60" t="s">
        <v>614</v>
      </c>
      <c r="E60" t="s">
        <v>612</v>
      </c>
    </row>
    <row r="61" spans="1:5" x14ac:dyDescent="0.25">
      <c r="A61">
        <v>59</v>
      </c>
      <c r="B61">
        <v>31</v>
      </c>
      <c r="C61" t="s">
        <v>521</v>
      </c>
      <c r="D61" t="s">
        <v>615</v>
      </c>
      <c r="E61" t="s">
        <v>613</v>
      </c>
    </row>
    <row r="62" spans="1:5" x14ac:dyDescent="0.25">
      <c r="A62">
        <v>60</v>
      </c>
      <c r="B62">
        <v>31</v>
      </c>
      <c r="C62" t="s">
        <v>497</v>
      </c>
      <c r="D62" t="s">
        <v>616</v>
      </c>
      <c r="E62" t="s">
        <v>612</v>
      </c>
    </row>
    <row r="63" spans="1:5" x14ac:dyDescent="0.25">
      <c r="A63">
        <v>61</v>
      </c>
      <c r="B63">
        <v>15</v>
      </c>
      <c r="C63" t="s">
        <v>496</v>
      </c>
      <c r="D63" t="s">
        <v>617</v>
      </c>
      <c r="E63" t="s">
        <v>620</v>
      </c>
    </row>
    <row r="64" spans="1:5" x14ac:dyDescent="0.25">
      <c r="A64">
        <v>62</v>
      </c>
      <c r="B64">
        <v>15</v>
      </c>
      <c r="C64" t="s">
        <v>521</v>
      </c>
      <c r="D64" t="s">
        <v>618</v>
      </c>
      <c r="E64" t="s">
        <v>621</v>
      </c>
    </row>
    <row r="65" spans="1:5" x14ac:dyDescent="0.25">
      <c r="A65">
        <v>63</v>
      </c>
      <c r="B65">
        <v>15</v>
      </c>
      <c r="C65" t="s">
        <v>497</v>
      </c>
      <c r="D65" t="s">
        <v>619</v>
      </c>
      <c r="E65" t="s">
        <v>622</v>
      </c>
    </row>
    <row r="66" spans="1:5" x14ac:dyDescent="0.25">
      <c r="A66">
        <v>64</v>
      </c>
      <c r="B66">
        <v>24</v>
      </c>
      <c r="C66" t="s">
        <v>496</v>
      </c>
      <c r="D66" t="s">
        <v>627</v>
      </c>
      <c r="E66" t="s">
        <v>623</v>
      </c>
    </row>
    <row r="67" spans="1:5" x14ac:dyDescent="0.25">
      <c r="A67">
        <v>65</v>
      </c>
      <c r="B67">
        <v>24</v>
      </c>
      <c r="C67" t="s">
        <v>521</v>
      </c>
      <c r="D67" t="s">
        <v>628</v>
      </c>
      <c r="E67" t="s">
        <v>625</v>
      </c>
    </row>
    <row r="68" spans="1:5" x14ac:dyDescent="0.25">
      <c r="A68">
        <v>66</v>
      </c>
      <c r="B68">
        <v>24</v>
      </c>
      <c r="C68" t="s">
        <v>522</v>
      </c>
      <c r="D68" t="s">
        <v>629</v>
      </c>
      <c r="E68" t="s">
        <v>626</v>
      </c>
    </row>
    <row r="69" spans="1:5" x14ac:dyDescent="0.25">
      <c r="A69">
        <v>67</v>
      </c>
      <c r="B69">
        <v>24</v>
      </c>
      <c r="C69" t="s">
        <v>497</v>
      </c>
      <c r="D69" t="s">
        <v>630</v>
      </c>
      <c r="E69" t="s">
        <v>624</v>
      </c>
    </row>
    <row r="70" spans="1:5" x14ac:dyDescent="0.25">
      <c r="A70">
        <v>68</v>
      </c>
      <c r="B70">
        <v>0</v>
      </c>
      <c r="C70" t="s">
        <v>496</v>
      </c>
      <c r="D70" t="s">
        <v>634</v>
      </c>
      <c r="E70" t="s">
        <v>631</v>
      </c>
    </row>
    <row r="71" spans="1:5" x14ac:dyDescent="0.25">
      <c r="A71">
        <v>69</v>
      </c>
      <c r="B71">
        <v>0</v>
      </c>
      <c r="C71" t="s">
        <v>521</v>
      </c>
      <c r="D71" t="s">
        <v>635</v>
      </c>
      <c r="E71" t="s">
        <v>632</v>
      </c>
    </row>
    <row r="72" spans="1:5" x14ac:dyDescent="0.25">
      <c r="A72">
        <v>70</v>
      </c>
      <c r="B72">
        <v>0</v>
      </c>
      <c r="C72" t="s">
        <v>497</v>
      </c>
      <c r="D72" t="s">
        <v>636</v>
      </c>
      <c r="E72" t="s">
        <v>633</v>
      </c>
    </row>
    <row r="73" spans="1:5" x14ac:dyDescent="0.25">
      <c r="A73">
        <v>71</v>
      </c>
      <c r="B73">
        <v>1</v>
      </c>
      <c r="C73" t="s">
        <v>496</v>
      </c>
      <c r="D73" t="s">
        <v>637</v>
      </c>
      <c r="E73" t="s">
        <v>643</v>
      </c>
    </row>
    <row r="74" spans="1:5" x14ac:dyDescent="0.25">
      <c r="A74">
        <v>72</v>
      </c>
      <c r="B74">
        <v>1</v>
      </c>
      <c r="C74" t="s">
        <v>521</v>
      </c>
      <c r="D74" t="s">
        <v>638</v>
      </c>
      <c r="E74" t="s">
        <v>645</v>
      </c>
    </row>
    <row r="75" spans="1:5" x14ac:dyDescent="0.25">
      <c r="A75">
        <v>73</v>
      </c>
      <c r="B75">
        <v>1</v>
      </c>
      <c r="C75" t="s">
        <v>497</v>
      </c>
      <c r="D75" t="s">
        <v>639</v>
      </c>
      <c r="E75" t="s">
        <v>644</v>
      </c>
    </row>
    <row r="76" spans="1:5" x14ac:dyDescent="0.25">
      <c r="A76">
        <v>74</v>
      </c>
      <c r="B76">
        <v>12</v>
      </c>
      <c r="C76" t="s">
        <v>496</v>
      </c>
      <c r="D76" t="s">
        <v>640</v>
      </c>
      <c r="E76" t="s">
        <v>646</v>
      </c>
    </row>
    <row r="77" spans="1:5" x14ac:dyDescent="0.25">
      <c r="A77">
        <v>75</v>
      </c>
      <c r="B77">
        <v>12</v>
      </c>
      <c r="C77" t="s">
        <v>521</v>
      </c>
      <c r="D77" t="s">
        <v>641</v>
      </c>
      <c r="E77" t="s">
        <v>647</v>
      </c>
    </row>
    <row r="78" spans="1:5" x14ac:dyDescent="0.25">
      <c r="A78">
        <v>76</v>
      </c>
      <c r="B78">
        <v>12</v>
      </c>
      <c r="C78" t="s">
        <v>497</v>
      </c>
      <c r="D78" t="s">
        <v>642</v>
      </c>
      <c r="E78" t="s">
        <v>648</v>
      </c>
    </row>
    <row r="79" spans="1:5" x14ac:dyDescent="0.25">
      <c r="A79">
        <v>77</v>
      </c>
      <c r="B79">
        <v>5</v>
      </c>
      <c r="C79" t="s">
        <v>496</v>
      </c>
      <c r="D79" t="s">
        <v>652</v>
      </c>
      <c r="E79" t="s">
        <v>649</v>
      </c>
    </row>
    <row r="80" spans="1:5" x14ac:dyDescent="0.25">
      <c r="A80">
        <v>78</v>
      </c>
      <c r="B80">
        <v>5</v>
      </c>
      <c r="C80" t="s">
        <v>521</v>
      </c>
      <c r="D80" t="s">
        <v>653</v>
      </c>
      <c r="E80" t="s">
        <v>651</v>
      </c>
    </row>
    <row r="81" spans="1:5" x14ac:dyDescent="0.25">
      <c r="A81">
        <v>79</v>
      </c>
      <c r="B81">
        <v>5</v>
      </c>
      <c r="C81" t="s">
        <v>497</v>
      </c>
      <c r="D81" t="s">
        <v>654</v>
      </c>
      <c r="E81" t="s">
        <v>650</v>
      </c>
    </row>
    <row r="82" spans="1:5" x14ac:dyDescent="0.25">
      <c r="A82">
        <v>80</v>
      </c>
      <c r="B82">
        <v>8</v>
      </c>
      <c r="C82" t="s">
        <v>496</v>
      </c>
      <c r="D82" t="s">
        <v>658</v>
      </c>
      <c r="E82" t="s">
        <v>655</v>
      </c>
    </row>
    <row r="83" spans="1:5" x14ac:dyDescent="0.25">
      <c r="A83">
        <v>81</v>
      </c>
      <c r="B83">
        <v>8</v>
      </c>
      <c r="C83" t="s">
        <v>521</v>
      </c>
      <c r="D83" t="s">
        <v>659</v>
      </c>
      <c r="E83" t="s">
        <v>656</v>
      </c>
    </row>
    <row r="84" spans="1:5" x14ac:dyDescent="0.25">
      <c r="A84">
        <v>82</v>
      </c>
      <c r="B84">
        <v>8</v>
      </c>
      <c r="C84" t="s">
        <v>497</v>
      </c>
      <c r="D84" t="s">
        <v>660</v>
      </c>
      <c r="E84" t="s">
        <v>657</v>
      </c>
    </row>
    <row r="85" spans="1:5" x14ac:dyDescent="0.25">
      <c r="A85">
        <v>83</v>
      </c>
      <c r="B85">
        <v>2</v>
      </c>
      <c r="C85" t="s">
        <v>496</v>
      </c>
      <c r="D85" t="s">
        <v>661</v>
      </c>
      <c r="E85" t="s">
        <v>667</v>
      </c>
    </row>
    <row r="86" spans="1:5" x14ac:dyDescent="0.25">
      <c r="A86">
        <v>84</v>
      </c>
      <c r="B86">
        <v>2</v>
      </c>
      <c r="C86" t="s">
        <v>521</v>
      </c>
      <c r="D86" t="s">
        <v>662</v>
      </c>
      <c r="E86" t="s">
        <v>668</v>
      </c>
    </row>
    <row r="87" spans="1:5" x14ac:dyDescent="0.25">
      <c r="A87">
        <v>85</v>
      </c>
      <c r="B87">
        <v>2</v>
      </c>
      <c r="C87" t="s">
        <v>497</v>
      </c>
      <c r="D87" t="s">
        <v>663</v>
      </c>
      <c r="E87" t="s">
        <v>669</v>
      </c>
    </row>
    <row r="88" spans="1:5" x14ac:dyDescent="0.25">
      <c r="A88">
        <v>86</v>
      </c>
      <c r="B88">
        <v>4</v>
      </c>
      <c r="C88" t="s">
        <v>496</v>
      </c>
      <c r="D88" t="s">
        <v>664</v>
      </c>
      <c r="E88" t="s">
        <v>670</v>
      </c>
    </row>
    <row r="89" spans="1:5" x14ac:dyDescent="0.25">
      <c r="A89">
        <v>87</v>
      </c>
      <c r="B89">
        <v>4</v>
      </c>
      <c r="C89" t="s">
        <v>521</v>
      </c>
      <c r="D89" t="s">
        <v>665</v>
      </c>
      <c r="E89" t="s">
        <v>672</v>
      </c>
    </row>
    <row r="90" spans="1:5" x14ac:dyDescent="0.25">
      <c r="A90">
        <v>88</v>
      </c>
      <c r="B90">
        <v>4</v>
      </c>
      <c r="C90" t="s">
        <v>497</v>
      </c>
      <c r="D90" t="s">
        <v>666</v>
      </c>
      <c r="E90" t="s">
        <v>671</v>
      </c>
    </row>
    <row r="91" spans="1:5" x14ac:dyDescent="0.25">
      <c r="A91">
        <v>89</v>
      </c>
      <c r="B91">
        <v>3</v>
      </c>
      <c r="C91" t="s">
        <v>496</v>
      </c>
      <c r="D91" t="s">
        <v>673</v>
      </c>
      <c r="E91" t="s">
        <v>679</v>
      </c>
    </row>
    <row r="92" spans="1:5" x14ac:dyDescent="0.25">
      <c r="A92">
        <v>90</v>
      </c>
      <c r="B92">
        <v>3</v>
      </c>
      <c r="C92" t="s">
        <v>521</v>
      </c>
      <c r="D92" t="s">
        <v>674</v>
      </c>
      <c r="E92" t="s">
        <v>681</v>
      </c>
    </row>
    <row r="93" spans="1:5" x14ac:dyDescent="0.25">
      <c r="A93">
        <v>91</v>
      </c>
      <c r="B93">
        <v>3</v>
      </c>
      <c r="C93" t="s">
        <v>497</v>
      </c>
      <c r="D93" t="s">
        <v>675</v>
      </c>
      <c r="E93" t="s">
        <v>680</v>
      </c>
    </row>
    <row r="94" spans="1:5" x14ac:dyDescent="0.25">
      <c r="A94">
        <v>92</v>
      </c>
      <c r="B94">
        <v>6</v>
      </c>
      <c r="C94" t="s">
        <v>496</v>
      </c>
      <c r="D94" t="s">
        <v>676</v>
      </c>
      <c r="E94" t="s">
        <v>682</v>
      </c>
    </row>
    <row r="95" spans="1:5" x14ac:dyDescent="0.25">
      <c r="A95">
        <v>93</v>
      </c>
      <c r="B95">
        <v>6</v>
      </c>
      <c r="C95" t="s">
        <v>521</v>
      </c>
      <c r="D95" t="s">
        <v>677</v>
      </c>
      <c r="E95" t="s">
        <v>683</v>
      </c>
    </row>
    <row r="96" spans="1:5" x14ac:dyDescent="0.25">
      <c r="A96">
        <v>94</v>
      </c>
      <c r="B96">
        <v>6</v>
      </c>
      <c r="C96" t="s">
        <v>497</v>
      </c>
      <c r="D96" t="s">
        <v>678</v>
      </c>
      <c r="E96" t="s">
        <v>684</v>
      </c>
    </row>
    <row r="97" spans="1:5" x14ac:dyDescent="0.25">
      <c r="A97">
        <v>95</v>
      </c>
      <c r="B97">
        <v>11</v>
      </c>
      <c r="C97" t="s">
        <v>496</v>
      </c>
      <c r="D97" t="s">
        <v>685</v>
      </c>
      <c r="E97" t="s">
        <v>697</v>
      </c>
    </row>
    <row r="98" spans="1:5" x14ac:dyDescent="0.25">
      <c r="A98">
        <v>96</v>
      </c>
      <c r="B98">
        <v>11</v>
      </c>
      <c r="C98" t="s">
        <v>522</v>
      </c>
      <c r="D98" t="s">
        <v>686</v>
      </c>
      <c r="E98" t="s">
        <v>699</v>
      </c>
    </row>
    <row r="99" spans="1:5" x14ac:dyDescent="0.25">
      <c r="A99">
        <v>97</v>
      </c>
      <c r="B99">
        <v>11</v>
      </c>
      <c r="C99" t="s">
        <v>521</v>
      </c>
      <c r="D99" t="s">
        <v>687</v>
      </c>
      <c r="E99" t="s">
        <v>698</v>
      </c>
    </row>
    <row r="100" spans="1:5" x14ac:dyDescent="0.25">
      <c r="A100">
        <v>98</v>
      </c>
      <c r="B100">
        <v>11</v>
      </c>
      <c r="C100" t="s">
        <v>497</v>
      </c>
      <c r="D100" t="s">
        <v>688</v>
      </c>
      <c r="E100" t="s">
        <v>700</v>
      </c>
    </row>
    <row r="101" spans="1:5" x14ac:dyDescent="0.25">
      <c r="A101">
        <v>99</v>
      </c>
      <c r="B101">
        <v>21</v>
      </c>
      <c r="C101" t="s">
        <v>496</v>
      </c>
      <c r="D101" t="s">
        <v>689</v>
      </c>
      <c r="E101" t="s">
        <v>701</v>
      </c>
    </row>
    <row r="102" spans="1:5" x14ac:dyDescent="0.25">
      <c r="A102">
        <v>100</v>
      </c>
      <c r="B102">
        <v>21</v>
      </c>
      <c r="C102" t="s">
        <v>521</v>
      </c>
      <c r="D102" t="s">
        <v>690</v>
      </c>
      <c r="E102" t="s">
        <v>703</v>
      </c>
    </row>
    <row r="103" spans="1:5" x14ac:dyDescent="0.25">
      <c r="A103">
        <v>101</v>
      </c>
      <c r="B103">
        <v>21</v>
      </c>
      <c r="C103" t="s">
        <v>497</v>
      </c>
      <c r="D103" t="s">
        <v>691</v>
      </c>
      <c r="E103" t="s">
        <v>702</v>
      </c>
    </row>
    <row r="104" spans="1:5" x14ac:dyDescent="0.25">
      <c r="A104">
        <v>102</v>
      </c>
      <c r="B104">
        <v>7</v>
      </c>
      <c r="C104" t="s">
        <v>496</v>
      </c>
      <c r="D104" t="s">
        <v>692</v>
      </c>
      <c r="E104" t="s">
        <v>499</v>
      </c>
    </row>
    <row r="105" spans="1:5" x14ac:dyDescent="0.25">
      <c r="A105">
        <v>103</v>
      </c>
      <c r="B105">
        <v>7</v>
      </c>
      <c r="C105" t="s">
        <v>521</v>
      </c>
      <c r="D105" t="s">
        <v>693</v>
      </c>
      <c r="E105" t="s">
        <v>500</v>
      </c>
    </row>
    <row r="106" spans="1:5" x14ac:dyDescent="0.25">
      <c r="A106">
        <v>104</v>
      </c>
      <c r="B106">
        <v>7</v>
      </c>
      <c r="C106" t="s">
        <v>497</v>
      </c>
      <c r="D106" t="s">
        <v>694</v>
      </c>
      <c r="E106" t="s">
        <v>501</v>
      </c>
    </row>
    <row r="107" spans="1:5" x14ac:dyDescent="0.25">
      <c r="A107">
        <v>105</v>
      </c>
      <c r="B107">
        <v>10</v>
      </c>
      <c r="C107" t="s">
        <v>522</v>
      </c>
      <c r="D107" t="s">
        <v>709</v>
      </c>
      <c r="E107" t="s">
        <v>708</v>
      </c>
    </row>
    <row r="108" spans="1:5" x14ac:dyDescent="0.25">
      <c r="A108">
        <v>106</v>
      </c>
      <c r="B108">
        <v>10</v>
      </c>
      <c r="C108" t="s">
        <v>496</v>
      </c>
      <c r="D108" t="s">
        <v>710</v>
      </c>
      <c r="E108" t="s">
        <v>704</v>
      </c>
    </row>
    <row r="109" spans="1:5" x14ac:dyDescent="0.25">
      <c r="A109">
        <v>107</v>
      </c>
      <c r="B109">
        <v>10</v>
      </c>
      <c r="C109" t="s">
        <v>705</v>
      </c>
      <c r="D109" t="s">
        <v>711</v>
      </c>
      <c r="E109" t="s">
        <v>707</v>
      </c>
    </row>
    <row r="110" spans="1:5" x14ac:dyDescent="0.25">
      <c r="A110">
        <v>108</v>
      </c>
      <c r="B110">
        <v>10</v>
      </c>
      <c r="C110" t="s">
        <v>497</v>
      </c>
      <c r="D110" t="s">
        <v>712</v>
      </c>
      <c r="E110" t="s">
        <v>706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04EF-B44D-4DB5-BB2C-B495CB5B6929}">
  <dimension ref="A1:AS4"/>
  <sheetViews>
    <sheetView workbookViewId="0">
      <selection activeCell="B5" sqref="B5"/>
    </sheetView>
  </sheetViews>
  <sheetFormatPr defaultRowHeight="15" x14ac:dyDescent="0.25"/>
  <cols>
    <col min="1" max="3" width="10.42578125" bestFit="1" customWidth="1"/>
  </cols>
  <sheetData>
    <row r="1" spans="1:45" x14ac:dyDescent="0.25">
      <c r="A1" t="s">
        <v>11</v>
      </c>
      <c r="B1" t="s">
        <v>12</v>
      </c>
      <c r="C1" t="s">
        <v>362</v>
      </c>
      <c r="D1" t="s">
        <v>76</v>
      </c>
      <c r="E1" t="s">
        <v>77</v>
      </c>
      <c r="F1" t="s">
        <v>461</v>
      </c>
      <c r="G1" t="s">
        <v>463</v>
      </c>
      <c r="H1" t="s">
        <v>467</v>
      </c>
      <c r="I1" s="80" t="s">
        <v>13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</row>
    <row r="2" spans="1:45" x14ac:dyDescent="0.25">
      <c r="A2" s="1">
        <v>44928</v>
      </c>
      <c r="B2" s="1">
        <v>44928</v>
      </c>
      <c r="C2" s="1">
        <v>44928</v>
      </c>
      <c r="D2" s="2">
        <f t="shared" ref="D2:D3" ca="1" si="0">IF(ISBLANK(B2), (NOW()-A2), (B2-A2))</f>
        <v>0</v>
      </c>
      <c r="E2" s="2">
        <f t="shared" ref="E2" ca="1" si="1">IF(ISBLANK(B2), 0, NOW()-B2)</f>
        <v>624.49387500000012</v>
      </c>
      <c r="F2" s="2" t="s">
        <v>462</v>
      </c>
      <c r="G2" s="2" t="s">
        <v>464</v>
      </c>
      <c r="H2" s="2" t="s">
        <v>468</v>
      </c>
      <c r="I2" s="12" t="s">
        <v>465</v>
      </c>
      <c r="M2">
        <v>19</v>
      </c>
      <c r="N2">
        <v>0</v>
      </c>
      <c r="O2">
        <v>0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9777</v>
      </c>
      <c r="AS2" s="120">
        <f t="shared" ref="AS2" si="3">IF(ISBLANK($AL2), 0, DATE(YEAR("1995-08-3"),MONTH("1995-08-3"), DAY("1995-08-3")) - DATE(YEAR($AL2),MONTH($AL2), DAY($AL2)))</f>
        <v>-861</v>
      </c>
    </row>
    <row r="3" spans="1:45" x14ac:dyDescent="0.25">
      <c r="A3" s="1">
        <v>45482</v>
      </c>
      <c r="B3" s="1">
        <v>45492</v>
      </c>
      <c r="C3" s="1">
        <v>45532</v>
      </c>
      <c r="D3" s="2">
        <f t="shared" ca="1" si="0"/>
        <v>10</v>
      </c>
      <c r="F3" s="2" t="s">
        <v>462</v>
      </c>
      <c r="G3" t="s">
        <v>466</v>
      </c>
      <c r="H3" t="s">
        <v>469</v>
      </c>
      <c r="I3" s="12" t="s">
        <v>465</v>
      </c>
      <c r="J3" t="s">
        <v>53</v>
      </c>
      <c r="K3" t="s">
        <v>470</v>
      </c>
      <c r="L3" t="s">
        <v>471</v>
      </c>
      <c r="Q3" t="s">
        <v>285</v>
      </c>
    </row>
    <row r="4" spans="1:45" x14ac:dyDescent="0.25">
      <c r="A4" s="1">
        <v>45532</v>
      </c>
      <c r="B4" s="1">
        <v>45538</v>
      </c>
      <c r="F4" s="2" t="s">
        <v>462</v>
      </c>
      <c r="G4" s="2"/>
      <c r="H4" t="s">
        <v>468</v>
      </c>
      <c r="I4" t="s">
        <v>747</v>
      </c>
      <c r="J4" t="s">
        <v>53</v>
      </c>
      <c r="K4" t="s">
        <v>446</v>
      </c>
      <c r="L4" t="s">
        <v>72</v>
      </c>
      <c r="M4">
        <v>34</v>
      </c>
      <c r="N4">
        <v>0</v>
      </c>
      <c r="O4">
        <v>0</v>
      </c>
      <c r="P4" t="s">
        <v>75</v>
      </c>
      <c r="Q4" t="s">
        <v>285</v>
      </c>
    </row>
  </sheetData>
  <conditionalFormatting sqref="AL2">
    <cfRule type="cellIs" dxfId="2" priority="2" operator="greaterThan">
      <formula>35280</formula>
    </cfRule>
    <cfRule type="cellIs" dxfId="1" priority="3" operator="lessThan">
      <formula>34549</formula>
    </cfRule>
    <cfRule type="cellIs" dxfId="0" priority="4" operator="between">
      <formula>34549</formula>
      <formula>35280</formula>
    </cfRule>
  </conditionalFormatting>
  <conditionalFormatting sqref="AS1:AS2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C23-D606-47F1-B56F-0023BA547B2D}">
  <dimension ref="A1:J10"/>
  <sheetViews>
    <sheetView workbookViewId="0">
      <selection activeCell="C37" sqref="C37"/>
    </sheetView>
  </sheetViews>
  <sheetFormatPr defaultRowHeight="15" x14ac:dyDescent="0.25"/>
  <cols>
    <col min="7" max="7" width="11.28515625" customWidth="1"/>
  </cols>
  <sheetData>
    <row r="1" spans="1:10" x14ac:dyDescent="0.25">
      <c r="A1" s="119" t="s">
        <v>409</v>
      </c>
    </row>
    <row r="2" spans="1:10" x14ac:dyDescent="0.25">
      <c r="A2" t="s">
        <v>410</v>
      </c>
      <c r="G2" s="119" t="s">
        <v>413</v>
      </c>
      <c r="H2" t="s">
        <v>210</v>
      </c>
      <c r="I2" t="s">
        <v>4</v>
      </c>
      <c r="J2" t="s">
        <v>10</v>
      </c>
    </row>
    <row r="3" spans="1:10" x14ac:dyDescent="0.25">
      <c r="G3" t="s">
        <v>414</v>
      </c>
      <c r="H3" t="s">
        <v>123</v>
      </c>
      <c r="I3" t="s">
        <v>4</v>
      </c>
      <c r="J3" t="s">
        <v>3</v>
      </c>
    </row>
    <row r="4" spans="1:10" x14ac:dyDescent="0.25">
      <c r="G4" t="s">
        <v>415</v>
      </c>
      <c r="H4" t="s">
        <v>137</v>
      </c>
      <c r="I4" t="s">
        <v>4</v>
      </c>
      <c r="J4" t="s">
        <v>270</v>
      </c>
    </row>
    <row r="5" spans="1:10" x14ac:dyDescent="0.25">
      <c r="G5" t="s">
        <v>416</v>
      </c>
      <c r="H5" t="s">
        <v>190</v>
      </c>
    </row>
    <row r="6" spans="1:10" x14ac:dyDescent="0.25">
      <c r="G6" t="s">
        <v>417</v>
      </c>
      <c r="H6" t="s">
        <v>152</v>
      </c>
    </row>
    <row r="7" spans="1:10" x14ac:dyDescent="0.25">
      <c r="G7" t="s">
        <v>418</v>
      </c>
      <c r="H7" t="s">
        <v>97</v>
      </c>
    </row>
    <row r="8" spans="1:10" x14ac:dyDescent="0.25">
      <c r="G8" t="s">
        <v>419</v>
      </c>
      <c r="H8" t="s">
        <v>97</v>
      </c>
    </row>
    <row r="9" spans="1:10" x14ac:dyDescent="0.25">
      <c r="G9" s="119" t="s">
        <v>429</v>
      </c>
    </row>
    <row r="10" spans="1:10" x14ac:dyDescent="0.25">
      <c r="G10" s="119" t="s">
        <v>427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04625-2DAE-4419-BE44-2A1D6CC80305}">
  <sheetPr codeName="Sheet5"/>
  <dimension ref="B4:T27"/>
  <sheetViews>
    <sheetView workbookViewId="0">
      <selection activeCell="K5" sqref="K5"/>
    </sheetView>
  </sheetViews>
  <sheetFormatPr defaultRowHeight="15" x14ac:dyDescent="0.25"/>
  <cols>
    <col min="2" max="2" width="22.28515625" customWidth="1"/>
    <col min="3" max="3" width="8.42578125" bestFit="1" customWidth="1"/>
    <col min="4" max="5" width="10.42578125" bestFit="1" customWidth="1"/>
    <col min="6" max="6" width="15.85546875" customWidth="1"/>
    <col min="9" max="9" width="9.42578125" bestFit="1" customWidth="1"/>
    <col min="10" max="10" width="13.5703125" bestFit="1" customWidth="1"/>
    <col min="11" max="11" width="16.5703125" bestFit="1" customWidth="1"/>
    <col min="12" max="12" width="14.28515625" bestFit="1" customWidth="1"/>
    <col min="13" max="13" width="15" bestFit="1" customWidth="1"/>
    <col min="14" max="14" width="10.7109375" bestFit="1" customWidth="1"/>
    <col min="15" max="15" width="29" bestFit="1" customWidth="1"/>
    <col min="20" max="20" width="15" bestFit="1" customWidth="1"/>
  </cols>
  <sheetData>
    <row r="4" spans="2:20" x14ac:dyDescent="0.25">
      <c r="G4" t="s">
        <v>4</v>
      </c>
      <c r="H4" t="s">
        <v>285</v>
      </c>
      <c r="I4" t="s">
        <v>262</v>
      </c>
      <c r="J4" t="s">
        <v>330</v>
      </c>
      <c r="K4" t="s">
        <v>483</v>
      </c>
      <c r="L4" t="s">
        <v>484</v>
      </c>
      <c r="M4" t="s">
        <v>486</v>
      </c>
      <c r="N4" t="s">
        <v>487</v>
      </c>
      <c r="O4" t="s">
        <v>318</v>
      </c>
    </row>
    <row r="5" spans="2:20" x14ac:dyDescent="0.25">
      <c r="B5" t="s">
        <v>271</v>
      </c>
      <c r="C5" s="80">
        <f>CountDistinct(JerseyData!$G$2:$G$102,FALSE)</f>
        <v>32</v>
      </c>
      <c r="F5" t="s">
        <v>302</v>
      </c>
      <c r="G5">
        <f>COUNTIFS(JerseyData!$V$2:$V$200, $F5,JerseyData!$Q$2:$Q$200, G$4)</f>
        <v>29</v>
      </c>
      <c r="H5">
        <f>COUNTIFS(JerseyData!$V$2:$V$200, $F5,JerseyData!$Q$2:$Q$200, H$4)</f>
        <v>10</v>
      </c>
      <c r="I5">
        <f>COUNTIFS(JerseyData!$V$2:$V$200, $F5,JerseyData!$Q$2:$Q$200, I$4)</f>
        <v>10</v>
      </c>
      <c r="J5">
        <f>COUNTIFS(JerseyData!$V$2:$V$200, $F5,JerseyData!$Q$2:$Q$200, J$4)</f>
        <v>2</v>
      </c>
      <c r="K5">
        <f>COUNTIFS(JerseyData!$V$2:$V$200, $F5,JerseyData!$Q$2:$Q$200, K$4)</f>
        <v>7</v>
      </c>
      <c r="L5">
        <f>COUNTIFS(JerseyData!$V$2:$V$200, $F5,JerseyData!$Q$2:$Q$200, L$4)</f>
        <v>0</v>
      </c>
      <c r="M5">
        <f>COUNTIFS(JerseyData!$V$2:$V$200, $F5,JerseyData!$Q$2:$Q$200, M$4)</f>
        <v>0</v>
      </c>
      <c r="N5">
        <f>COUNTIFS(JerseyData!$V$2:$V$200, $F5,JerseyData!$Q$2:$Q$200, N$4)</f>
        <v>1</v>
      </c>
      <c r="O5">
        <f>COUNTIFS(JerseyData!$V$2:$V$200, $F5,JerseyData!$Q$2:$Q$200, O$4)</f>
        <v>1</v>
      </c>
      <c r="S5">
        <f>SUM(G5:R5)</f>
        <v>60</v>
      </c>
      <c r="T5" t="str">
        <f>F5</f>
        <v>Adidas</v>
      </c>
    </row>
    <row r="6" spans="2:20" x14ac:dyDescent="0.25">
      <c r="B6" t="s">
        <v>272</v>
      </c>
      <c r="C6" s="80">
        <f>COUNTA(JerseyData!$G$2:$G$102)</f>
        <v>79</v>
      </c>
      <c r="F6" t="s">
        <v>311</v>
      </c>
      <c r="G6">
        <f>COUNTIFS(JerseyData!$V$2:$V$200, $F6,JerseyData!$Q$2:$Q$200, G$4)</f>
        <v>8</v>
      </c>
      <c r="H6">
        <f>COUNTIFS(JerseyData!$V$2:$V$200, $F6,JerseyData!$Q$2:$Q$200, H$4)</f>
        <v>3</v>
      </c>
      <c r="I6">
        <f>COUNTIFS(JerseyData!$V$2:$V$200, $F6,JerseyData!$Q$2:$Q$200, I$4)</f>
        <v>0</v>
      </c>
      <c r="J6">
        <f>COUNTIFS(JerseyData!$V$2:$V$200, $F6,JerseyData!$Q$2:$Q$200, J$4)</f>
        <v>0</v>
      </c>
      <c r="K6">
        <f>COUNTIFS(JerseyData!$V$2:$V$200, $F6,JerseyData!$Q$2:$Q$200, K$4)</f>
        <v>0</v>
      </c>
      <c r="L6">
        <f>COUNTIFS(JerseyData!$V$2:$V$200, $F6,JerseyData!$Q$2:$Q$200, L$4)</f>
        <v>0</v>
      </c>
      <c r="M6">
        <f>COUNTIFS(JerseyData!$V$2:$V$200, $F6,JerseyData!$Q$2:$Q$200, M$4)</f>
        <v>0</v>
      </c>
      <c r="N6">
        <f>COUNTIFS(JerseyData!$V$2:$V$200, $F6,JerseyData!$Q$2:$Q$200, N$4)</f>
        <v>0</v>
      </c>
      <c r="O6">
        <f>COUNTIFS(JerseyData!$V$2:$V$200, $F6,JerseyData!$Q$2:$Q$200, O$4)</f>
        <v>0</v>
      </c>
      <c r="S6">
        <f t="shared" ref="S6:S13" si="0">SUM(G6:R6)</f>
        <v>11</v>
      </c>
      <c r="T6" t="str">
        <f t="shared" ref="T6:T13" si="1">F6</f>
        <v>Reebok</v>
      </c>
    </row>
    <row r="7" spans="2:20" x14ac:dyDescent="0.25">
      <c r="B7" t="s">
        <v>304</v>
      </c>
      <c r="C7">
        <f>SUM(JerseyData!$AG$2:$AG$101)</f>
        <v>7989.1143707371157</v>
      </c>
      <c r="F7" t="s">
        <v>394</v>
      </c>
      <c r="G7">
        <f>COUNTIFS(JerseyData!$V$2:$V$200, $F7,JerseyData!$Q$2:$Q$200, G$4)</f>
        <v>2</v>
      </c>
      <c r="H7">
        <f>COUNTIFS(JerseyData!$V$2:$V$200, $F7,JerseyData!$Q$2:$Q$200, H$4)</f>
        <v>0</v>
      </c>
      <c r="I7">
        <f>COUNTIFS(JerseyData!$V$2:$V$200, $F7,JerseyData!$Q$2:$Q$200, I$4)</f>
        <v>0</v>
      </c>
      <c r="J7">
        <f>COUNTIFS(JerseyData!$V$2:$V$200, $F7,JerseyData!$Q$2:$Q$200, J$4)</f>
        <v>0</v>
      </c>
      <c r="K7">
        <f>COUNTIFS(JerseyData!$V$2:$V$200, $F7,JerseyData!$Q$2:$Q$200, K$4)</f>
        <v>0</v>
      </c>
      <c r="L7">
        <f>COUNTIFS(JerseyData!$V$2:$V$200, $F7,JerseyData!$Q$2:$Q$200, L$4)</f>
        <v>0</v>
      </c>
      <c r="M7">
        <f>COUNTIFS(JerseyData!$V$2:$V$200, $F7,JerseyData!$Q$2:$Q$200, M$4)</f>
        <v>0</v>
      </c>
      <c r="N7">
        <f>COUNTIFS(JerseyData!$V$2:$V$200, $F7,JerseyData!$Q$2:$Q$200, N$4)</f>
        <v>0</v>
      </c>
      <c r="O7">
        <f>COUNTIFS(JerseyData!$V$2:$V$200, $F7,JerseyData!$Q$2:$Q$200, O$4)</f>
        <v>0</v>
      </c>
      <c r="S7">
        <f t="shared" si="0"/>
        <v>2</v>
      </c>
      <c r="T7" t="str">
        <f t="shared" si="1"/>
        <v>Mitchell &amp; Ness</v>
      </c>
    </row>
    <row r="8" spans="2:20" x14ac:dyDescent="0.25">
      <c r="F8" t="s">
        <v>713</v>
      </c>
      <c r="G8">
        <f>COUNTIFS(JerseyData!$V$2:$V$200, $F8,JerseyData!$Q$2:$Q$200, G$4)</f>
        <v>0</v>
      </c>
      <c r="H8">
        <f>COUNTIFS(JerseyData!$V$2:$V$200, $F8,JerseyData!$Q$2:$Q$200, H$4)</f>
        <v>0</v>
      </c>
      <c r="I8">
        <f>COUNTIFS(JerseyData!$V$2:$V$200, $F8,JerseyData!$Q$2:$Q$200, I$4)</f>
        <v>0</v>
      </c>
      <c r="J8">
        <f>COUNTIFS(JerseyData!$V$2:$V$200, $F8,JerseyData!$Q$2:$Q$200, J$4)</f>
        <v>0</v>
      </c>
      <c r="K8">
        <f>COUNTIFS(JerseyData!$V$2:$V$200, $F8,JerseyData!$Q$2:$Q$200, K$4)</f>
        <v>0</v>
      </c>
      <c r="L8">
        <f>COUNTIFS(JerseyData!$V$2:$V$200, $F8,JerseyData!$Q$2:$Q$200, L$4)</f>
        <v>0</v>
      </c>
      <c r="M8">
        <f>COUNTIFS(JerseyData!$V$2:$V$200, $F8,JerseyData!$Q$2:$Q$200, M$4)</f>
        <v>0</v>
      </c>
      <c r="N8">
        <f>COUNTIFS(JerseyData!$V$2:$V$200, $F8,JerseyData!$Q$2:$Q$200, N$4)</f>
        <v>0</v>
      </c>
      <c r="O8">
        <f>COUNTIFS(JerseyData!$V$2:$V$200, $F8,JerseyData!$Q$2:$Q$200, O$4)</f>
        <v>0</v>
      </c>
      <c r="S8">
        <f t="shared" si="0"/>
        <v>0</v>
      </c>
      <c r="T8" t="str">
        <f t="shared" si="1"/>
        <v>Nike</v>
      </c>
    </row>
    <row r="9" spans="2:20" ht="15.75" thickBot="1" x14ac:dyDescent="0.3">
      <c r="B9" s="100" t="s">
        <v>305</v>
      </c>
      <c r="F9" t="s">
        <v>485</v>
      </c>
      <c r="G9">
        <f>COUNTIFS(JerseyData!$V$2:$V$200, $F9,JerseyData!$Q$2:$Q$200, G$4)</f>
        <v>1</v>
      </c>
      <c r="H9">
        <f>COUNTIFS(JerseyData!$V$2:$V$200, $F9,JerseyData!$Q$2:$Q$200, H$4)</f>
        <v>0</v>
      </c>
      <c r="I9">
        <f>COUNTIFS(JerseyData!$V$2:$V$200, $F9,JerseyData!$Q$2:$Q$200, I$4)</f>
        <v>0</v>
      </c>
      <c r="J9">
        <f>COUNTIFS(JerseyData!$V$2:$V$200, $F9,JerseyData!$Q$2:$Q$200, J$4)</f>
        <v>0</v>
      </c>
      <c r="K9">
        <f>COUNTIFS(JerseyData!$V$2:$V$200, $F9,JerseyData!$Q$2:$Q$200, K$4)</f>
        <v>0</v>
      </c>
      <c r="L9">
        <f>COUNTIFS(JerseyData!$V$2:$V$200, $F9,JerseyData!$Q$2:$Q$200, L$4)</f>
        <v>1</v>
      </c>
      <c r="M9">
        <f>COUNTIFS(JerseyData!$V$2:$V$200, $F9,JerseyData!$Q$2:$Q$200, M$4)</f>
        <v>0</v>
      </c>
      <c r="N9">
        <f>COUNTIFS(JerseyData!$V$2:$V$200, $F9,JerseyData!$Q$2:$Q$200, N$4)</f>
        <v>0</v>
      </c>
      <c r="O9">
        <f>COUNTIFS(JerseyData!$V$2:$V$200, $F9,JerseyData!$Q$2:$Q$200, O$4)</f>
        <v>0</v>
      </c>
      <c r="S9">
        <f t="shared" si="0"/>
        <v>2</v>
      </c>
      <c r="T9" t="str">
        <f t="shared" si="1"/>
        <v>FAKE</v>
      </c>
    </row>
    <row r="10" spans="2:20" x14ac:dyDescent="0.25">
      <c r="B10" t="s">
        <v>256</v>
      </c>
      <c r="C10">
        <f>COUNTIF(JerseyData!$H$2:$H$102, B10)</f>
        <v>42</v>
      </c>
      <c r="S10">
        <f t="shared" si="0"/>
        <v>0</v>
      </c>
      <c r="T10">
        <f t="shared" si="1"/>
        <v>0</v>
      </c>
    </row>
    <row r="11" spans="2:20" x14ac:dyDescent="0.25">
      <c r="B11" t="s">
        <v>250</v>
      </c>
      <c r="C11">
        <f>COUNTIF(JerseyData!$H$2:$H$102, B11)</f>
        <v>37</v>
      </c>
      <c r="S11">
        <f t="shared" si="0"/>
        <v>0</v>
      </c>
      <c r="T11">
        <f t="shared" si="1"/>
        <v>0</v>
      </c>
    </row>
    <row r="12" spans="2:20" x14ac:dyDescent="0.25">
      <c r="S12">
        <f t="shared" si="0"/>
        <v>0</v>
      </c>
      <c r="T12">
        <f t="shared" si="1"/>
        <v>0</v>
      </c>
    </row>
    <row r="13" spans="2:20" ht="15.75" thickBot="1" x14ac:dyDescent="0.3">
      <c r="B13" s="100" t="s">
        <v>306</v>
      </c>
      <c r="S13">
        <f t="shared" si="0"/>
        <v>0</v>
      </c>
      <c r="T13">
        <f t="shared" si="1"/>
        <v>0</v>
      </c>
    </row>
    <row r="14" spans="2:20" x14ac:dyDescent="0.25">
      <c r="B14" t="s">
        <v>35</v>
      </c>
      <c r="C14">
        <f>COUNTIF(JerseyData!$I$2:$I$102, B14)</f>
        <v>18</v>
      </c>
      <c r="G14">
        <f>SUM(G5:G13)</f>
        <v>40</v>
      </c>
      <c r="H14">
        <f t="shared" ref="H14:O14" si="2">SUM(H5:H13)</f>
        <v>13</v>
      </c>
      <c r="I14">
        <f t="shared" si="2"/>
        <v>10</v>
      </c>
      <c r="J14">
        <f t="shared" si="2"/>
        <v>2</v>
      </c>
      <c r="K14">
        <f t="shared" si="2"/>
        <v>7</v>
      </c>
      <c r="L14">
        <f t="shared" si="2"/>
        <v>1</v>
      </c>
      <c r="M14">
        <f t="shared" si="2"/>
        <v>0</v>
      </c>
      <c r="N14">
        <f t="shared" si="2"/>
        <v>1</v>
      </c>
      <c r="O14">
        <f t="shared" si="2"/>
        <v>1</v>
      </c>
      <c r="P14">
        <f t="shared" ref="P14" si="3">SUM(P5:P13)</f>
        <v>0</v>
      </c>
      <c r="Q14">
        <f t="shared" ref="Q14" si="4">SUM(Q5:Q13)</f>
        <v>0</v>
      </c>
      <c r="R14">
        <f t="shared" ref="R14" si="5">SUM(R5:R13)</f>
        <v>0</v>
      </c>
      <c r="S14">
        <f>SUM(S5:S13)</f>
        <v>75</v>
      </c>
    </row>
    <row r="15" spans="2:20" x14ac:dyDescent="0.25">
      <c r="B15" t="s">
        <v>37</v>
      </c>
      <c r="C15">
        <f>COUNTIF(JerseyData!$I$2:$I$102, B15)</f>
        <v>19</v>
      </c>
      <c r="G15" t="str">
        <f>G4</f>
        <v>Home</v>
      </c>
      <c r="H15" t="str">
        <f t="shared" ref="H15:O15" si="6">H4</f>
        <v>Away</v>
      </c>
      <c r="I15" t="str">
        <f t="shared" si="6"/>
        <v>Alternate</v>
      </c>
      <c r="J15" t="str">
        <f t="shared" si="6"/>
        <v>Reverse Retro</v>
      </c>
      <c r="K15" t="str">
        <f t="shared" si="6"/>
        <v>Reverse Retro 2.0</v>
      </c>
      <c r="L15" t="str">
        <f t="shared" si="6"/>
        <v>Stadium Series</v>
      </c>
      <c r="M15" t="str">
        <f t="shared" si="6"/>
        <v>Heritage Classic</v>
      </c>
      <c r="N15" t="str">
        <f t="shared" si="6"/>
        <v>Centennial</v>
      </c>
      <c r="O15" t="str">
        <f t="shared" si="6"/>
        <v>Alternate Hockey Fights Cancer</v>
      </c>
      <c r="P15">
        <f t="shared" ref="P15:R15" si="7">P4</f>
        <v>0</v>
      </c>
      <c r="Q15">
        <f t="shared" si="7"/>
        <v>0</v>
      </c>
      <c r="R15">
        <f t="shared" si="7"/>
        <v>0</v>
      </c>
      <c r="T15" t="b">
        <f>SUM(G14:O14)=S14</f>
        <v>1</v>
      </c>
    </row>
    <row r="16" spans="2:20" x14ac:dyDescent="0.25">
      <c r="B16" t="s">
        <v>38</v>
      </c>
      <c r="C16">
        <f>COUNTIF(JerseyData!$I$2:$I$102, B16)</f>
        <v>16</v>
      </c>
    </row>
    <row r="17" spans="2:5" x14ac:dyDescent="0.25">
      <c r="B17" t="s">
        <v>36</v>
      </c>
      <c r="C17">
        <f>COUNTIF(JerseyData!$I$2:$I$102, B17)</f>
        <v>26</v>
      </c>
    </row>
    <row r="19" spans="2:5" ht="15.75" thickBot="1" x14ac:dyDescent="0.3">
      <c r="B19" s="100" t="s">
        <v>365</v>
      </c>
      <c r="C19" t="s">
        <v>369</v>
      </c>
      <c r="D19" t="s">
        <v>54</v>
      </c>
    </row>
    <row r="20" spans="2:5" x14ac:dyDescent="0.25">
      <c r="B20" t="s">
        <v>367</v>
      </c>
      <c r="D20" s="1">
        <f>MIN(JerseyData!$AL$2:$AL$100)</f>
        <v>22307</v>
      </c>
    </row>
    <row r="21" spans="2:5" x14ac:dyDescent="0.25">
      <c r="B21" t="s">
        <v>366</v>
      </c>
      <c r="D21" s="1">
        <f>MAX(JerseyData!$AL$2:$AL$100)</f>
        <v>36997</v>
      </c>
    </row>
    <row r="22" spans="2:5" x14ac:dyDescent="0.25">
      <c r="B22" t="s">
        <v>368</v>
      </c>
      <c r="D22" s="1">
        <f>AVERAGE(JerseyData!$AL$2:$AL$100)</f>
        <v>33126.050632911392</v>
      </c>
    </row>
    <row r="23" spans="2:5" x14ac:dyDescent="0.25">
      <c r="B23" t="s">
        <v>370</v>
      </c>
      <c r="D23" s="1">
        <f>MIN(ABS(JerseyData!$AL$2:$AL$100 - "1995-08-03"))</f>
        <v>5411</v>
      </c>
    </row>
    <row r="24" spans="2:5" x14ac:dyDescent="0.25">
      <c r="D24" s="1">
        <f>ABS(JerseyData!$AL$2:$AL$100 - DATE(1995,8,3))</f>
        <v>1778</v>
      </c>
    </row>
    <row r="25" spans="2:5" x14ac:dyDescent="0.25">
      <c r="D25" t="e">
        <f>INDEX(JerseyData!$AL$2:$AL$100, MATCH(MIN(ABS(JerseyData!$AL$2:$AL$100 - DATE(1995,8,3))), ABS(JerseyData!$AL$2:$AL$100 - DATE(1995,8,3)), 0))</f>
        <v>#N/A</v>
      </c>
      <c r="E25" s="1">
        <f>MIN(ABS(JerseyData!$AL$2:$AL$100-DATE(1995,8,3)))</f>
        <v>2083</v>
      </c>
    </row>
    <row r="26" spans="2:5" x14ac:dyDescent="0.25">
      <c r="D26" t="e">
        <f>INDEX(A1:Z1, MATCH(MIN(ABS(A1:Z1 - DATE(2022,1,1))), ABS(A1:Z1 - DATE(2022,1,1)), 0))</f>
        <v>#N/A</v>
      </c>
    </row>
    <row r="27" spans="2:5" x14ac:dyDescent="0.25">
      <c r="D27" t="e">
        <f>INDEX(A1:Z1, MATCH(MIN(ABS(A1:Z1 - DATE(2022,1,1))), ABS(A1:Z1 - DATE(2022,1,1)), 0))</f>
        <v>#N/A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2663-68D1-4DFA-A88F-653DB8565129}">
  <sheetPr codeName="Sheet2"/>
  <dimension ref="A1:L34"/>
  <sheetViews>
    <sheetView workbookViewId="0">
      <selection activeCell="B27" sqref="B27"/>
    </sheetView>
  </sheetViews>
  <sheetFormatPr defaultRowHeight="15" x14ac:dyDescent="0.25"/>
  <cols>
    <col min="1" max="1" width="3" bestFit="1" customWidth="1"/>
    <col min="2" max="2" width="21.42578125" bestFit="1" customWidth="1"/>
    <col min="3" max="3" width="16" bestFit="1" customWidth="1"/>
    <col min="4" max="4" width="38.5703125" bestFit="1" customWidth="1"/>
    <col min="5" max="5" width="11.28515625" bestFit="1" customWidth="1"/>
    <col min="6" max="6" width="8.140625" bestFit="1" customWidth="1"/>
    <col min="7" max="8" width="8.85546875" bestFit="1" customWidth="1"/>
    <col min="9" max="10" width="9.42578125" bestFit="1" customWidth="1"/>
    <col min="11" max="12" width="8.85546875" bestFit="1" customWidth="1"/>
  </cols>
  <sheetData>
    <row r="1" spans="1:12" x14ac:dyDescent="0.25">
      <c r="A1" s="3" t="s">
        <v>78</v>
      </c>
      <c r="B1" s="3" t="s">
        <v>79</v>
      </c>
      <c r="C1" s="3" t="s">
        <v>80</v>
      </c>
      <c r="D1" s="3" t="s">
        <v>81</v>
      </c>
      <c r="E1" s="3" t="s">
        <v>33</v>
      </c>
      <c r="F1" s="3" t="s">
        <v>34</v>
      </c>
      <c r="G1" s="3" t="s">
        <v>82</v>
      </c>
      <c r="H1" s="3" t="s">
        <v>83</v>
      </c>
      <c r="I1" s="3" t="s">
        <v>84</v>
      </c>
      <c r="J1" s="3" t="s">
        <v>85</v>
      </c>
      <c r="K1" s="3" t="s">
        <v>86</v>
      </c>
      <c r="L1" s="3" t="s">
        <v>87</v>
      </c>
    </row>
    <row r="2" spans="1:12" x14ac:dyDescent="0.25">
      <c r="A2" s="4">
        <v>0</v>
      </c>
      <c r="B2" s="5" t="s">
        <v>88</v>
      </c>
      <c r="C2" s="5" t="s">
        <v>89</v>
      </c>
      <c r="D2" s="5" t="s">
        <v>90</v>
      </c>
      <c r="E2" s="4">
        <v>2</v>
      </c>
      <c r="F2" s="4">
        <v>4</v>
      </c>
      <c r="G2" s="21" t="s">
        <v>91</v>
      </c>
      <c r="H2" s="22" t="s">
        <v>92</v>
      </c>
      <c r="I2" s="23" t="s">
        <v>93</v>
      </c>
      <c r="J2" s="24" t="s">
        <v>94</v>
      </c>
      <c r="K2" s="5" t="s">
        <v>95</v>
      </c>
      <c r="L2" s="5" t="s">
        <v>95</v>
      </c>
    </row>
    <row r="3" spans="1:12" x14ac:dyDescent="0.25">
      <c r="A3" s="4">
        <v>1</v>
      </c>
      <c r="B3" s="5" t="s">
        <v>96</v>
      </c>
      <c r="C3" s="5" t="s">
        <v>97</v>
      </c>
      <c r="D3" s="5" t="s">
        <v>98</v>
      </c>
      <c r="E3" s="4">
        <v>2</v>
      </c>
      <c r="F3" s="4">
        <v>3</v>
      </c>
      <c r="G3" s="78" t="s">
        <v>99</v>
      </c>
      <c r="H3" s="26" t="s">
        <v>100</v>
      </c>
      <c r="I3" s="23" t="s">
        <v>93</v>
      </c>
      <c r="J3" s="5" t="s">
        <v>94</v>
      </c>
      <c r="K3" s="5" t="s">
        <v>95</v>
      </c>
      <c r="L3" s="5" t="s">
        <v>95</v>
      </c>
    </row>
    <row r="4" spans="1:12" x14ac:dyDescent="0.25">
      <c r="A4" s="4">
        <v>2</v>
      </c>
      <c r="B4" s="5" t="s">
        <v>101</v>
      </c>
      <c r="C4" s="5" t="s">
        <v>102</v>
      </c>
      <c r="D4" s="5" t="s">
        <v>103</v>
      </c>
      <c r="E4" s="4">
        <v>1</v>
      </c>
      <c r="F4" s="4">
        <v>1</v>
      </c>
      <c r="G4" s="27" t="s">
        <v>104</v>
      </c>
      <c r="H4" s="25" t="s">
        <v>105</v>
      </c>
      <c r="I4" s="5" t="s">
        <v>94</v>
      </c>
      <c r="J4" s="5" t="s">
        <v>95</v>
      </c>
      <c r="K4" s="5" t="s">
        <v>95</v>
      </c>
      <c r="L4" s="5" t="s">
        <v>95</v>
      </c>
    </row>
    <row r="5" spans="1:12" x14ac:dyDescent="0.25">
      <c r="A5" s="4">
        <v>3</v>
      </c>
      <c r="B5" s="5" t="s">
        <v>106</v>
      </c>
      <c r="C5" s="5" t="s">
        <v>107</v>
      </c>
      <c r="D5" s="5" t="s">
        <v>108</v>
      </c>
      <c r="E5" s="4">
        <v>1</v>
      </c>
      <c r="F5" s="4">
        <v>1</v>
      </c>
      <c r="G5" s="28" t="s">
        <v>109</v>
      </c>
      <c r="H5" s="29" t="s">
        <v>110</v>
      </c>
      <c r="I5" s="30" t="s">
        <v>111</v>
      </c>
      <c r="J5" s="5" t="s">
        <v>94</v>
      </c>
      <c r="K5" s="5" t="s">
        <v>95</v>
      </c>
      <c r="L5" s="5" t="s">
        <v>95</v>
      </c>
    </row>
    <row r="6" spans="1:12" x14ac:dyDescent="0.25">
      <c r="A6" s="4">
        <v>4</v>
      </c>
      <c r="B6" s="5" t="s">
        <v>5</v>
      </c>
      <c r="C6" s="5" t="s">
        <v>123</v>
      </c>
      <c r="D6" s="5" t="s">
        <v>124</v>
      </c>
      <c r="E6" s="4">
        <v>2</v>
      </c>
      <c r="F6" s="4">
        <v>4</v>
      </c>
      <c r="G6" s="31" t="s">
        <v>125</v>
      </c>
      <c r="H6" s="32" t="s">
        <v>126</v>
      </c>
      <c r="I6" s="23" t="s">
        <v>93</v>
      </c>
      <c r="J6" s="5" t="s">
        <v>94</v>
      </c>
      <c r="K6" s="33" t="s">
        <v>127</v>
      </c>
      <c r="L6" s="5" t="s">
        <v>95</v>
      </c>
    </row>
    <row r="7" spans="1:12" x14ac:dyDescent="0.25">
      <c r="A7" s="4">
        <v>5</v>
      </c>
      <c r="B7" s="5" t="s">
        <v>112</v>
      </c>
      <c r="C7" s="5" t="s">
        <v>113</v>
      </c>
      <c r="D7" s="5" t="s">
        <v>114</v>
      </c>
      <c r="E7" s="4">
        <v>1</v>
      </c>
      <c r="F7" s="4">
        <v>2</v>
      </c>
      <c r="G7" s="34" t="s">
        <v>115</v>
      </c>
      <c r="H7" s="25" t="s">
        <v>105</v>
      </c>
      <c r="I7" s="5" t="s">
        <v>94</v>
      </c>
      <c r="J7" s="35" t="s">
        <v>116</v>
      </c>
      <c r="K7" s="5" t="s">
        <v>95</v>
      </c>
      <c r="L7" s="5" t="s">
        <v>95</v>
      </c>
    </row>
    <row r="8" spans="1:12" x14ac:dyDescent="0.25">
      <c r="A8" s="4">
        <v>6</v>
      </c>
      <c r="B8" s="5" t="s">
        <v>128</v>
      </c>
      <c r="C8" s="5" t="s">
        <v>129</v>
      </c>
      <c r="D8" s="5" t="s">
        <v>130</v>
      </c>
      <c r="E8" s="4">
        <v>2</v>
      </c>
      <c r="F8" s="4">
        <v>3</v>
      </c>
      <c r="G8" s="36" t="s">
        <v>131</v>
      </c>
      <c r="H8" s="25" t="s">
        <v>105</v>
      </c>
      <c r="I8" s="5" t="s">
        <v>94</v>
      </c>
      <c r="J8" s="5" t="s">
        <v>95</v>
      </c>
      <c r="K8" s="5" t="s">
        <v>95</v>
      </c>
      <c r="L8" s="5" t="s">
        <v>95</v>
      </c>
    </row>
    <row r="9" spans="1:12" x14ac:dyDescent="0.25">
      <c r="A9" s="4">
        <v>7</v>
      </c>
      <c r="B9" s="5" t="s">
        <v>26</v>
      </c>
      <c r="C9" s="5" t="s">
        <v>132</v>
      </c>
      <c r="D9" s="5" t="s">
        <v>133</v>
      </c>
      <c r="E9" s="4">
        <v>2</v>
      </c>
      <c r="F9" s="4">
        <v>3</v>
      </c>
      <c r="G9" s="76" t="s">
        <v>134</v>
      </c>
      <c r="H9" s="77" t="s">
        <v>135</v>
      </c>
      <c r="I9" s="25" t="s">
        <v>105</v>
      </c>
      <c r="J9" s="5" t="s">
        <v>94</v>
      </c>
      <c r="K9" s="5" t="s">
        <v>95</v>
      </c>
      <c r="L9" s="5" t="s">
        <v>95</v>
      </c>
    </row>
    <row r="10" spans="1:12" x14ac:dyDescent="0.25">
      <c r="A10" s="4">
        <v>8</v>
      </c>
      <c r="B10" s="5" t="s">
        <v>117</v>
      </c>
      <c r="C10" s="5" t="s">
        <v>118</v>
      </c>
      <c r="D10" s="5" t="s">
        <v>119</v>
      </c>
      <c r="E10" s="4">
        <v>1</v>
      </c>
      <c r="F10" s="4">
        <v>2</v>
      </c>
      <c r="G10" s="75" t="s">
        <v>120</v>
      </c>
      <c r="H10" s="37" t="s">
        <v>121</v>
      </c>
      <c r="I10" s="38" t="s">
        <v>122</v>
      </c>
      <c r="J10" s="5" t="s">
        <v>94</v>
      </c>
      <c r="K10" s="5" t="s">
        <v>95</v>
      </c>
      <c r="L10" s="5" t="s">
        <v>95</v>
      </c>
    </row>
    <row r="11" spans="1:12" x14ac:dyDescent="0.25">
      <c r="A11" s="4">
        <v>9</v>
      </c>
      <c r="B11" s="5" t="s">
        <v>136</v>
      </c>
      <c r="C11" s="5" t="s">
        <v>137</v>
      </c>
      <c r="D11" s="5" t="s">
        <v>138</v>
      </c>
      <c r="E11" s="4">
        <v>2</v>
      </c>
      <c r="F11" s="4">
        <v>3</v>
      </c>
      <c r="G11" s="39" t="s">
        <v>139</v>
      </c>
      <c r="H11" s="23" t="s">
        <v>93</v>
      </c>
      <c r="I11" s="5" t="s">
        <v>94</v>
      </c>
      <c r="J11" s="40" t="s">
        <v>140</v>
      </c>
      <c r="K11" s="5" t="s">
        <v>95</v>
      </c>
      <c r="L11" s="5" t="s">
        <v>95</v>
      </c>
    </row>
    <row r="12" spans="1:12" x14ac:dyDescent="0.25">
      <c r="A12" s="4">
        <v>10</v>
      </c>
      <c r="B12" s="5" t="s">
        <v>141</v>
      </c>
      <c r="C12" s="5" t="s">
        <v>142</v>
      </c>
      <c r="D12" s="5" t="s">
        <v>143</v>
      </c>
      <c r="E12" s="4">
        <v>1</v>
      </c>
      <c r="F12" s="4">
        <v>1</v>
      </c>
      <c r="G12" s="70" t="s">
        <v>121</v>
      </c>
      <c r="H12" s="5" t="s">
        <v>94</v>
      </c>
      <c r="I12" s="5" t="s">
        <v>95</v>
      </c>
      <c r="J12" s="5" t="s">
        <v>95</v>
      </c>
      <c r="K12" s="5" t="s">
        <v>95</v>
      </c>
      <c r="L12" s="5" t="s">
        <v>95</v>
      </c>
    </row>
    <row r="13" spans="1:12" x14ac:dyDescent="0.25">
      <c r="A13" s="4">
        <v>11</v>
      </c>
      <c r="B13" s="5" t="s">
        <v>6</v>
      </c>
      <c r="C13" s="5" t="s">
        <v>144</v>
      </c>
      <c r="D13" s="5" t="s">
        <v>145</v>
      </c>
      <c r="E13" s="4">
        <v>2</v>
      </c>
      <c r="F13" s="4">
        <v>4</v>
      </c>
      <c r="G13" s="41" t="s">
        <v>146</v>
      </c>
      <c r="H13" s="28" t="s">
        <v>109</v>
      </c>
      <c r="I13" s="5" t="s">
        <v>94</v>
      </c>
      <c r="J13" s="5" t="s">
        <v>95</v>
      </c>
      <c r="K13" s="5" t="s">
        <v>95</v>
      </c>
      <c r="L13" s="5" t="s">
        <v>95</v>
      </c>
    </row>
    <row r="14" spans="1:12" x14ac:dyDescent="0.25">
      <c r="A14" s="4">
        <v>12</v>
      </c>
      <c r="B14" s="5" t="s">
        <v>0</v>
      </c>
      <c r="C14" s="5" t="s">
        <v>147</v>
      </c>
      <c r="D14" s="5" t="s">
        <v>148</v>
      </c>
      <c r="E14" s="4">
        <v>1</v>
      </c>
      <c r="F14" s="4">
        <v>1</v>
      </c>
      <c r="G14" s="74" t="s">
        <v>125</v>
      </c>
      <c r="H14" s="42" t="s">
        <v>149</v>
      </c>
      <c r="I14" s="25" t="s">
        <v>105</v>
      </c>
      <c r="J14" s="5" t="s">
        <v>94</v>
      </c>
      <c r="K14" s="43" t="s">
        <v>150</v>
      </c>
      <c r="L14" s="5" t="s">
        <v>95</v>
      </c>
    </row>
    <row r="15" spans="1:12" x14ac:dyDescent="0.25">
      <c r="A15" s="4">
        <v>13</v>
      </c>
      <c r="B15" s="5" t="s">
        <v>151</v>
      </c>
      <c r="C15" s="5" t="s">
        <v>152</v>
      </c>
      <c r="D15" s="5" t="s">
        <v>153</v>
      </c>
      <c r="E15" s="4">
        <v>2</v>
      </c>
      <c r="F15" s="4">
        <v>4</v>
      </c>
      <c r="G15" s="64" t="s">
        <v>154</v>
      </c>
      <c r="H15" s="44" t="s">
        <v>155</v>
      </c>
      <c r="I15" s="5" t="s">
        <v>94</v>
      </c>
      <c r="J15" s="23" t="s">
        <v>93</v>
      </c>
      <c r="K15" s="5" t="s">
        <v>95</v>
      </c>
      <c r="L15" s="5" t="s">
        <v>95</v>
      </c>
    </row>
    <row r="16" spans="1:12" x14ac:dyDescent="0.25">
      <c r="A16" s="4">
        <v>14</v>
      </c>
      <c r="B16" s="5" t="s">
        <v>156</v>
      </c>
      <c r="C16" s="5" t="s">
        <v>157</v>
      </c>
      <c r="D16" s="5" t="s">
        <v>158</v>
      </c>
      <c r="E16" s="4">
        <v>2</v>
      </c>
      <c r="F16" s="4">
        <v>3</v>
      </c>
      <c r="G16" s="73" t="s">
        <v>159</v>
      </c>
      <c r="H16" s="45" t="s">
        <v>160</v>
      </c>
      <c r="I16" s="27" t="s">
        <v>104</v>
      </c>
      <c r="J16" s="5" t="s">
        <v>94</v>
      </c>
      <c r="K16" s="5" t="s">
        <v>95</v>
      </c>
      <c r="L16" s="5" t="s">
        <v>95</v>
      </c>
    </row>
    <row r="17" spans="1:12" x14ac:dyDescent="0.25">
      <c r="A17" s="4">
        <v>15</v>
      </c>
      <c r="B17" s="5" t="s">
        <v>25</v>
      </c>
      <c r="C17" s="5" t="s">
        <v>161</v>
      </c>
      <c r="D17" s="5" t="s">
        <v>162</v>
      </c>
      <c r="E17" s="4">
        <v>1</v>
      </c>
      <c r="F17" s="4">
        <v>1</v>
      </c>
      <c r="G17" s="71" t="s">
        <v>163</v>
      </c>
      <c r="H17" s="72" t="s">
        <v>164</v>
      </c>
      <c r="I17" s="5" t="s">
        <v>94</v>
      </c>
      <c r="J17" s="5" t="s">
        <v>95</v>
      </c>
      <c r="K17" s="5" t="s">
        <v>95</v>
      </c>
      <c r="L17" s="5" t="s">
        <v>95</v>
      </c>
    </row>
    <row r="18" spans="1:12" x14ac:dyDescent="0.25">
      <c r="A18" s="4">
        <v>16</v>
      </c>
      <c r="B18" s="5" t="s">
        <v>168</v>
      </c>
      <c r="C18" s="5" t="s">
        <v>169</v>
      </c>
      <c r="D18" s="5" t="s">
        <v>170</v>
      </c>
      <c r="E18" s="4">
        <v>2</v>
      </c>
      <c r="F18" s="4">
        <v>3</v>
      </c>
      <c r="G18" s="27" t="s">
        <v>104</v>
      </c>
      <c r="H18" s="28" t="s">
        <v>109</v>
      </c>
      <c r="I18" s="5" t="s">
        <v>94</v>
      </c>
      <c r="J18" s="5" t="s">
        <v>95</v>
      </c>
      <c r="K18" s="5" t="s">
        <v>95</v>
      </c>
      <c r="L18" s="5" t="s">
        <v>95</v>
      </c>
    </row>
    <row r="19" spans="1:12" x14ac:dyDescent="0.25">
      <c r="A19" s="4">
        <v>17</v>
      </c>
      <c r="B19" s="5" t="s">
        <v>165</v>
      </c>
      <c r="C19" s="5" t="s">
        <v>166</v>
      </c>
      <c r="D19" s="5" t="s">
        <v>167</v>
      </c>
      <c r="E19" s="4">
        <v>1</v>
      </c>
      <c r="F19" s="4">
        <v>2</v>
      </c>
      <c r="G19" s="70" t="s">
        <v>121</v>
      </c>
      <c r="H19" s="25" t="s">
        <v>105</v>
      </c>
      <c r="I19" s="5" t="s">
        <v>94</v>
      </c>
      <c r="J19" s="5" t="s">
        <v>95</v>
      </c>
      <c r="K19" s="5" t="s">
        <v>95</v>
      </c>
      <c r="L19" s="5" t="s">
        <v>95</v>
      </c>
    </row>
    <row r="20" spans="1:12" x14ac:dyDescent="0.25">
      <c r="A20" s="4">
        <v>18</v>
      </c>
      <c r="B20" s="5" t="s">
        <v>171</v>
      </c>
      <c r="C20" s="5" t="s">
        <v>172</v>
      </c>
      <c r="D20" s="5" t="s">
        <v>173</v>
      </c>
      <c r="E20" s="4">
        <v>1</v>
      </c>
      <c r="F20" s="4">
        <v>2</v>
      </c>
      <c r="G20" s="69" t="s">
        <v>174</v>
      </c>
      <c r="H20" s="46" t="s">
        <v>175</v>
      </c>
      <c r="I20" s="5" t="s">
        <v>94</v>
      </c>
      <c r="J20" s="47" t="s">
        <v>176</v>
      </c>
      <c r="K20" s="5" t="s">
        <v>95</v>
      </c>
      <c r="L20" s="5" t="s">
        <v>95</v>
      </c>
    </row>
    <row r="21" spans="1:12" x14ac:dyDescent="0.25">
      <c r="A21" s="4">
        <v>19</v>
      </c>
      <c r="B21" s="5" t="s">
        <v>177</v>
      </c>
      <c r="C21" s="5" t="s">
        <v>178</v>
      </c>
      <c r="D21" s="5" t="s">
        <v>179</v>
      </c>
      <c r="E21" s="4">
        <v>1</v>
      </c>
      <c r="F21" s="4">
        <v>2</v>
      </c>
      <c r="G21" s="68" t="s">
        <v>180</v>
      </c>
      <c r="H21" s="37" t="s">
        <v>121</v>
      </c>
      <c r="I21" s="5" t="s">
        <v>94</v>
      </c>
      <c r="J21" s="5" t="s">
        <v>95</v>
      </c>
      <c r="K21" s="5" t="s">
        <v>95</v>
      </c>
      <c r="L21" s="5" t="s">
        <v>95</v>
      </c>
    </row>
    <row r="22" spans="1:12" x14ac:dyDescent="0.25">
      <c r="A22" s="4">
        <v>20</v>
      </c>
      <c r="B22" s="5" t="s">
        <v>181</v>
      </c>
      <c r="C22" s="5" t="s">
        <v>182</v>
      </c>
      <c r="D22" s="5" t="s">
        <v>183</v>
      </c>
      <c r="E22" s="4">
        <v>1</v>
      </c>
      <c r="F22" s="4">
        <v>1</v>
      </c>
      <c r="G22" s="67" t="s">
        <v>184</v>
      </c>
      <c r="H22" s="25" t="s">
        <v>105</v>
      </c>
      <c r="I22" s="5" t="s">
        <v>94</v>
      </c>
      <c r="J22" s="48" t="s">
        <v>185</v>
      </c>
      <c r="K22" s="5" t="s">
        <v>95</v>
      </c>
      <c r="L22" s="5" t="s">
        <v>95</v>
      </c>
    </row>
    <row r="23" spans="1:12" x14ac:dyDescent="0.25">
      <c r="A23" s="4">
        <v>21</v>
      </c>
      <c r="B23" s="5" t="s">
        <v>186</v>
      </c>
      <c r="C23" s="5" t="s">
        <v>187</v>
      </c>
      <c r="D23" s="5" t="s">
        <v>188</v>
      </c>
      <c r="E23" s="4">
        <v>1</v>
      </c>
      <c r="F23" s="4">
        <v>2</v>
      </c>
      <c r="G23" s="49" t="s">
        <v>189</v>
      </c>
      <c r="H23" s="25" t="s">
        <v>105</v>
      </c>
      <c r="I23" s="5" t="s">
        <v>94</v>
      </c>
      <c r="J23" s="5" t="s">
        <v>95</v>
      </c>
      <c r="K23" s="5" t="s">
        <v>95</v>
      </c>
      <c r="L23" s="5" t="s">
        <v>95</v>
      </c>
    </row>
    <row r="24" spans="1:12" x14ac:dyDescent="0.25">
      <c r="A24" s="4">
        <v>22</v>
      </c>
      <c r="B24" s="5" t="s">
        <v>66</v>
      </c>
      <c r="C24" s="5" t="s">
        <v>190</v>
      </c>
      <c r="D24" s="5" t="s">
        <v>191</v>
      </c>
      <c r="E24" s="4">
        <v>1</v>
      </c>
      <c r="F24" s="4">
        <v>2</v>
      </c>
      <c r="G24" s="27" t="s">
        <v>104</v>
      </c>
      <c r="H24" s="25" t="s">
        <v>105</v>
      </c>
      <c r="I24" s="5" t="s">
        <v>94</v>
      </c>
      <c r="J24" s="5" t="s">
        <v>95</v>
      </c>
      <c r="K24" s="5" t="s">
        <v>95</v>
      </c>
      <c r="L24" s="5" t="s">
        <v>95</v>
      </c>
    </row>
    <row r="25" spans="1:12" x14ac:dyDescent="0.25">
      <c r="A25" s="4">
        <v>23</v>
      </c>
      <c r="B25" s="5" t="s">
        <v>200</v>
      </c>
      <c r="C25" s="5" t="s">
        <v>201</v>
      </c>
      <c r="D25" s="5" t="s">
        <v>202</v>
      </c>
      <c r="E25" s="4">
        <v>2</v>
      </c>
      <c r="F25" s="4">
        <v>4</v>
      </c>
      <c r="G25" s="60" t="s">
        <v>203</v>
      </c>
      <c r="H25" s="50" t="s">
        <v>204</v>
      </c>
      <c r="I25" s="25" t="s">
        <v>105</v>
      </c>
      <c r="J25" s="5" t="s">
        <v>94</v>
      </c>
      <c r="K25" s="5" t="s">
        <v>95</v>
      </c>
      <c r="L25" s="5" t="s">
        <v>95</v>
      </c>
    </row>
    <row r="26" spans="1:12" x14ac:dyDescent="0.25">
      <c r="A26" s="4">
        <v>24</v>
      </c>
      <c r="B26" s="5" t="s">
        <v>192</v>
      </c>
      <c r="C26" s="5" t="s">
        <v>193</v>
      </c>
      <c r="D26" s="5" t="s">
        <v>194</v>
      </c>
      <c r="E26" s="4">
        <v>2</v>
      </c>
      <c r="F26" s="4">
        <v>4</v>
      </c>
      <c r="G26" s="61" t="s">
        <v>195</v>
      </c>
      <c r="H26" s="51" t="s">
        <v>196</v>
      </c>
      <c r="I26" s="52" t="s">
        <v>197</v>
      </c>
      <c r="J26" s="53" t="s">
        <v>198</v>
      </c>
      <c r="K26" s="5" t="s">
        <v>94</v>
      </c>
      <c r="L26" s="54" t="s">
        <v>199</v>
      </c>
    </row>
    <row r="27" spans="1:12" x14ac:dyDescent="0.25">
      <c r="A27" s="4">
        <v>25</v>
      </c>
      <c r="B27" s="5" t="s">
        <v>205</v>
      </c>
      <c r="C27" s="5" t="s">
        <v>206</v>
      </c>
      <c r="D27" s="5" t="s">
        <v>207</v>
      </c>
      <c r="E27" s="4">
        <v>2</v>
      </c>
      <c r="F27" s="4">
        <v>3</v>
      </c>
      <c r="G27" s="62" t="s">
        <v>208</v>
      </c>
      <c r="H27" s="29" t="s">
        <v>110</v>
      </c>
      <c r="I27" s="28" t="s">
        <v>109</v>
      </c>
      <c r="J27" s="5" t="s">
        <v>94</v>
      </c>
      <c r="K27" s="5" t="s">
        <v>95</v>
      </c>
      <c r="L27" s="5" t="s">
        <v>95</v>
      </c>
    </row>
    <row r="28" spans="1:12" x14ac:dyDescent="0.25">
      <c r="A28" s="4">
        <v>26</v>
      </c>
      <c r="B28" s="5" t="s">
        <v>209</v>
      </c>
      <c r="C28" s="5" t="s">
        <v>210</v>
      </c>
      <c r="D28" s="5" t="s">
        <v>211</v>
      </c>
      <c r="E28" s="4">
        <v>1</v>
      </c>
      <c r="F28" s="4">
        <v>1</v>
      </c>
      <c r="G28" s="63" t="s">
        <v>212</v>
      </c>
      <c r="H28" s="23" t="s">
        <v>93</v>
      </c>
      <c r="I28" s="5" t="s">
        <v>94</v>
      </c>
      <c r="J28" s="35" t="s">
        <v>116</v>
      </c>
      <c r="K28" s="5" t="s">
        <v>95</v>
      </c>
      <c r="L28" s="5" t="s">
        <v>95</v>
      </c>
    </row>
    <row r="29" spans="1:12" x14ac:dyDescent="0.25">
      <c r="A29" s="4">
        <v>27</v>
      </c>
      <c r="B29" s="5" t="s">
        <v>67</v>
      </c>
      <c r="C29" s="5" t="s">
        <v>213</v>
      </c>
      <c r="D29" s="5" t="s">
        <v>214</v>
      </c>
      <c r="E29" s="4">
        <v>1</v>
      </c>
      <c r="F29" s="4">
        <v>1</v>
      </c>
      <c r="G29" s="64" t="s">
        <v>154</v>
      </c>
      <c r="H29" s="5" t="s">
        <v>94</v>
      </c>
      <c r="I29" s="66" t="s">
        <v>215</v>
      </c>
      <c r="J29" s="5" t="s">
        <v>95</v>
      </c>
      <c r="K29" s="5" t="s">
        <v>95</v>
      </c>
      <c r="L29" s="5" t="s">
        <v>95</v>
      </c>
    </row>
    <row r="30" spans="1:12" x14ac:dyDescent="0.25">
      <c r="A30" s="4">
        <v>28</v>
      </c>
      <c r="B30" s="5" t="s">
        <v>216</v>
      </c>
      <c r="C30" s="5" t="s">
        <v>217</v>
      </c>
      <c r="D30" s="5" t="s">
        <v>218</v>
      </c>
      <c r="E30" s="4">
        <v>2</v>
      </c>
      <c r="F30" s="4">
        <v>4</v>
      </c>
      <c r="G30" s="65" t="s">
        <v>219</v>
      </c>
      <c r="H30" s="55" t="s">
        <v>220</v>
      </c>
      <c r="I30" s="56" t="s">
        <v>221</v>
      </c>
      <c r="J30" s="5" t="s">
        <v>94</v>
      </c>
      <c r="K30" s="5" t="s">
        <v>95</v>
      </c>
      <c r="L30" s="5" t="s">
        <v>95</v>
      </c>
    </row>
    <row r="31" spans="1:12" x14ac:dyDescent="0.25">
      <c r="A31" s="4">
        <v>29</v>
      </c>
      <c r="B31" s="5" t="s">
        <v>222</v>
      </c>
      <c r="C31" s="5" t="s">
        <v>223</v>
      </c>
      <c r="D31" s="5" t="s">
        <v>224</v>
      </c>
      <c r="E31" s="4">
        <v>2</v>
      </c>
      <c r="F31" s="4">
        <v>4</v>
      </c>
      <c r="G31" s="57" t="s">
        <v>225</v>
      </c>
      <c r="H31" s="58" t="s">
        <v>226</v>
      </c>
      <c r="I31" s="31" t="s">
        <v>125</v>
      </c>
      <c r="J31" s="25" t="s">
        <v>105</v>
      </c>
      <c r="K31" s="5" t="s">
        <v>94</v>
      </c>
      <c r="L31" s="5" t="s">
        <v>95</v>
      </c>
    </row>
    <row r="32" spans="1:12" x14ac:dyDescent="0.25">
      <c r="A32" s="4">
        <v>30</v>
      </c>
      <c r="B32" s="5" t="s">
        <v>24</v>
      </c>
      <c r="C32" s="5" t="s">
        <v>231</v>
      </c>
      <c r="D32" s="5" t="s">
        <v>232</v>
      </c>
      <c r="E32" s="4">
        <v>1</v>
      </c>
      <c r="F32" s="4">
        <v>2</v>
      </c>
      <c r="G32" s="31" t="s">
        <v>125</v>
      </c>
      <c r="H32" s="28" t="s">
        <v>109</v>
      </c>
      <c r="I32" s="5" t="s">
        <v>94</v>
      </c>
      <c r="J32" s="40" t="s">
        <v>140</v>
      </c>
      <c r="K32" s="5" t="s">
        <v>95</v>
      </c>
      <c r="L32" s="5" t="s">
        <v>95</v>
      </c>
    </row>
    <row r="33" spans="1:12" x14ac:dyDescent="0.25">
      <c r="A33" s="4">
        <v>31</v>
      </c>
      <c r="B33" s="5" t="s">
        <v>65</v>
      </c>
      <c r="C33" s="5" t="s">
        <v>227</v>
      </c>
      <c r="D33" s="5" t="s">
        <v>228</v>
      </c>
      <c r="E33" s="4">
        <v>2</v>
      </c>
      <c r="F33" s="4">
        <v>3</v>
      </c>
      <c r="G33" s="28" t="s">
        <v>109</v>
      </c>
      <c r="H33" s="79" t="s">
        <v>229</v>
      </c>
      <c r="I33" s="59" t="s">
        <v>230</v>
      </c>
      <c r="J33" s="5" t="s">
        <v>94</v>
      </c>
      <c r="K33" s="5" t="s">
        <v>95</v>
      </c>
      <c r="L33" s="5" t="s">
        <v>95</v>
      </c>
    </row>
    <row r="34" spans="1:12" x14ac:dyDescent="0.25">
      <c r="A34" s="121">
        <v>32</v>
      </c>
      <c r="B34" s="122" t="s">
        <v>754</v>
      </c>
      <c r="C34" s="122" t="s">
        <v>755</v>
      </c>
      <c r="D34" t="s">
        <v>756</v>
      </c>
      <c r="E34" s="121">
        <v>2</v>
      </c>
      <c r="F34" s="121">
        <v>3</v>
      </c>
      <c r="G34" s="123" t="s">
        <v>757</v>
      </c>
      <c r="H34" s="124" t="s">
        <v>758</v>
      </c>
      <c r="I34" s="125" t="s">
        <v>759</v>
      </c>
    </row>
  </sheetData>
  <sortState xmlns:xlrd2="http://schemas.microsoft.com/office/spreadsheetml/2017/richdata2" ref="A2:L33">
    <sortCondition ref="A2:A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7365-40BF-49E7-8EBE-D1BE4450240F}">
  <sheetPr codeName="Sheet3"/>
  <dimension ref="A1:G5"/>
  <sheetViews>
    <sheetView workbookViewId="0"/>
  </sheetViews>
  <sheetFormatPr defaultRowHeight="15" x14ac:dyDescent="0.25"/>
  <cols>
    <col min="1" max="1" width="2.7109375" bestFit="1" customWidth="1"/>
    <col min="2" max="2" width="12.5703125" bestFit="1" customWidth="1"/>
    <col min="3" max="3" width="36" bestFit="1" customWidth="1"/>
    <col min="4" max="4" width="9.42578125" bestFit="1" customWidth="1"/>
    <col min="5" max="5" width="9.140625" bestFit="1" customWidth="1"/>
    <col min="6" max="6" width="9.28515625" bestFit="1" customWidth="1"/>
    <col min="7" max="7" width="8.42578125" bestFit="1" customWidth="1"/>
  </cols>
  <sheetData>
    <row r="1" spans="1:7" x14ac:dyDescent="0.25">
      <c r="A1" s="6" t="s">
        <v>34</v>
      </c>
      <c r="B1" s="6" t="s">
        <v>233</v>
      </c>
      <c r="C1" s="6" t="s">
        <v>234</v>
      </c>
      <c r="D1" s="6" t="s">
        <v>235</v>
      </c>
      <c r="E1" s="6" t="s">
        <v>236</v>
      </c>
      <c r="F1" s="6" t="s">
        <v>237</v>
      </c>
      <c r="G1" s="6" t="s">
        <v>238</v>
      </c>
    </row>
    <row r="2" spans="1:7" x14ac:dyDescent="0.25">
      <c r="A2" s="7">
        <v>1</v>
      </c>
      <c r="B2" s="8" t="s">
        <v>35</v>
      </c>
      <c r="C2" s="8" t="s">
        <v>239</v>
      </c>
      <c r="D2" s="87" t="s">
        <v>240</v>
      </c>
      <c r="E2" s="92" t="s">
        <v>241</v>
      </c>
      <c r="F2" s="91" t="s">
        <v>242</v>
      </c>
      <c r="G2" s="86" t="s">
        <v>94</v>
      </c>
    </row>
    <row r="3" spans="1:7" x14ac:dyDescent="0.25">
      <c r="A3" s="7">
        <v>2</v>
      </c>
      <c r="B3" s="8" t="s">
        <v>37</v>
      </c>
      <c r="C3" s="8" t="s">
        <v>243</v>
      </c>
      <c r="D3" s="88" t="s">
        <v>244</v>
      </c>
      <c r="E3" s="92" t="s">
        <v>241</v>
      </c>
      <c r="F3" s="91" t="s">
        <v>242</v>
      </c>
      <c r="G3" s="8" t="s">
        <v>94</v>
      </c>
    </row>
    <row r="4" spans="1:7" x14ac:dyDescent="0.25">
      <c r="A4" s="7">
        <v>3</v>
      </c>
      <c r="B4" s="86" t="s">
        <v>38</v>
      </c>
      <c r="C4" s="8" t="s">
        <v>245</v>
      </c>
      <c r="D4" s="89" t="s">
        <v>246</v>
      </c>
      <c r="E4" s="92" t="s">
        <v>241</v>
      </c>
      <c r="F4" s="91" t="s">
        <v>242</v>
      </c>
      <c r="G4" s="8" t="s">
        <v>94</v>
      </c>
    </row>
    <row r="5" spans="1:7" x14ac:dyDescent="0.25">
      <c r="A5" s="7">
        <v>4</v>
      </c>
      <c r="B5" s="8" t="s">
        <v>36</v>
      </c>
      <c r="C5" s="8" t="s">
        <v>247</v>
      </c>
      <c r="D5" s="90" t="s">
        <v>248</v>
      </c>
      <c r="E5" s="92" t="s">
        <v>241</v>
      </c>
      <c r="F5" s="91" t="s">
        <v>242</v>
      </c>
      <c r="G5" s="8" t="s">
        <v>94</v>
      </c>
    </row>
  </sheetData>
  <sortState xmlns:xlrd2="http://schemas.microsoft.com/office/spreadsheetml/2017/richdata2" ref="A2:G5">
    <sortCondition ref="A2: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EB2F-ECAF-4C57-8F1A-6A867E9C00B9}">
  <sheetPr codeName="Sheet4"/>
  <dimension ref="A1:G3"/>
  <sheetViews>
    <sheetView workbookViewId="0">
      <selection activeCell="G2" sqref="G2"/>
    </sheetView>
  </sheetViews>
  <sheetFormatPr defaultRowHeight="15" x14ac:dyDescent="0.25"/>
  <cols>
    <col min="1" max="1" width="2.7109375" bestFit="1" customWidth="1"/>
    <col min="2" max="2" width="16.42578125" bestFit="1" customWidth="1"/>
    <col min="3" max="3" width="36.42578125" bestFit="1" customWidth="1"/>
    <col min="4" max="4" width="9.5703125" bestFit="1" customWidth="1"/>
    <col min="5" max="5" width="8.42578125" bestFit="1" customWidth="1"/>
    <col min="6" max="6" width="9.5703125" bestFit="1" customWidth="1"/>
    <col min="7" max="7" width="10" customWidth="1"/>
  </cols>
  <sheetData>
    <row r="1" spans="1:7" x14ac:dyDescent="0.25">
      <c r="A1" s="9" t="s">
        <v>33</v>
      </c>
      <c r="B1" s="9" t="s">
        <v>249</v>
      </c>
      <c r="C1" s="9" t="s">
        <v>234</v>
      </c>
      <c r="D1" s="9" t="s">
        <v>235</v>
      </c>
      <c r="E1" s="9" t="s">
        <v>236</v>
      </c>
      <c r="F1" s="9" t="s">
        <v>237</v>
      </c>
      <c r="G1" s="9" t="s">
        <v>238</v>
      </c>
    </row>
    <row r="2" spans="1:7" x14ac:dyDescent="0.25">
      <c r="A2" s="10">
        <v>1</v>
      </c>
      <c r="B2" s="11" t="s">
        <v>250</v>
      </c>
      <c r="C2" s="11" t="s">
        <v>251</v>
      </c>
      <c r="D2" s="11" t="s">
        <v>252</v>
      </c>
      <c r="E2" s="11" t="s">
        <v>253</v>
      </c>
      <c r="F2" s="11" t="s">
        <v>254</v>
      </c>
      <c r="G2" s="11" t="s">
        <v>255</v>
      </c>
    </row>
    <row r="3" spans="1:7" x14ac:dyDescent="0.25">
      <c r="A3" s="10">
        <v>2</v>
      </c>
      <c r="B3" s="11" t="s">
        <v>256</v>
      </c>
      <c r="C3" s="11" t="s">
        <v>257</v>
      </c>
      <c r="D3" s="11" t="s">
        <v>154</v>
      </c>
      <c r="E3" s="11" t="s">
        <v>253</v>
      </c>
      <c r="F3" s="11" t="s">
        <v>258</v>
      </c>
      <c r="G3" s="1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JerseyData</vt:lpstr>
      <vt:lpstr>JerseyImageData</vt:lpstr>
      <vt:lpstr>NikeJerseys</vt:lpstr>
      <vt:lpstr>Wishlist</vt:lpstr>
      <vt:lpstr>Reporting</vt:lpstr>
      <vt:lpstr>NHLTeams</vt:lpstr>
      <vt:lpstr>Divisions</vt:lpstr>
      <vt:lpstr>Conferences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Avery Briggs</dc:creator>
  <cp:lastModifiedBy>Avery Briggs</cp:lastModifiedBy>
  <dcterms:created xsi:type="dcterms:W3CDTF">2023-09-26T01:39:03Z</dcterms:created>
  <dcterms:modified xsi:type="dcterms:W3CDTF">2024-09-17T14:54:12Z</dcterms:modified>
</cp:coreProperties>
</file>