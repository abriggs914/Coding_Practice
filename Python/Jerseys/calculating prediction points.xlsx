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rig\Documents\Coding_Practice\Python\Jerseys\"/>
    </mc:Choice>
  </mc:AlternateContent>
  <xr:revisionPtr revIDLastSave="0" documentId="13_ncr:1_{F8B1063F-1485-4C61-B3AB-0BFCEA13FC91}" xr6:coauthVersionLast="47" xr6:coauthVersionMax="47" xr10:uidLastSave="{00000000-0000-0000-0000-000000000000}"/>
  <bookViews>
    <workbookView xWindow="-120" yWindow="-120" windowWidth="29040" windowHeight="15840" xr2:uid="{6BE72A59-EC94-4F81-8357-0605C9C040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  <c r="H2" i="1"/>
  <c r="I2" i="1"/>
  <c r="K2" i="1" s="1"/>
  <c r="M2" i="1" s="1"/>
  <c r="J2" i="1"/>
  <c r="L2" i="1" s="1"/>
  <c r="N2" i="1" s="1"/>
  <c r="G4" i="1"/>
  <c r="H4" i="1"/>
  <c r="I4" i="1"/>
  <c r="K4" i="1" s="1"/>
  <c r="M4" i="1" s="1"/>
  <c r="J4" i="1"/>
  <c r="L4" i="1" s="1"/>
  <c r="N4" i="1" s="1"/>
  <c r="G5" i="1"/>
  <c r="H5" i="1"/>
  <c r="I5" i="1"/>
  <c r="K5" i="1" s="1"/>
  <c r="M5" i="1" s="1"/>
  <c r="J5" i="1"/>
  <c r="L5" i="1" s="1"/>
  <c r="N5" i="1" s="1"/>
  <c r="G27" i="1"/>
  <c r="H27" i="1"/>
  <c r="I27" i="1"/>
  <c r="K27" i="1" s="1"/>
  <c r="M27" i="1" s="1"/>
  <c r="J27" i="1"/>
  <c r="L27" i="1" s="1"/>
  <c r="N27" i="1" s="1"/>
  <c r="G36" i="1"/>
  <c r="H36" i="1"/>
  <c r="I36" i="1"/>
  <c r="K36" i="1" s="1"/>
  <c r="M36" i="1" s="1"/>
  <c r="J36" i="1"/>
  <c r="L36" i="1" s="1"/>
  <c r="N36" i="1" s="1"/>
  <c r="G3" i="1"/>
  <c r="H3" i="1"/>
  <c r="I3" i="1"/>
  <c r="K3" i="1" s="1"/>
  <c r="M3" i="1" s="1"/>
  <c r="J3" i="1"/>
  <c r="L3" i="1" s="1"/>
  <c r="N3" i="1" s="1"/>
  <c r="H18" i="1"/>
  <c r="H6" i="1"/>
  <c r="H7" i="1"/>
  <c r="H12" i="1"/>
  <c r="H41" i="1"/>
  <c r="H42" i="1"/>
  <c r="H13" i="1"/>
  <c r="H14" i="1"/>
  <c r="H28" i="1"/>
  <c r="H29" i="1"/>
  <c r="H15" i="1"/>
  <c r="H16" i="1"/>
  <c r="H30" i="1"/>
  <c r="H31" i="1"/>
  <c r="H17" i="1"/>
  <c r="H8" i="1"/>
  <c r="H32" i="1"/>
  <c r="H33" i="1"/>
  <c r="H9" i="1"/>
  <c r="H23" i="1"/>
  <c r="H43" i="1"/>
  <c r="H44" i="1"/>
  <c r="H24" i="1"/>
  <c r="H19" i="1"/>
  <c r="H37" i="1"/>
  <c r="H38" i="1"/>
  <c r="H20" i="1"/>
  <c r="H10" i="1"/>
  <c r="H34" i="1"/>
  <c r="H35" i="1"/>
  <c r="H11" i="1"/>
  <c r="H21" i="1"/>
  <c r="H39" i="1"/>
  <c r="H40" i="1"/>
  <c r="H22" i="1"/>
  <c r="H25" i="1"/>
  <c r="H45" i="1"/>
  <c r="H46" i="1"/>
  <c r="H26" i="1"/>
  <c r="G10" i="1"/>
  <c r="G34" i="1"/>
  <c r="G35" i="1"/>
  <c r="G11" i="1"/>
  <c r="G21" i="1"/>
  <c r="G39" i="1"/>
  <c r="G40" i="1"/>
  <c r="G22" i="1"/>
  <c r="G25" i="1"/>
  <c r="G45" i="1"/>
  <c r="G46" i="1"/>
  <c r="G26" i="1"/>
  <c r="I10" i="1"/>
  <c r="I34" i="1"/>
  <c r="I35" i="1"/>
  <c r="I11" i="1"/>
  <c r="I21" i="1"/>
  <c r="I39" i="1"/>
  <c r="I40" i="1"/>
  <c r="I22" i="1"/>
  <c r="I25" i="1"/>
  <c r="I45" i="1"/>
  <c r="I46" i="1"/>
  <c r="I26" i="1"/>
  <c r="J10" i="1"/>
  <c r="J34" i="1"/>
  <c r="J35" i="1"/>
  <c r="J11" i="1"/>
  <c r="J21" i="1"/>
  <c r="J39" i="1"/>
  <c r="J40" i="1"/>
  <c r="L40" i="1" s="1"/>
  <c r="N40" i="1" s="1"/>
  <c r="J22" i="1"/>
  <c r="L22" i="1" s="1"/>
  <c r="N22" i="1" s="1"/>
  <c r="J25" i="1"/>
  <c r="L25" i="1" s="1"/>
  <c r="N25" i="1" s="1"/>
  <c r="J45" i="1"/>
  <c r="L45" i="1" s="1"/>
  <c r="N45" i="1" s="1"/>
  <c r="J46" i="1"/>
  <c r="L46" i="1" s="1"/>
  <c r="N46" i="1" s="1"/>
  <c r="J26" i="1"/>
  <c r="L26" i="1" s="1"/>
  <c r="N26" i="1" s="1"/>
  <c r="K10" i="1"/>
  <c r="K34" i="1"/>
  <c r="M34" i="1" s="1"/>
  <c r="K35" i="1"/>
  <c r="M35" i="1" s="1"/>
  <c r="K11" i="1"/>
  <c r="M11" i="1" s="1"/>
  <c r="K21" i="1"/>
  <c r="M21" i="1" s="1"/>
  <c r="K39" i="1"/>
  <c r="M39" i="1" s="1"/>
  <c r="K40" i="1"/>
  <c r="M40" i="1" s="1"/>
  <c r="K22" i="1"/>
  <c r="M22" i="1" s="1"/>
  <c r="K25" i="1"/>
  <c r="M25" i="1" s="1"/>
  <c r="K45" i="1"/>
  <c r="M45" i="1" s="1"/>
  <c r="K46" i="1"/>
  <c r="M46" i="1" s="1"/>
  <c r="K26" i="1"/>
  <c r="M26" i="1" s="1"/>
  <c r="L10" i="1"/>
  <c r="N10" i="1" s="1"/>
  <c r="L34" i="1"/>
  <c r="N34" i="1" s="1"/>
  <c r="L35" i="1"/>
  <c r="N35" i="1" s="1"/>
  <c r="O35" i="1" s="1"/>
  <c r="L11" i="1"/>
  <c r="N11" i="1" s="1"/>
  <c r="L21" i="1"/>
  <c r="N21" i="1" s="1"/>
  <c r="L39" i="1"/>
  <c r="N39" i="1" s="1"/>
  <c r="M10" i="1"/>
  <c r="G8" i="1"/>
  <c r="G32" i="1"/>
  <c r="G33" i="1"/>
  <c r="G9" i="1"/>
  <c r="G23" i="1"/>
  <c r="G43" i="1"/>
  <c r="G44" i="1"/>
  <c r="G24" i="1"/>
  <c r="G19" i="1"/>
  <c r="G37" i="1"/>
  <c r="G38" i="1"/>
  <c r="G20" i="1"/>
  <c r="I8" i="1"/>
  <c r="I32" i="1"/>
  <c r="I33" i="1"/>
  <c r="I9" i="1"/>
  <c r="I23" i="1"/>
  <c r="I43" i="1"/>
  <c r="I44" i="1"/>
  <c r="I24" i="1"/>
  <c r="I19" i="1"/>
  <c r="I37" i="1"/>
  <c r="K37" i="1" s="1"/>
  <c r="M37" i="1" s="1"/>
  <c r="I38" i="1"/>
  <c r="K38" i="1" s="1"/>
  <c r="M38" i="1" s="1"/>
  <c r="I20" i="1"/>
  <c r="K20" i="1" s="1"/>
  <c r="M20" i="1" s="1"/>
  <c r="J8" i="1"/>
  <c r="L8" i="1" s="1"/>
  <c r="N8" i="1" s="1"/>
  <c r="J32" i="1"/>
  <c r="L32" i="1" s="1"/>
  <c r="N32" i="1" s="1"/>
  <c r="J33" i="1"/>
  <c r="L33" i="1" s="1"/>
  <c r="N33" i="1" s="1"/>
  <c r="J9" i="1"/>
  <c r="L9" i="1" s="1"/>
  <c r="N9" i="1" s="1"/>
  <c r="J23" i="1"/>
  <c r="L23" i="1" s="1"/>
  <c r="N23" i="1" s="1"/>
  <c r="J43" i="1"/>
  <c r="L43" i="1" s="1"/>
  <c r="N43" i="1" s="1"/>
  <c r="J44" i="1"/>
  <c r="L44" i="1" s="1"/>
  <c r="N44" i="1" s="1"/>
  <c r="J24" i="1"/>
  <c r="L24" i="1" s="1"/>
  <c r="N24" i="1" s="1"/>
  <c r="J19" i="1"/>
  <c r="L19" i="1" s="1"/>
  <c r="N19" i="1" s="1"/>
  <c r="J37" i="1"/>
  <c r="J38" i="1"/>
  <c r="L38" i="1" s="1"/>
  <c r="N38" i="1" s="1"/>
  <c r="J20" i="1"/>
  <c r="L20" i="1" s="1"/>
  <c r="N20" i="1" s="1"/>
  <c r="K8" i="1"/>
  <c r="M8" i="1" s="1"/>
  <c r="K32" i="1"/>
  <c r="M32" i="1" s="1"/>
  <c r="O32" i="1" s="1"/>
  <c r="K33" i="1"/>
  <c r="M33" i="1" s="1"/>
  <c r="K9" i="1"/>
  <c r="M9" i="1" s="1"/>
  <c r="K23" i="1"/>
  <c r="M23" i="1" s="1"/>
  <c r="K43" i="1"/>
  <c r="M43" i="1" s="1"/>
  <c r="O43" i="1" s="1"/>
  <c r="K44" i="1"/>
  <c r="M44" i="1" s="1"/>
  <c r="K24" i="1"/>
  <c r="M24" i="1" s="1"/>
  <c r="O24" i="1" s="1"/>
  <c r="K19" i="1"/>
  <c r="M19" i="1" s="1"/>
  <c r="L37" i="1"/>
  <c r="N37" i="1" s="1"/>
  <c r="G16" i="1"/>
  <c r="G30" i="1"/>
  <c r="G31" i="1"/>
  <c r="G17" i="1"/>
  <c r="I16" i="1"/>
  <c r="K16" i="1" s="1"/>
  <c r="M16" i="1" s="1"/>
  <c r="I30" i="1"/>
  <c r="K30" i="1" s="1"/>
  <c r="M30" i="1" s="1"/>
  <c r="I31" i="1"/>
  <c r="K31" i="1" s="1"/>
  <c r="M31" i="1" s="1"/>
  <c r="I17" i="1"/>
  <c r="K17" i="1" s="1"/>
  <c r="M17" i="1" s="1"/>
  <c r="J16" i="1"/>
  <c r="L16" i="1" s="1"/>
  <c r="N16" i="1" s="1"/>
  <c r="J30" i="1"/>
  <c r="L30" i="1" s="1"/>
  <c r="N30" i="1" s="1"/>
  <c r="J31" i="1"/>
  <c r="L31" i="1" s="1"/>
  <c r="N31" i="1" s="1"/>
  <c r="J17" i="1"/>
  <c r="L17" i="1" s="1"/>
  <c r="N17" i="1" s="1"/>
  <c r="G14" i="1"/>
  <c r="G28" i="1"/>
  <c r="G29" i="1"/>
  <c r="G15" i="1"/>
  <c r="I14" i="1"/>
  <c r="K14" i="1" s="1"/>
  <c r="M14" i="1" s="1"/>
  <c r="I28" i="1"/>
  <c r="K28" i="1" s="1"/>
  <c r="M28" i="1" s="1"/>
  <c r="I29" i="1"/>
  <c r="K29" i="1" s="1"/>
  <c r="M29" i="1" s="1"/>
  <c r="I15" i="1"/>
  <c r="K15" i="1" s="1"/>
  <c r="M15" i="1" s="1"/>
  <c r="J14" i="1"/>
  <c r="L14" i="1" s="1"/>
  <c r="N14" i="1" s="1"/>
  <c r="J28" i="1"/>
  <c r="L28" i="1" s="1"/>
  <c r="N28" i="1" s="1"/>
  <c r="J29" i="1"/>
  <c r="L29" i="1" s="1"/>
  <c r="N29" i="1" s="1"/>
  <c r="J15" i="1"/>
  <c r="L15" i="1" s="1"/>
  <c r="N15" i="1" s="1"/>
  <c r="G18" i="1"/>
  <c r="G6" i="1"/>
  <c r="G7" i="1"/>
  <c r="G12" i="1"/>
  <c r="G41" i="1"/>
  <c r="G42" i="1"/>
  <c r="G13" i="1"/>
  <c r="I13" i="1"/>
  <c r="K13" i="1" s="1"/>
  <c r="M13" i="1" s="1"/>
  <c r="J13" i="1"/>
  <c r="L13" i="1" s="1"/>
  <c r="N13" i="1" s="1"/>
  <c r="I42" i="1"/>
  <c r="K42" i="1" s="1"/>
  <c r="M42" i="1" s="1"/>
  <c r="J42" i="1"/>
  <c r="L42" i="1" s="1"/>
  <c r="N42" i="1" s="1"/>
  <c r="I41" i="1"/>
  <c r="K41" i="1" s="1"/>
  <c r="M41" i="1" s="1"/>
  <c r="J41" i="1"/>
  <c r="L41" i="1" s="1"/>
  <c r="N41" i="1" s="1"/>
  <c r="I12" i="1"/>
  <c r="K12" i="1" s="1"/>
  <c r="M12" i="1" s="1"/>
  <c r="J12" i="1"/>
  <c r="L12" i="1" s="1"/>
  <c r="N12" i="1" s="1"/>
  <c r="I7" i="1"/>
  <c r="K7" i="1" s="1"/>
  <c r="M7" i="1" s="1"/>
  <c r="J7" i="1"/>
  <c r="L7" i="1" s="1"/>
  <c r="N7" i="1" s="1"/>
  <c r="J18" i="1"/>
  <c r="L18" i="1" s="1"/>
  <c r="N18" i="1" s="1"/>
  <c r="J6" i="1"/>
  <c r="L6" i="1" s="1"/>
  <c r="N6" i="1" s="1"/>
  <c r="I18" i="1"/>
  <c r="K18" i="1" s="1"/>
  <c r="M18" i="1" s="1"/>
  <c r="I6" i="1"/>
  <c r="K6" i="1" s="1"/>
  <c r="M6" i="1" s="1"/>
  <c r="O2" i="1" l="1"/>
  <c r="P2" i="1" s="1"/>
  <c r="O4" i="1"/>
  <c r="P4" i="1" s="1"/>
  <c r="P24" i="1"/>
  <c r="P32" i="1"/>
  <c r="P35" i="1"/>
  <c r="P43" i="1"/>
  <c r="O5" i="1"/>
  <c r="P5" i="1" s="1"/>
  <c r="O10" i="1"/>
  <c r="P10" i="1" s="1"/>
  <c r="O27" i="1"/>
  <c r="P27" i="1" s="1"/>
  <c r="O25" i="1"/>
  <c r="P25" i="1" s="1"/>
  <c r="O36" i="1"/>
  <c r="P36" i="1" s="1"/>
  <c r="O44" i="1"/>
  <c r="P44" i="1" s="1"/>
  <c r="O23" i="1"/>
  <c r="P23" i="1" s="1"/>
  <c r="O46" i="1"/>
  <c r="P46" i="1" s="1"/>
  <c r="O21" i="1"/>
  <c r="P21" i="1" s="1"/>
  <c r="O3" i="1"/>
  <c r="P3" i="1" s="1"/>
  <c r="O40" i="1"/>
  <c r="P40" i="1" s="1"/>
  <c r="O45" i="1"/>
  <c r="P45" i="1" s="1"/>
  <c r="O11" i="1"/>
  <c r="P11" i="1" s="1"/>
  <c r="O39" i="1"/>
  <c r="P39" i="1" s="1"/>
  <c r="O26" i="1"/>
  <c r="P26" i="1" s="1"/>
  <c r="O22" i="1"/>
  <c r="P22" i="1" s="1"/>
  <c r="O34" i="1"/>
  <c r="P34" i="1" s="1"/>
  <c r="O29" i="1"/>
  <c r="P29" i="1" s="1"/>
  <c r="O38" i="1"/>
  <c r="P38" i="1" s="1"/>
  <c r="O8" i="1"/>
  <c r="P8" i="1" s="1"/>
  <c r="O20" i="1"/>
  <c r="P20" i="1" s="1"/>
  <c r="O19" i="1"/>
  <c r="P19" i="1" s="1"/>
  <c r="O33" i="1"/>
  <c r="P33" i="1" s="1"/>
  <c r="O9" i="1"/>
  <c r="P9" i="1" s="1"/>
  <c r="O37" i="1"/>
  <c r="P37" i="1" s="1"/>
  <c r="O14" i="1"/>
  <c r="P14" i="1" s="1"/>
  <c r="O17" i="1"/>
  <c r="P17" i="1" s="1"/>
  <c r="O16" i="1"/>
  <c r="P16" i="1" s="1"/>
  <c r="O30" i="1"/>
  <c r="P30" i="1" s="1"/>
  <c r="O31" i="1"/>
  <c r="P31" i="1" s="1"/>
  <c r="W4" i="1"/>
  <c r="O28" i="1"/>
  <c r="P28" i="1" s="1"/>
  <c r="O15" i="1"/>
  <c r="P15" i="1" s="1"/>
  <c r="O13" i="1"/>
  <c r="P13" i="1" s="1"/>
  <c r="O42" i="1"/>
  <c r="P42" i="1" s="1"/>
  <c r="O41" i="1"/>
  <c r="P41" i="1" s="1"/>
  <c r="O18" i="1"/>
  <c r="P18" i="1" s="1"/>
  <c r="O6" i="1"/>
  <c r="P6" i="1" s="1"/>
  <c r="O12" i="1"/>
  <c r="P12" i="1" s="1"/>
  <c r="O7" i="1"/>
  <c r="P7" i="1" s="1"/>
  <c r="U4" i="1" l="1"/>
</calcChain>
</file>

<file path=xl/sharedStrings.xml><?xml version="1.0" encoding="utf-8"?>
<sst xmlns="http://schemas.openxmlformats.org/spreadsheetml/2006/main" count="110" uniqueCount="23">
  <si>
    <t>PredAwayScore</t>
  </si>
  <si>
    <t>PredHomeScore</t>
  </si>
  <si>
    <t>PredResult</t>
  </si>
  <si>
    <t>ActAwayScore</t>
  </si>
  <si>
    <t>ActHomeScore</t>
  </si>
  <si>
    <t>ActResult</t>
  </si>
  <si>
    <t>OT</t>
  </si>
  <si>
    <t>REG</t>
  </si>
  <si>
    <t>DAwayScore</t>
  </si>
  <si>
    <t>DHomeScore</t>
  </si>
  <si>
    <t>AvgGoalsPerTeamPerGame</t>
  </si>
  <si>
    <t>MaxOff</t>
  </si>
  <si>
    <t>CAwayScore</t>
  </si>
  <si>
    <t>CHomeScore</t>
  </si>
  <si>
    <t>PAwayScore</t>
  </si>
  <si>
    <t>PHomeScore</t>
  </si>
  <si>
    <t>Tscores</t>
  </si>
  <si>
    <t>CorrectWinner</t>
  </si>
  <si>
    <t>Scores2</t>
  </si>
  <si>
    <t>Avg</t>
  </si>
  <si>
    <t>GamesRight</t>
  </si>
  <si>
    <t>SO</t>
  </si>
  <si>
    <t>CorrectResult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</si>
</sst>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63A19F-A36F-4C38-A9F4-B7D05D71BCA8}" name="Table1" displayName="Table1" ref="A1:P46" totalsRowShown="0">
  <autoFilter ref="A1:P46" xr:uid="{5363A19F-A36F-4C38-A9F4-B7D05D71BCA8}"/>
  <sortState xmlns:xlrd2="http://schemas.microsoft.com/office/spreadsheetml/2017/richdata2" ref="A2:P46">
    <sortCondition ref="P1:P41"/>
  </sortState>
  <tableColumns count="16">
    <tableColumn id="1" xr3:uid="{031FFA23-F579-4582-94D9-CB5F7F193849}" name="PredAwayScore"/>
    <tableColumn id="2" xr3:uid="{7A331659-5B75-43DC-BDB3-33F562690E67}" name="PredHomeScore"/>
    <tableColumn id="3" xr3:uid="{4A1EAACC-37F5-4CEC-80EF-C5ED3632E23F}" name="PredResult"/>
    <tableColumn id="4" xr3:uid="{671FA6FB-A89A-49C9-948F-01EC246DC1AB}" name="ActAwayScore"/>
    <tableColumn id="5" xr3:uid="{A100783D-492C-4074-8FDC-FD82D2690091}" name="ActHomeScore"/>
    <tableColumn id="6" xr3:uid="{5BB9D338-5ECA-440B-B2B3-CD777C8B70C1}" name="ActResult"/>
    <tableColumn id="14" xr3:uid="{B1E2C76F-10C7-4BCF-B187-FF412BFB46EC}" name="CorrectWinner" dataDxfId="2">
      <calculatedColumnFormula>IF(Table1[[#This Row],[PredAwayScore]] &gt; Table1[[#This Row],[PredHomeScore]], IF(Table1[[#This Row],[ActAwayScore]] &gt; Table1[[#This Row],[ActHomeScore]], 1, 0), IF(Table1[[#This Row],[ActHomeScore]] &gt; Table1[[#This Row],[ActAwayScore]], 1, 0))</calculatedColumnFormula>
    </tableColumn>
    <tableColumn id="16" xr3:uid="{03CE1389-62CF-4B79-8A30-681F1501E48C}" name="CorrectResult" dataDxfId="1">
      <calculatedColumnFormula>IF(Table1[[#This Row],[PredResult]]=Table1[[#This Row],[ActResult]],1,IF(OR(AND(Table1[[#This Row],[PredResult]]="OT", Table1[[#This Row],[ActResult]]="SO"), AND(Table1[[#This Row],[PredResult]]="SO", Table1[[#This Row],[ActResult]]="OT")), 0.95, 0.85))</calculatedColumnFormula>
    </tableColumn>
    <tableColumn id="7" xr3:uid="{8211B419-94C2-4CA6-8E71-B9E9E471FBDC}" name="DAwayScore" dataDxfId="9">
      <calculatedColumnFormula>Table1[[#This Row],[ActAwayScore]]-Table1[[#This Row],[PredAwayScore]]</calculatedColumnFormula>
    </tableColumn>
    <tableColumn id="8" xr3:uid="{2DEA4BF7-21AC-4864-B44B-0C505F2E6283}" name="DHomeScore" dataDxfId="8">
      <calculatedColumnFormula>Table1[[#This Row],[ActHomeScore]]-Table1[[#This Row],[PredHomeScore]]</calculatedColumnFormula>
    </tableColumn>
    <tableColumn id="9" xr3:uid="{3D3D7594-864C-4F6A-AD06-8EE62C480C42}" name="CAwayScore" dataDxfId="7">
      <calculatedColumnFormula>$U$2 - ABS(Table1[[#This Row],[DAwayScore]])</calculatedColumnFormula>
    </tableColumn>
    <tableColumn id="10" xr3:uid="{0BF01CBF-E1F3-46A6-956E-76E49603F198}" name="CHomeScore" dataDxfId="6">
      <calculatedColumnFormula>$U$2 - ABS(Table1[[#This Row],[DHomeScore]])</calculatedColumnFormula>
    </tableColumn>
    <tableColumn id="11" xr3:uid="{D9A72C2B-01F2-4B72-877A-2D3E886DFDE2}" name="PAwayScore" dataDxfId="5">
      <calculatedColumnFormula>Table1[[#This Row],[CAwayScore]]/$U$2</calculatedColumnFormula>
    </tableColumn>
    <tableColumn id="12" xr3:uid="{878C4AB4-597A-443A-8E8B-F12FCE0AC3E3}" name="PHomeScore" dataDxfId="4">
      <calculatedColumnFormula>Table1[[#This Row],[CHomeScore]]/$U$2</calculatedColumnFormula>
    </tableColumn>
    <tableColumn id="13" xr3:uid="{4696B4FC-D2A6-42D9-A06C-F79FABE7BF88}" name="Tscores" dataDxfId="3">
      <calculatedColumnFormula>(Table1[[#This Row],[PAwayScore]]+Table1[[#This Row],[PHomeScore]])/2</calculatedColumnFormula>
    </tableColumn>
    <tableColumn id="15" xr3:uid="{2A95C3D4-0FCD-42D3-93C8-54AEE4318C02}" name="Scores2" dataDxfId="0">
      <calculatedColumnFormula>IF(Table1[[#This Row],[CorrectWinner]]=1, 1, IF(OR(Table1[[#This Row],[ActResult]] = "OT", Table1[[#This Row],[ActResult]] = "SO"), 0.9,0.4)) * Table1[[#This Row],[CorrectResult]] * Table1[[#This Row],[Tscores]]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B1564-5262-4916-B4E9-AA2E2CCD1586}">
  <dimension ref="A1:W46"/>
  <sheetViews>
    <sheetView tabSelected="1" workbookViewId="0">
      <selection activeCell="A18" sqref="A18:P18"/>
    </sheetView>
  </sheetViews>
  <sheetFormatPr defaultRowHeight="15" x14ac:dyDescent="0.25"/>
  <cols>
    <col min="1" max="1" width="17" customWidth="1"/>
    <col min="2" max="2" width="17.42578125" customWidth="1"/>
    <col min="3" max="3" width="12.85546875" customWidth="1"/>
    <col min="4" max="4" width="15.7109375" customWidth="1"/>
    <col min="5" max="5" width="16.140625" customWidth="1"/>
    <col min="6" max="8" width="11.5703125" customWidth="1"/>
    <col min="9" max="9" width="14.140625" customWidth="1"/>
    <col min="10" max="10" width="14.570312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17</v>
      </c>
      <c r="H1" t="s">
        <v>22</v>
      </c>
      <c r="I1" t="s">
        <v>8</v>
      </c>
      <c r="J1" t="s">
        <v>9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18</v>
      </c>
      <c r="T1" t="s">
        <v>10</v>
      </c>
      <c r="U1" t="s">
        <v>11</v>
      </c>
    </row>
    <row r="2" spans="1:23" x14ac:dyDescent="0.25">
      <c r="A2">
        <v>4</v>
      </c>
      <c r="B2">
        <v>2</v>
      </c>
      <c r="C2" t="s">
        <v>7</v>
      </c>
      <c r="D2">
        <v>2</v>
      </c>
      <c r="E2">
        <v>11</v>
      </c>
      <c r="F2" t="s">
        <v>7</v>
      </c>
      <c r="G2" s="1">
        <f>IF(Table1[[#This Row],[PredAwayScore]] &gt; Table1[[#This Row],[PredHomeScore]], IF(Table1[[#This Row],[ActAwayScore]] &gt; Table1[[#This Row],[ActHomeScore]], 1, 0), IF(Table1[[#This Row],[ActHomeScore]] &gt; Table1[[#This Row],[ActAwayScore]], 1, 0))</f>
        <v>0</v>
      </c>
      <c r="H2" s="1">
        <f>IF(Table1[[#This Row],[PredResult]]=Table1[[#This Row],[ActResult]],1,IF(OR(AND(Table1[[#This Row],[PredResult]]="OT", Table1[[#This Row],[ActResult]]="SO"), AND(Table1[[#This Row],[PredResult]]="SO", Table1[[#This Row],[ActResult]]="OT")), 0.95, 0.85))</f>
        <v>1</v>
      </c>
      <c r="I2" s="1">
        <f>Table1[[#This Row],[ActAwayScore]]-Table1[[#This Row],[PredAwayScore]]</f>
        <v>-2</v>
      </c>
      <c r="J2" s="1">
        <f>Table1[[#This Row],[ActHomeScore]]-Table1[[#This Row],[PredHomeScore]]</f>
        <v>9</v>
      </c>
      <c r="K2" s="1">
        <f>$U$2 - ABS(Table1[[#This Row],[DAwayScore]])</f>
        <v>6</v>
      </c>
      <c r="L2" s="1">
        <f>$U$2 - ABS(Table1[[#This Row],[DHomeScore]])</f>
        <v>-1</v>
      </c>
      <c r="M2" s="1">
        <f>Table1[[#This Row],[CAwayScore]]/$U$2</f>
        <v>0.75</v>
      </c>
      <c r="N2" s="1">
        <f>Table1[[#This Row],[CHomeScore]]/$U$2</f>
        <v>-0.125</v>
      </c>
      <c r="O2" s="1">
        <f>(Table1[[#This Row],[PAwayScore]]+Table1[[#This Row],[PHomeScore]])/2</f>
        <v>0.3125</v>
      </c>
      <c r="P2" s="1">
        <f>IF(Table1[[#This Row],[CorrectWinner]]=1, 1, IF(OR(Table1[[#This Row],[ActResult]] = "OT", Table1[[#This Row],[ActResult]] = "SO"), 0.9,0.4)) * Table1[[#This Row],[CorrectResult]] * Table1[[#This Row],[Tscores]]</f>
        <v>0.125</v>
      </c>
      <c r="T2">
        <v>3</v>
      </c>
      <c r="U2">
        <v>8</v>
      </c>
    </row>
    <row r="3" spans="1:23" x14ac:dyDescent="0.25">
      <c r="A3">
        <v>4</v>
      </c>
      <c r="B3">
        <v>3</v>
      </c>
      <c r="C3" t="s">
        <v>6</v>
      </c>
      <c r="D3">
        <v>0</v>
      </c>
      <c r="E3">
        <v>9</v>
      </c>
      <c r="F3" t="s">
        <v>7</v>
      </c>
      <c r="G3" s="1">
        <f>IF(Table1[[#This Row],[PredAwayScore]] &gt; Table1[[#This Row],[PredHomeScore]], IF(Table1[[#This Row],[ActAwayScore]] &gt; Table1[[#This Row],[ActHomeScore]], 1, 0), IF(Table1[[#This Row],[ActHomeScore]] &gt; Table1[[#This Row],[ActAwayScore]], 1, 0))</f>
        <v>0</v>
      </c>
      <c r="H3" s="1">
        <f>IF(Table1[[#This Row],[PredResult]]=Table1[[#This Row],[ActResult]],1,IF(OR(AND(Table1[[#This Row],[PredResult]]="OT", Table1[[#This Row],[ActResult]]="SO"), AND(Table1[[#This Row],[PredResult]]="SO", Table1[[#This Row],[ActResult]]="OT")), 0.95, 0.85))</f>
        <v>0.85</v>
      </c>
      <c r="I3" s="1">
        <f>Table1[[#This Row],[ActAwayScore]]-Table1[[#This Row],[PredAwayScore]]</f>
        <v>-4</v>
      </c>
      <c r="J3" s="1">
        <f>Table1[[#This Row],[ActHomeScore]]-Table1[[#This Row],[PredHomeScore]]</f>
        <v>6</v>
      </c>
      <c r="K3" s="1">
        <f>$U$2 - ABS(Table1[[#This Row],[DAwayScore]])</f>
        <v>4</v>
      </c>
      <c r="L3" s="1">
        <f>$U$2 - ABS(Table1[[#This Row],[DHomeScore]])</f>
        <v>2</v>
      </c>
      <c r="M3" s="1">
        <f>Table1[[#This Row],[CAwayScore]]/$U$2</f>
        <v>0.5</v>
      </c>
      <c r="N3" s="1">
        <f>Table1[[#This Row],[CHomeScore]]/$U$2</f>
        <v>0.25</v>
      </c>
      <c r="O3" s="1">
        <f>(Table1[[#This Row],[PAwayScore]]+Table1[[#This Row],[PHomeScore]])/2</f>
        <v>0.375</v>
      </c>
      <c r="P3" s="1">
        <f>IF(Table1[[#This Row],[CorrectWinner]]=1, 1, IF(OR(Table1[[#This Row],[ActResult]] = "OT", Table1[[#This Row],[ActResult]] = "SO"), 0.9,0.4)) * Table1[[#This Row],[CorrectResult]] * Table1[[#This Row],[Tscores]]</f>
        <v>0.1275</v>
      </c>
    </row>
    <row r="4" spans="1:23" x14ac:dyDescent="0.25">
      <c r="A4">
        <v>5</v>
      </c>
      <c r="B4">
        <v>6</v>
      </c>
      <c r="C4" t="s">
        <v>6</v>
      </c>
      <c r="D4">
        <v>2</v>
      </c>
      <c r="E4">
        <v>0</v>
      </c>
      <c r="F4" t="s">
        <v>7</v>
      </c>
      <c r="G4" s="1">
        <f>IF(Table1[[#This Row],[PredAwayScore]] &gt; Table1[[#This Row],[PredHomeScore]], IF(Table1[[#This Row],[ActAwayScore]] &gt; Table1[[#This Row],[ActHomeScore]], 1, 0), IF(Table1[[#This Row],[ActHomeScore]] &gt; Table1[[#This Row],[ActAwayScore]], 1, 0))</f>
        <v>0</v>
      </c>
      <c r="H4" s="1">
        <f>IF(Table1[[#This Row],[PredResult]]=Table1[[#This Row],[ActResult]],1,IF(OR(AND(Table1[[#This Row],[PredResult]]="OT", Table1[[#This Row],[ActResult]]="SO"), AND(Table1[[#This Row],[PredResult]]="SO", Table1[[#This Row],[ActResult]]="OT")), 0.95, 0.85))</f>
        <v>0.85</v>
      </c>
      <c r="I4" s="1">
        <f>Table1[[#This Row],[ActAwayScore]]-Table1[[#This Row],[PredAwayScore]]</f>
        <v>-3</v>
      </c>
      <c r="J4" s="1">
        <f>Table1[[#This Row],[ActHomeScore]]-Table1[[#This Row],[PredHomeScore]]</f>
        <v>-6</v>
      </c>
      <c r="K4" s="1">
        <f>$U$2 - ABS(Table1[[#This Row],[DAwayScore]])</f>
        <v>5</v>
      </c>
      <c r="L4" s="1">
        <f>$U$2 - ABS(Table1[[#This Row],[DHomeScore]])</f>
        <v>2</v>
      </c>
      <c r="M4" s="1">
        <f>Table1[[#This Row],[CAwayScore]]/$U$2</f>
        <v>0.625</v>
      </c>
      <c r="N4" s="1">
        <f>Table1[[#This Row],[CHomeScore]]/$U$2</f>
        <v>0.25</v>
      </c>
      <c r="O4" s="1">
        <f>(Table1[[#This Row],[PAwayScore]]+Table1[[#This Row],[PHomeScore]])/2</f>
        <v>0.4375</v>
      </c>
      <c r="P4" s="1">
        <f>IF(Table1[[#This Row],[CorrectWinner]]=1, 1, IF(OR(Table1[[#This Row],[ActResult]] = "OT", Table1[[#This Row],[ActResult]] = "SO"), 0.9,0.4)) * Table1[[#This Row],[CorrectResult]] * Table1[[#This Row],[Tscores]]</f>
        <v>0.14875000000000002</v>
      </c>
      <c r="T4" t="s">
        <v>19</v>
      </c>
      <c r="U4">
        <f>AVERAGE(Table1[Scores2])</f>
        <v>0.68643055555555554</v>
      </c>
      <c r="V4" t="s">
        <v>20</v>
      </c>
      <c r="W4">
        <f>SUM(Table1[CorrectWinner])</f>
        <v>21</v>
      </c>
    </row>
    <row r="5" spans="1:23" x14ac:dyDescent="0.25">
      <c r="A5">
        <v>4</v>
      </c>
      <c r="B5">
        <v>0</v>
      </c>
      <c r="C5" t="s">
        <v>7</v>
      </c>
      <c r="D5">
        <v>0</v>
      </c>
      <c r="E5">
        <v>4</v>
      </c>
      <c r="F5" t="s">
        <v>7</v>
      </c>
      <c r="G5" s="1">
        <f>IF(Table1[[#This Row],[PredAwayScore]] &gt; Table1[[#This Row],[PredHomeScore]], IF(Table1[[#This Row],[ActAwayScore]] &gt; Table1[[#This Row],[ActHomeScore]], 1, 0), IF(Table1[[#This Row],[ActHomeScore]] &gt; Table1[[#This Row],[ActAwayScore]], 1, 0))</f>
        <v>0</v>
      </c>
      <c r="H5" s="1">
        <f>IF(Table1[[#This Row],[PredResult]]=Table1[[#This Row],[ActResult]],1,IF(OR(AND(Table1[[#This Row],[PredResult]]="OT", Table1[[#This Row],[ActResult]]="SO"), AND(Table1[[#This Row],[PredResult]]="SO", Table1[[#This Row],[ActResult]]="OT")), 0.95, 0.85))</f>
        <v>1</v>
      </c>
      <c r="I5" s="1">
        <f>Table1[[#This Row],[ActAwayScore]]-Table1[[#This Row],[PredAwayScore]]</f>
        <v>-4</v>
      </c>
      <c r="J5" s="1">
        <f>Table1[[#This Row],[ActHomeScore]]-Table1[[#This Row],[PredHomeScore]]</f>
        <v>4</v>
      </c>
      <c r="K5" s="1">
        <f>$U$2 - ABS(Table1[[#This Row],[DAwayScore]])</f>
        <v>4</v>
      </c>
      <c r="L5" s="1">
        <f>$U$2 - ABS(Table1[[#This Row],[DHomeScore]])</f>
        <v>4</v>
      </c>
      <c r="M5" s="1">
        <f>Table1[[#This Row],[CAwayScore]]/$U$2</f>
        <v>0.5</v>
      </c>
      <c r="N5" s="1">
        <f>Table1[[#This Row],[CHomeScore]]/$U$2</f>
        <v>0.5</v>
      </c>
      <c r="O5" s="1">
        <f>(Table1[[#This Row],[PAwayScore]]+Table1[[#This Row],[PHomeScore]])/2</f>
        <v>0.5</v>
      </c>
      <c r="P5" s="1">
        <f>IF(Table1[[#This Row],[CorrectWinner]]=1, 1, IF(OR(Table1[[#This Row],[ActResult]] = "OT", Table1[[#This Row],[ActResult]] = "SO"), 0.9,0.4)) * Table1[[#This Row],[CorrectResult]] * Table1[[#This Row],[Tscores]]</f>
        <v>0.2</v>
      </c>
    </row>
    <row r="6" spans="1:23" x14ac:dyDescent="0.25">
      <c r="A6">
        <v>3</v>
      </c>
      <c r="B6">
        <v>6</v>
      </c>
      <c r="C6" t="s">
        <v>7</v>
      </c>
      <c r="D6">
        <v>4</v>
      </c>
      <c r="E6">
        <v>0</v>
      </c>
      <c r="F6" t="s">
        <v>7</v>
      </c>
      <c r="G6">
        <f>IF(Table1[[#This Row],[PredAwayScore]] &gt; Table1[[#This Row],[PredHomeScore]], IF(Table1[[#This Row],[ActAwayScore]] &gt; Table1[[#This Row],[ActHomeScore]], 1, 0), IF(Table1[[#This Row],[ActHomeScore]] &gt; Table1[[#This Row],[ActAwayScore]], 1, 0))</f>
        <v>0</v>
      </c>
      <c r="H6">
        <f>IF(Table1[[#This Row],[PredResult]]=Table1[[#This Row],[ActResult]],1,IF(OR(AND(Table1[[#This Row],[PredResult]]="OT", Table1[[#This Row],[ActResult]]="SO"), AND(Table1[[#This Row],[PredResult]]="SO", Table1[[#This Row],[ActResult]]="OT")), 0.95, 0.85))</f>
        <v>1</v>
      </c>
      <c r="I6">
        <f>Table1[[#This Row],[ActAwayScore]]-Table1[[#This Row],[PredAwayScore]]</f>
        <v>1</v>
      </c>
      <c r="J6">
        <f>Table1[[#This Row],[ActHomeScore]]-Table1[[#This Row],[PredHomeScore]]</f>
        <v>-6</v>
      </c>
      <c r="K6">
        <f>$U$2 - ABS(Table1[[#This Row],[DAwayScore]])</f>
        <v>7</v>
      </c>
      <c r="L6">
        <f>$U$2 - ABS(Table1[[#This Row],[DHomeScore]])</f>
        <v>2</v>
      </c>
      <c r="M6" s="1">
        <f>Table1[[#This Row],[CAwayScore]]/$U$2</f>
        <v>0.875</v>
      </c>
      <c r="N6" s="1">
        <f>Table1[[#This Row],[CHomeScore]]/$U$2</f>
        <v>0.25</v>
      </c>
      <c r="O6" s="1">
        <f>(Table1[[#This Row],[PAwayScore]]+Table1[[#This Row],[PHomeScore]])/2</f>
        <v>0.5625</v>
      </c>
      <c r="P6" s="1">
        <f>IF(Table1[[#This Row],[CorrectWinner]]=1, 1, IF(OR(Table1[[#This Row],[ActResult]] = "OT", Table1[[#This Row],[ActResult]] = "SO"), 0.9,0.4)) * Table1[[#This Row],[CorrectResult]] * Table1[[#This Row],[Tscores]]</f>
        <v>0.22500000000000001</v>
      </c>
    </row>
    <row r="7" spans="1:23" x14ac:dyDescent="0.25">
      <c r="A7">
        <v>3</v>
      </c>
      <c r="B7">
        <v>1</v>
      </c>
      <c r="C7" t="s">
        <v>7</v>
      </c>
      <c r="D7">
        <v>2</v>
      </c>
      <c r="E7">
        <v>5</v>
      </c>
      <c r="F7" t="s">
        <v>7</v>
      </c>
      <c r="G7">
        <f>IF(Table1[[#This Row],[PredAwayScore]] &gt; Table1[[#This Row],[PredHomeScore]], IF(Table1[[#This Row],[ActAwayScore]] &gt; Table1[[#This Row],[ActHomeScore]], 1, 0), IF(Table1[[#This Row],[ActHomeScore]] &gt; Table1[[#This Row],[ActAwayScore]], 1, 0))</f>
        <v>0</v>
      </c>
      <c r="H7">
        <f>IF(Table1[[#This Row],[PredResult]]=Table1[[#This Row],[ActResult]],1,IF(OR(AND(Table1[[#This Row],[PredResult]]="OT", Table1[[#This Row],[ActResult]]="SO"), AND(Table1[[#This Row],[PredResult]]="SO", Table1[[#This Row],[ActResult]]="OT")), 0.95, 0.85))</f>
        <v>1</v>
      </c>
      <c r="I7" s="1">
        <f>Table1[[#This Row],[ActAwayScore]]-Table1[[#This Row],[PredAwayScore]]</f>
        <v>-1</v>
      </c>
      <c r="J7" s="1">
        <f>Table1[[#This Row],[ActHomeScore]]-Table1[[#This Row],[PredHomeScore]]</f>
        <v>4</v>
      </c>
      <c r="K7" s="1">
        <f>$U$2 - ABS(Table1[[#This Row],[DAwayScore]])</f>
        <v>7</v>
      </c>
      <c r="L7" s="1">
        <f>$U$2 - ABS(Table1[[#This Row],[DHomeScore]])</f>
        <v>4</v>
      </c>
      <c r="M7" s="1">
        <f>Table1[[#This Row],[CAwayScore]]/$U$2</f>
        <v>0.875</v>
      </c>
      <c r="N7" s="1">
        <f>Table1[[#This Row],[CHomeScore]]/$U$2</f>
        <v>0.5</v>
      </c>
      <c r="O7" s="1">
        <f>(Table1[[#This Row],[PAwayScore]]+Table1[[#This Row],[PHomeScore]])/2</f>
        <v>0.6875</v>
      </c>
      <c r="P7" s="1">
        <f>IF(Table1[[#This Row],[CorrectWinner]]=1, 1, IF(OR(Table1[[#This Row],[ActResult]] = "OT", Table1[[#This Row],[ActResult]] = "SO"), 0.9,0.4)) * Table1[[#This Row],[CorrectResult]] * Table1[[#This Row],[Tscores]]</f>
        <v>0.27500000000000002</v>
      </c>
    </row>
    <row r="8" spans="1:23" x14ac:dyDescent="0.25">
      <c r="A8">
        <v>1</v>
      </c>
      <c r="B8">
        <v>0</v>
      </c>
      <c r="C8" t="s">
        <v>6</v>
      </c>
      <c r="D8">
        <v>0</v>
      </c>
      <c r="E8">
        <v>1</v>
      </c>
      <c r="F8" t="s">
        <v>7</v>
      </c>
      <c r="G8" s="1">
        <f>IF(Table1[[#This Row],[PredAwayScore]] &gt; Table1[[#This Row],[PredHomeScore]], IF(Table1[[#This Row],[ActAwayScore]] &gt; Table1[[#This Row],[ActHomeScore]], 1, 0), IF(Table1[[#This Row],[ActHomeScore]] &gt; Table1[[#This Row],[ActAwayScore]], 1, 0))</f>
        <v>0</v>
      </c>
      <c r="H8" s="1">
        <f>IF(Table1[[#This Row],[PredResult]]=Table1[[#This Row],[ActResult]],1,IF(OR(AND(Table1[[#This Row],[PredResult]]="OT", Table1[[#This Row],[ActResult]]="SO"), AND(Table1[[#This Row],[PredResult]]="SO", Table1[[#This Row],[ActResult]]="OT")), 0.95, 0.85))</f>
        <v>0.85</v>
      </c>
      <c r="I8" s="1">
        <f>Table1[[#This Row],[ActAwayScore]]-Table1[[#This Row],[PredAwayScore]]</f>
        <v>-1</v>
      </c>
      <c r="J8" s="1">
        <f>Table1[[#This Row],[ActHomeScore]]-Table1[[#This Row],[PredHomeScore]]</f>
        <v>1</v>
      </c>
      <c r="K8" s="1">
        <f>$U$2 - ABS(Table1[[#This Row],[DAwayScore]])</f>
        <v>7</v>
      </c>
      <c r="L8" s="1">
        <f>$U$2 - ABS(Table1[[#This Row],[DHomeScore]])</f>
        <v>7</v>
      </c>
      <c r="M8" s="1">
        <f>Table1[[#This Row],[CAwayScore]]/$U$2</f>
        <v>0.875</v>
      </c>
      <c r="N8" s="1">
        <f>Table1[[#This Row],[CHomeScore]]/$U$2</f>
        <v>0.875</v>
      </c>
      <c r="O8" s="1">
        <f>(Table1[[#This Row],[PAwayScore]]+Table1[[#This Row],[PHomeScore]])/2</f>
        <v>0.875</v>
      </c>
      <c r="P8" s="1">
        <f>IF(Table1[[#This Row],[CorrectWinner]]=1, 1, IF(OR(Table1[[#This Row],[ActResult]] = "OT", Table1[[#This Row],[ActResult]] = "SO"), 0.9,0.4)) * Table1[[#This Row],[CorrectResult]] * Table1[[#This Row],[Tscores]]</f>
        <v>0.29750000000000004</v>
      </c>
    </row>
    <row r="9" spans="1:23" x14ac:dyDescent="0.25">
      <c r="A9">
        <v>0</v>
      </c>
      <c r="B9">
        <v>1</v>
      </c>
      <c r="C9" t="s">
        <v>6</v>
      </c>
      <c r="D9">
        <v>1</v>
      </c>
      <c r="E9">
        <v>0</v>
      </c>
      <c r="F9" t="s">
        <v>7</v>
      </c>
      <c r="G9" s="1">
        <f>IF(Table1[[#This Row],[PredAwayScore]] &gt; Table1[[#This Row],[PredHomeScore]], IF(Table1[[#This Row],[ActAwayScore]] &gt; Table1[[#This Row],[ActHomeScore]], 1, 0), IF(Table1[[#This Row],[ActHomeScore]] &gt; Table1[[#This Row],[ActAwayScore]], 1, 0))</f>
        <v>0</v>
      </c>
      <c r="H9" s="1">
        <f>IF(Table1[[#This Row],[PredResult]]=Table1[[#This Row],[ActResult]],1,IF(OR(AND(Table1[[#This Row],[PredResult]]="OT", Table1[[#This Row],[ActResult]]="SO"), AND(Table1[[#This Row],[PredResult]]="SO", Table1[[#This Row],[ActResult]]="OT")), 0.95, 0.85))</f>
        <v>0.85</v>
      </c>
      <c r="I9" s="1">
        <f>Table1[[#This Row],[ActAwayScore]]-Table1[[#This Row],[PredAwayScore]]</f>
        <v>1</v>
      </c>
      <c r="J9" s="1">
        <f>Table1[[#This Row],[ActHomeScore]]-Table1[[#This Row],[PredHomeScore]]</f>
        <v>-1</v>
      </c>
      <c r="K9" s="1">
        <f>$U$2 - ABS(Table1[[#This Row],[DAwayScore]])</f>
        <v>7</v>
      </c>
      <c r="L9" s="1">
        <f>$U$2 - ABS(Table1[[#This Row],[DHomeScore]])</f>
        <v>7</v>
      </c>
      <c r="M9" s="1">
        <f>Table1[[#This Row],[CAwayScore]]/$U$2</f>
        <v>0.875</v>
      </c>
      <c r="N9" s="1">
        <f>Table1[[#This Row],[CHomeScore]]/$U$2</f>
        <v>0.875</v>
      </c>
      <c r="O9" s="1">
        <f>(Table1[[#This Row],[PAwayScore]]+Table1[[#This Row],[PHomeScore]])/2</f>
        <v>0.875</v>
      </c>
      <c r="P9" s="1">
        <f>IF(Table1[[#This Row],[CorrectWinner]]=1, 1, IF(OR(Table1[[#This Row],[ActResult]] = "OT", Table1[[#This Row],[ActResult]] = "SO"), 0.9,0.4)) * Table1[[#This Row],[CorrectResult]] * Table1[[#This Row],[Tscores]]</f>
        <v>0.29750000000000004</v>
      </c>
    </row>
    <row r="10" spans="1:23" x14ac:dyDescent="0.25">
      <c r="A10">
        <v>1</v>
      </c>
      <c r="B10">
        <v>0</v>
      </c>
      <c r="C10" t="s">
        <v>21</v>
      </c>
      <c r="D10">
        <v>0</v>
      </c>
      <c r="E10">
        <v>1</v>
      </c>
      <c r="F10" t="s">
        <v>7</v>
      </c>
      <c r="G10" s="1">
        <f>IF(Table1[[#This Row],[PredAwayScore]] &gt; Table1[[#This Row],[PredHomeScore]], IF(Table1[[#This Row],[ActAwayScore]] &gt; Table1[[#This Row],[ActHomeScore]], 1, 0), IF(Table1[[#This Row],[ActHomeScore]] &gt; Table1[[#This Row],[ActAwayScore]], 1, 0))</f>
        <v>0</v>
      </c>
      <c r="H10" s="1">
        <f>IF(Table1[[#This Row],[PredResult]]=Table1[[#This Row],[ActResult]],1,IF(OR(AND(Table1[[#This Row],[PredResult]]="OT", Table1[[#This Row],[ActResult]]="SO"), AND(Table1[[#This Row],[PredResult]]="SO", Table1[[#This Row],[ActResult]]="OT")), 0.95, 0.85))</f>
        <v>0.85</v>
      </c>
      <c r="I10" s="1">
        <f>Table1[[#This Row],[ActAwayScore]]-Table1[[#This Row],[PredAwayScore]]</f>
        <v>-1</v>
      </c>
      <c r="J10" s="1">
        <f>Table1[[#This Row],[ActHomeScore]]-Table1[[#This Row],[PredHomeScore]]</f>
        <v>1</v>
      </c>
      <c r="K10" s="1">
        <f>$U$2 - ABS(Table1[[#This Row],[DAwayScore]])</f>
        <v>7</v>
      </c>
      <c r="L10" s="1">
        <f>$U$2 - ABS(Table1[[#This Row],[DHomeScore]])</f>
        <v>7</v>
      </c>
      <c r="M10" s="1">
        <f>Table1[[#This Row],[CAwayScore]]/$U$2</f>
        <v>0.875</v>
      </c>
      <c r="N10" s="1">
        <f>Table1[[#This Row],[CHomeScore]]/$U$2</f>
        <v>0.875</v>
      </c>
      <c r="O10" s="1">
        <f>(Table1[[#This Row],[PAwayScore]]+Table1[[#This Row],[PHomeScore]])/2</f>
        <v>0.875</v>
      </c>
      <c r="P10" s="1">
        <f>IF(Table1[[#This Row],[CorrectWinner]]=1, 1, IF(OR(Table1[[#This Row],[ActResult]] = "OT", Table1[[#This Row],[ActResult]] = "SO"), 0.9,0.4)) * Table1[[#This Row],[CorrectResult]] * Table1[[#This Row],[Tscores]]</f>
        <v>0.29750000000000004</v>
      </c>
    </row>
    <row r="11" spans="1:23" x14ac:dyDescent="0.25">
      <c r="A11">
        <v>0</v>
      </c>
      <c r="B11">
        <v>1</v>
      </c>
      <c r="C11" t="s">
        <v>21</v>
      </c>
      <c r="D11">
        <v>1</v>
      </c>
      <c r="E11">
        <v>0</v>
      </c>
      <c r="F11" t="s">
        <v>7</v>
      </c>
      <c r="G11" s="1">
        <f>IF(Table1[[#This Row],[PredAwayScore]] &gt; Table1[[#This Row],[PredHomeScore]], IF(Table1[[#This Row],[ActAwayScore]] &gt; Table1[[#This Row],[ActHomeScore]], 1, 0), IF(Table1[[#This Row],[ActHomeScore]] &gt; Table1[[#This Row],[ActAwayScore]], 1, 0))</f>
        <v>0</v>
      </c>
      <c r="H11" s="1">
        <f>IF(Table1[[#This Row],[PredResult]]=Table1[[#This Row],[ActResult]],1,IF(OR(AND(Table1[[#This Row],[PredResult]]="OT", Table1[[#This Row],[ActResult]]="SO"), AND(Table1[[#This Row],[PredResult]]="SO", Table1[[#This Row],[ActResult]]="OT")), 0.95, 0.85))</f>
        <v>0.85</v>
      </c>
      <c r="I11" s="1">
        <f>Table1[[#This Row],[ActAwayScore]]-Table1[[#This Row],[PredAwayScore]]</f>
        <v>1</v>
      </c>
      <c r="J11" s="1">
        <f>Table1[[#This Row],[ActHomeScore]]-Table1[[#This Row],[PredHomeScore]]</f>
        <v>-1</v>
      </c>
      <c r="K11" s="1">
        <f>$U$2 - ABS(Table1[[#This Row],[DAwayScore]])</f>
        <v>7</v>
      </c>
      <c r="L11" s="1">
        <f>$U$2 - ABS(Table1[[#This Row],[DHomeScore]])</f>
        <v>7</v>
      </c>
      <c r="M11" s="1">
        <f>Table1[[#This Row],[CAwayScore]]/$U$2</f>
        <v>0.875</v>
      </c>
      <c r="N11" s="1">
        <f>Table1[[#This Row],[CHomeScore]]/$U$2</f>
        <v>0.875</v>
      </c>
      <c r="O11" s="1">
        <f>(Table1[[#This Row],[PAwayScore]]+Table1[[#This Row],[PHomeScore]])/2</f>
        <v>0.875</v>
      </c>
      <c r="P11" s="1">
        <f>IF(Table1[[#This Row],[CorrectWinner]]=1, 1, IF(OR(Table1[[#This Row],[ActResult]] = "OT", Table1[[#This Row],[ActResult]] = "SO"), 0.9,0.4)) * Table1[[#This Row],[CorrectResult]] * Table1[[#This Row],[Tscores]]</f>
        <v>0.29750000000000004</v>
      </c>
    </row>
    <row r="12" spans="1:23" x14ac:dyDescent="0.25">
      <c r="A12">
        <v>1</v>
      </c>
      <c r="B12">
        <v>0</v>
      </c>
      <c r="C12" t="s">
        <v>7</v>
      </c>
      <c r="D12">
        <v>0</v>
      </c>
      <c r="E12">
        <v>1</v>
      </c>
      <c r="F12" t="s">
        <v>7</v>
      </c>
      <c r="G12">
        <f>IF(Table1[[#This Row],[PredAwayScore]] &gt; Table1[[#This Row],[PredHomeScore]], IF(Table1[[#This Row],[ActAwayScore]] &gt; Table1[[#This Row],[ActHomeScore]], 1, 0), IF(Table1[[#This Row],[ActHomeScore]] &gt; Table1[[#This Row],[ActAwayScore]], 1, 0))</f>
        <v>0</v>
      </c>
      <c r="H12">
        <f>IF(Table1[[#This Row],[PredResult]]=Table1[[#This Row],[ActResult]],1,IF(OR(AND(Table1[[#This Row],[PredResult]]="OT", Table1[[#This Row],[ActResult]]="SO"), AND(Table1[[#This Row],[PredResult]]="SO", Table1[[#This Row],[ActResult]]="OT")), 0.95, 0.85))</f>
        <v>1</v>
      </c>
      <c r="I12" s="1">
        <f>Table1[[#This Row],[ActAwayScore]]-Table1[[#This Row],[PredAwayScore]]</f>
        <v>-1</v>
      </c>
      <c r="J12" s="1">
        <f>Table1[[#This Row],[ActHomeScore]]-Table1[[#This Row],[PredHomeScore]]</f>
        <v>1</v>
      </c>
      <c r="K12" s="1">
        <f>$U$2 - ABS(Table1[[#This Row],[DAwayScore]])</f>
        <v>7</v>
      </c>
      <c r="L12" s="1">
        <f>$U$2 - ABS(Table1[[#This Row],[DHomeScore]])</f>
        <v>7</v>
      </c>
      <c r="M12" s="1">
        <f>Table1[[#This Row],[CAwayScore]]/$U$2</f>
        <v>0.875</v>
      </c>
      <c r="N12" s="1">
        <f>Table1[[#This Row],[CHomeScore]]/$U$2</f>
        <v>0.875</v>
      </c>
      <c r="O12" s="1">
        <f>(Table1[[#This Row],[PAwayScore]]+Table1[[#This Row],[PHomeScore]])/2</f>
        <v>0.875</v>
      </c>
      <c r="P12" s="1">
        <f>IF(Table1[[#This Row],[CorrectWinner]]=1, 1, IF(OR(Table1[[#This Row],[ActResult]] = "OT", Table1[[#This Row],[ActResult]] = "SO"), 0.9,0.4)) * Table1[[#This Row],[CorrectResult]] * Table1[[#This Row],[Tscores]]</f>
        <v>0.35000000000000003</v>
      </c>
    </row>
    <row r="13" spans="1:23" x14ac:dyDescent="0.25">
      <c r="A13">
        <v>0</v>
      </c>
      <c r="B13">
        <v>1</v>
      </c>
      <c r="C13" t="s">
        <v>7</v>
      </c>
      <c r="D13">
        <v>1</v>
      </c>
      <c r="E13">
        <v>0</v>
      </c>
      <c r="F13" t="s">
        <v>7</v>
      </c>
      <c r="G13" s="1">
        <f>IF(Table1[[#This Row],[PredAwayScore]] &gt; Table1[[#This Row],[PredHomeScore]], IF(Table1[[#This Row],[ActAwayScore]] &gt; Table1[[#This Row],[ActHomeScore]], 1, 0), IF(Table1[[#This Row],[ActHomeScore]] &gt; Table1[[#This Row],[ActAwayScore]], 1, 0))</f>
        <v>0</v>
      </c>
      <c r="H13" s="1">
        <f>IF(Table1[[#This Row],[PredResult]]=Table1[[#This Row],[ActResult]],1,IF(OR(AND(Table1[[#This Row],[PredResult]]="OT", Table1[[#This Row],[ActResult]]="SO"), AND(Table1[[#This Row],[PredResult]]="SO", Table1[[#This Row],[ActResult]]="OT")), 0.95, 0.85))</f>
        <v>1</v>
      </c>
      <c r="I13" s="1">
        <f>Table1[[#This Row],[ActAwayScore]]-Table1[[#This Row],[PredAwayScore]]</f>
        <v>1</v>
      </c>
      <c r="J13" s="1">
        <f>Table1[[#This Row],[ActHomeScore]]-Table1[[#This Row],[PredHomeScore]]</f>
        <v>-1</v>
      </c>
      <c r="K13" s="1">
        <f>$U$2 - ABS(Table1[[#This Row],[DAwayScore]])</f>
        <v>7</v>
      </c>
      <c r="L13" s="1">
        <f>$U$2 - ABS(Table1[[#This Row],[DHomeScore]])</f>
        <v>7</v>
      </c>
      <c r="M13" s="1">
        <f>Table1[[#This Row],[CAwayScore]]/$U$2</f>
        <v>0.875</v>
      </c>
      <c r="N13" s="1">
        <f>Table1[[#This Row],[CHomeScore]]/$U$2</f>
        <v>0.875</v>
      </c>
      <c r="O13" s="1">
        <f>(Table1[[#This Row],[PAwayScore]]+Table1[[#This Row],[PHomeScore]])/2</f>
        <v>0.875</v>
      </c>
      <c r="P13" s="1">
        <f>IF(Table1[[#This Row],[CorrectWinner]]=1, 1, IF(OR(Table1[[#This Row],[ActResult]] = "OT", Table1[[#This Row],[ActResult]] = "SO"), 0.9,0.4)) * Table1[[#This Row],[CorrectResult]] * Table1[[#This Row],[Tscores]]</f>
        <v>0.35000000000000003</v>
      </c>
    </row>
    <row r="14" spans="1:23" x14ac:dyDescent="0.25">
      <c r="A14">
        <v>1</v>
      </c>
      <c r="B14">
        <v>0</v>
      </c>
      <c r="C14" t="s">
        <v>7</v>
      </c>
      <c r="D14">
        <v>0</v>
      </c>
      <c r="E14">
        <v>1</v>
      </c>
      <c r="F14" t="s">
        <v>6</v>
      </c>
      <c r="G14" s="1">
        <f>IF(Table1[[#This Row],[PredAwayScore]] &gt; Table1[[#This Row],[PredHomeScore]], IF(Table1[[#This Row],[ActAwayScore]] &gt; Table1[[#This Row],[ActHomeScore]], 1, 0), IF(Table1[[#This Row],[ActHomeScore]] &gt; Table1[[#This Row],[ActAwayScore]], 1, 0))</f>
        <v>0</v>
      </c>
      <c r="H14" s="1">
        <f>IF(Table1[[#This Row],[PredResult]]=Table1[[#This Row],[ActResult]],1,IF(OR(AND(Table1[[#This Row],[PredResult]]="OT", Table1[[#This Row],[ActResult]]="SO"), AND(Table1[[#This Row],[PredResult]]="SO", Table1[[#This Row],[ActResult]]="OT")), 0.95, 0.85))</f>
        <v>0.85</v>
      </c>
      <c r="I14" s="1">
        <f>Table1[[#This Row],[ActAwayScore]]-Table1[[#This Row],[PredAwayScore]]</f>
        <v>-1</v>
      </c>
      <c r="J14" s="1">
        <f>Table1[[#This Row],[ActHomeScore]]-Table1[[#This Row],[PredHomeScore]]</f>
        <v>1</v>
      </c>
      <c r="K14" s="1">
        <f>$U$2 - ABS(Table1[[#This Row],[DAwayScore]])</f>
        <v>7</v>
      </c>
      <c r="L14" s="1">
        <f>$U$2 - ABS(Table1[[#This Row],[DHomeScore]])</f>
        <v>7</v>
      </c>
      <c r="M14" s="1">
        <f>Table1[[#This Row],[CAwayScore]]/$U$2</f>
        <v>0.875</v>
      </c>
      <c r="N14" s="1">
        <f>Table1[[#This Row],[CHomeScore]]/$U$2</f>
        <v>0.875</v>
      </c>
      <c r="O14" s="1">
        <f>(Table1[[#This Row],[PAwayScore]]+Table1[[#This Row],[PHomeScore]])/2</f>
        <v>0.875</v>
      </c>
      <c r="P14" s="1">
        <f>IF(Table1[[#This Row],[CorrectWinner]]=1, 1, IF(OR(Table1[[#This Row],[ActResult]] = "OT", Table1[[#This Row],[ActResult]] = "SO"), 0.9,0.4)) * Table1[[#This Row],[CorrectResult]] * Table1[[#This Row],[Tscores]]</f>
        <v>0.66937500000000005</v>
      </c>
    </row>
    <row r="15" spans="1:23" x14ac:dyDescent="0.25">
      <c r="A15">
        <v>0</v>
      </c>
      <c r="B15">
        <v>1</v>
      </c>
      <c r="C15" t="s">
        <v>7</v>
      </c>
      <c r="D15">
        <v>1</v>
      </c>
      <c r="E15">
        <v>0</v>
      </c>
      <c r="F15" t="s">
        <v>6</v>
      </c>
      <c r="G15" s="1">
        <f>IF(Table1[[#This Row],[PredAwayScore]] &gt; Table1[[#This Row],[PredHomeScore]], IF(Table1[[#This Row],[ActAwayScore]] &gt; Table1[[#This Row],[ActHomeScore]], 1, 0), IF(Table1[[#This Row],[ActHomeScore]] &gt; Table1[[#This Row],[ActAwayScore]], 1, 0))</f>
        <v>0</v>
      </c>
      <c r="H15" s="1">
        <f>IF(Table1[[#This Row],[PredResult]]=Table1[[#This Row],[ActResult]],1,IF(OR(AND(Table1[[#This Row],[PredResult]]="OT", Table1[[#This Row],[ActResult]]="SO"), AND(Table1[[#This Row],[PredResult]]="SO", Table1[[#This Row],[ActResult]]="OT")), 0.95, 0.85))</f>
        <v>0.85</v>
      </c>
      <c r="I15" s="1">
        <f>Table1[[#This Row],[ActAwayScore]]-Table1[[#This Row],[PredAwayScore]]</f>
        <v>1</v>
      </c>
      <c r="J15" s="1">
        <f>Table1[[#This Row],[ActHomeScore]]-Table1[[#This Row],[PredHomeScore]]</f>
        <v>-1</v>
      </c>
      <c r="K15" s="1">
        <f>$U$2 - ABS(Table1[[#This Row],[DAwayScore]])</f>
        <v>7</v>
      </c>
      <c r="L15" s="1">
        <f>$U$2 - ABS(Table1[[#This Row],[DHomeScore]])</f>
        <v>7</v>
      </c>
      <c r="M15" s="1">
        <f>Table1[[#This Row],[CAwayScore]]/$U$2</f>
        <v>0.875</v>
      </c>
      <c r="N15" s="1">
        <f>Table1[[#This Row],[CHomeScore]]/$U$2</f>
        <v>0.875</v>
      </c>
      <c r="O15" s="1">
        <f>(Table1[[#This Row],[PAwayScore]]+Table1[[#This Row],[PHomeScore]])/2</f>
        <v>0.875</v>
      </c>
      <c r="P15" s="1">
        <f>IF(Table1[[#This Row],[CorrectWinner]]=1, 1, IF(OR(Table1[[#This Row],[ActResult]] = "OT", Table1[[#This Row],[ActResult]] = "SO"), 0.9,0.4)) * Table1[[#This Row],[CorrectResult]] * Table1[[#This Row],[Tscores]]</f>
        <v>0.66937500000000005</v>
      </c>
    </row>
    <row r="16" spans="1:23" x14ac:dyDescent="0.25">
      <c r="A16">
        <v>1</v>
      </c>
      <c r="B16">
        <v>0</v>
      </c>
      <c r="C16" t="s">
        <v>7</v>
      </c>
      <c r="D16">
        <v>0</v>
      </c>
      <c r="E16">
        <v>1</v>
      </c>
      <c r="F16" t="s">
        <v>21</v>
      </c>
      <c r="G16" s="1">
        <f>IF(Table1[[#This Row],[PredAwayScore]] &gt; Table1[[#This Row],[PredHomeScore]], IF(Table1[[#This Row],[ActAwayScore]] &gt; Table1[[#This Row],[ActHomeScore]], 1, 0), IF(Table1[[#This Row],[ActHomeScore]] &gt; Table1[[#This Row],[ActAwayScore]], 1, 0))</f>
        <v>0</v>
      </c>
      <c r="H16" s="1">
        <f>IF(Table1[[#This Row],[PredResult]]=Table1[[#This Row],[ActResult]],1,IF(OR(AND(Table1[[#This Row],[PredResult]]="OT", Table1[[#This Row],[ActResult]]="SO"), AND(Table1[[#This Row],[PredResult]]="SO", Table1[[#This Row],[ActResult]]="OT")), 0.95, 0.85))</f>
        <v>0.85</v>
      </c>
      <c r="I16" s="1">
        <f>Table1[[#This Row],[ActAwayScore]]-Table1[[#This Row],[PredAwayScore]]</f>
        <v>-1</v>
      </c>
      <c r="J16" s="1">
        <f>Table1[[#This Row],[ActHomeScore]]-Table1[[#This Row],[PredHomeScore]]</f>
        <v>1</v>
      </c>
      <c r="K16" s="1">
        <f>$U$2 - ABS(Table1[[#This Row],[DAwayScore]])</f>
        <v>7</v>
      </c>
      <c r="L16" s="1">
        <f>$U$2 - ABS(Table1[[#This Row],[DHomeScore]])</f>
        <v>7</v>
      </c>
      <c r="M16" s="1">
        <f>Table1[[#This Row],[CAwayScore]]/$U$2</f>
        <v>0.875</v>
      </c>
      <c r="N16" s="1">
        <f>Table1[[#This Row],[CHomeScore]]/$U$2</f>
        <v>0.875</v>
      </c>
      <c r="O16" s="1">
        <f>(Table1[[#This Row],[PAwayScore]]+Table1[[#This Row],[PHomeScore]])/2</f>
        <v>0.875</v>
      </c>
      <c r="P16" s="1">
        <f>IF(Table1[[#This Row],[CorrectWinner]]=1, 1, IF(OR(Table1[[#This Row],[ActResult]] = "OT", Table1[[#This Row],[ActResult]] = "SO"), 0.9,0.4)) * Table1[[#This Row],[CorrectResult]] * Table1[[#This Row],[Tscores]]</f>
        <v>0.66937500000000005</v>
      </c>
    </row>
    <row r="17" spans="1:16" x14ac:dyDescent="0.25">
      <c r="A17">
        <v>0</v>
      </c>
      <c r="B17">
        <v>1</v>
      </c>
      <c r="C17" t="s">
        <v>7</v>
      </c>
      <c r="D17">
        <v>1</v>
      </c>
      <c r="E17">
        <v>0</v>
      </c>
      <c r="F17" t="s">
        <v>21</v>
      </c>
      <c r="G17" s="1">
        <f>IF(Table1[[#This Row],[PredAwayScore]] &gt; Table1[[#This Row],[PredHomeScore]], IF(Table1[[#This Row],[ActAwayScore]] &gt; Table1[[#This Row],[ActHomeScore]], 1, 0), IF(Table1[[#This Row],[ActHomeScore]] &gt; Table1[[#This Row],[ActAwayScore]], 1, 0))</f>
        <v>0</v>
      </c>
      <c r="H17" s="1">
        <f>IF(Table1[[#This Row],[PredResult]]=Table1[[#This Row],[ActResult]],1,IF(OR(AND(Table1[[#This Row],[PredResult]]="OT", Table1[[#This Row],[ActResult]]="SO"), AND(Table1[[#This Row],[PredResult]]="SO", Table1[[#This Row],[ActResult]]="OT")), 0.95, 0.85))</f>
        <v>0.85</v>
      </c>
      <c r="I17" s="1">
        <f>Table1[[#This Row],[ActAwayScore]]-Table1[[#This Row],[PredAwayScore]]</f>
        <v>1</v>
      </c>
      <c r="J17" s="1">
        <f>Table1[[#This Row],[ActHomeScore]]-Table1[[#This Row],[PredHomeScore]]</f>
        <v>-1</v>
      </c>
      <c r="K17" s="1">
        <f>$U$2 - ABS(Table1[[#This Row],[DAwayScore]])</f>
        <v>7</v>
      </c>
      <c r="L17" s="1">
        <f>$U$2 - ABS(Table1[[#This Row],[DHomeScore]])</f>
        <v>7</v>
      </c>
      <c r="M17" s="1">
        <f>Table1[[#This Row],[CAwayScore]]/$U$2</f>
        <v>0.875</v>
      </c>
      <c r="N17" s="1">
        <f>Table1[[#This Row],[CHomeScore]]/$U$2</f>
        <v>0.875</v>
      </c>
      <c r="O17" s="1">
        <f>(Table1[[#This Row],[PAwayScore]]+Table1[[#This Row],[PHomeScore]])/2</f>
        <v>0.875</v>
      </c>
      <c r="P17" s="1">
        <f>IF(Table1[[#This Row],[CorrectWinner]]=1, 1, IF(OR(Table1[[#This Row],[ActResult]] = "OT", Table1[[#This Row],[ActResult]] = "SO"), 0.9,0.4)) * Table1[[#This Row],[CorrectResult]] * Table1[[#This Row],[Tscores]]</f>
        <v>0.66937500000000005</v>
      </c>
    </row>
    <row r="18" spans="1:16" x14ac:dyDescent="0.25">
      <c r="A18">
        <v>3</v>
      </c>
      <c r="B18">
        <v>4</v>
      </c>
      <c r="C18" t="s">
        <v>6</v>
      </c>
      <c r="D18">
        <v>1</v>
      </c>
      <c r="E18">
        <v>4</v>
      </c>
      <c r="F18" t="s">
        <v>7</v>
      </c>
      <c r="G18">
        <f>IF(Table1[[#This Row],[PredAwayScore]] &gt; Table1[[#This Row],[PredHomeScore]], IF(Table1[[#This Row],[ActAwayScore]] &gt; Table1[[#This Row],[ActHomeScore]], 1, 0), IF(Table1[[#This Row],[ActHomeScore]] &gt; Table1[[#This Row],[ActAwayScore]], 1, 0))</f>
        <v>1</v>
      </c>
      <c r="H18">
        <f>IF(Table1[[#This Row],[PredResult]]=Table1[[#This Row],[ActResult]],1,IF(OR(AND(Table1[[#This Row],[PredResult]]="OT", Table1[[#This Row],[ActResult]]="SO"), AND(Table1[[#This Row],[PredResult]]="SO", Table1[[#This Row],[ActResult]]="OT")), 0.95, 0.85))</f>
        <v>0.85</v>
      </c>
      <c r="I18">
        <f>Table1[[#This Row],[ActAwayScore]]-Table1[[#This Row],[PredAwayScore]]</f>
        <v>-2</v>
      </c>
      <c r="J18">
        <f>Table1[[#This Row],[ActHomeScore]]-Table1[[#This Row],[PredHomeScore]]</f>
        <v>0</v>
      </c>
      <c r="K18">
        <f>$U$2 - ABS(Table1[[#This Row],[DAwayScore]])</f>
        <v>6</v>
      </c>
      <c r="L18">
        <f>$U$2 - ABS(Table1[[#This Row],[DHomeScore]])</f>
        <v>8</v>
      </c>
      <c r="M18" s="1">
        <f>Table1[[#This Row],[CAwayScore]]/$U$2</f>
        <v>0.75</v>
      </c>
      <c r="N18" s="1">
        <f>Table1[[#This Row],[CHomeScore]]/$U$2</f>
        <v>1</v>
      </c>
      <c r="O18" s="1">
        <f>(Table1[[#This Row],[PAwayScore]]+Table1[[#This Row],[PHomeScore]])/2</f>
        <v>0.875</v>
      </c>
      <c r="P18" s="1">
        <f>IF(Table1[[#This Row],[CorrectWinner]]=1, 1, IF(OR(Table1[[#This Row],[ActResult]] = "OT", Table1[[#This Row],[ActResult]] = "SO"), 0.9,0.4)) * Table1[[#This Row],[CorrectResult]] * Table1[[#This Row],[Tscores]]</f>
        <v>0.74375000000000002</v>
      </c>
    </row>
    <row r="19" spans="1:16" x14ac:dyDescent="0.25">
      <c r="A19">
        <v>1</v>
      </c>
      <c r="B19">
        <v>0</v>
      </c>
      <c r="C19" t="s">
        <v>6</v>
      </c>
      <c r="D19">
        <v>0</v>
      </c>
      <c r="E19">
        <v>1</v>
      </c>
      <c r="F19" t="s">
        <v>21</v>
      </c>
      <c r="G19" s="1">
        <f>IF(Table1[[#This Row],[PredAwayScore]] &gt; Table1[[#This Row],[PredHomeScore]], IF(Table1[[#This Row],[ActAwayScore]] &gt; Table1[[#This Row],[ActHomeScore]], 1, 0), IF(Table1[[#This Row],[ActHomeScore]] &gt; Table1[[#This Row],[ActAwayScore]], 1, 0))</f>
        <v>0</v>
      </c>
      <c r="H19" s="1">
        <f>IF(Table1[[#This Row],[PredResult]]=Table1[[#This Row],[ActResult]],1,IF(OR(AND(Table1[[#This Row],[PredResult]]="OT", Table1[[#This Row],[ActResult]]="SO"), AND(Table1[[#This Row],[PredResult]]="SO", Table1[[#This Row],[ActResult]]="OT")), 0.95, 0.85))</f>
        <v>0.95</v>
      </c>
      <c r="I19" s="1">
        <f>Table1[[#This Row],[ActAwayScore]]-Table1[[#This Row],[PredAwayScore]]</f>
        <v>-1</v>
      </c>
      <c r="J19" s="1">
        <f>Table1[[#This Row],[ActHomeScore]]-Table1[[#This Row],[PredHomeScore]]</f>
        <v>1</v>
      </c>
      <c r="K19" s="1">
        <f>$U$2 - ABS(Table1[[#This Row],[DAwayScore]])</f>
        <v>7</v>
      </c>
      <c r="L19" s="1">
        <f>$U$2 - ABS(Table1[[#This Row],[DHomeScore]])</f>
        <v>7</v>
      </c>
      <c r="M19" s="1">
        <f>Table1[[#This Row],[CAwayScore]]/$U$2</f>
        <v>0.875</v>
      </c>
      <c r="N19" s="1">
        <f>Table1[[#This Row],[CHomeScore]]/$U$2</f>
        <v>0.875</v>
      </c>
      <c r="O19" s="1">
        <f>(Table1[[#This Row],[PAwayScore]]+Table1[[#This Row],[PHomeScore]])/2</f>
        <v>0.875</v>
      </c>
      <c r="P19" s="1">
        <f>IF(Table1[[#This Row],[CorrectWinner]]=1, 1, IF(OR(Table1[[#This Row],[ActResult]] = "OT", Table1[[#This Row],[ActResult]] = "SO"), 0.9,0.4)) * Table1[[#This Row],[CorrectResult]] * Table1[[#This Row],[Tscores]]</f>
        <v>0.74812499999999993</v>
      </c>
    </row>
    <row r="20" spans="1:16" x14ac:dyDescent="0.25">
      <c r="A20">
        <v>0</v>
      </c>
      <c r="B20">
        <v>1</v>
      </c>
      <c r="C20" t="s">
        <v>6</v>
      </c>
      <c r="D20">
        <v>1</v>
      </c>
      <c r="E20">
        <v>0</v>
      </c>
      <c r="F20" t="s">
        <v>21</v>
      </c>
      <c r="G20" s="1">
        <f>IF(Table1[[#This Row],[PredAwayScore]] &gt; Table1[[#This Row],[PredHomeScore]], IF(Table1[[#This Row],[ActAwayScore]] &gt; Table1[[#This Row],[ActHomeScore]], 1, 0), IF(Table1[[#This Row],[ActHomeScore]] &gt; Table1[[#This Row],[ActAwayScore]], 1, 0))</f>
        <v>0</v>
      </c>
      <c r="H20" s="1">
        <f>IF(Table1[[#This Row],[PredResult]]=Table1[[#This Row],[ActResult]],1,IF(OR(AND(Table1[[#This Row],[PredResult]]="OT", Table1[[#This Row],[ActResult]]="SO"), AND(Table1[[#This Row],[PredResult]]="SO", Table1[[#This Row],[ActResult]]="OT")), 0.95, 0.85))</f>
        <v>0.95</v>
      </c>
      <c r="I20" s="1">
        <f>Table1[[#This Row],[ActAwayScore]]-Table1[[#This Row],[PredAwayScore]]</f>
        <v>1</v>
      </c>
      <c r="J20" s="1">
        <f>Table1[[#This Row],[ActHomeScore]]-Table1[[#This Row],[PredHomeScore]]</f>
        <v>-1</v>
      </c>
      <c r="K20" s="1">
        <f>$U$2 - ABS(Table1[[#This Row],[DAwayScore]])</f>
        <v>7</v>
      </c>
      <c r="L20" s="1">
        <f>$U$2 - ABS(Table1[[#This Row],[DHomeScore]])</f>
        <v>7</v>
      </c>
      <c r="M20" s="1">
        <f>Table1[[#This Row],[CAwayScore]]/$U$2</f>
        <v>0.875</v>
      </c>
      <c r="N20" s="1">
        <f>Table1[[#This Row],[CHomeScore]]/$U$2</f>
        <v>0.875</v>
      </c>
      <c r="O20" s="1">
        <f>(Table1[[#This Row],[PAwayScore]]+Table1[[#This Row],[PHomeScore]])/2</f>
        <v>0.875</v>
      </c>
      <c r="P20" s="1">
        <f>IF(Table1[[#This Row],[CorrectWinner]]=1, 1, IF(OR(Table1[[#This Row],[ActResult]] = "OT", Table1[[#This Row],[ActResult]] = "SO"), 0.9,0.4)) * Table1[[#This Row],[CorrectResult]] * Table1[[#This Row],[Tscores]]</f>
        <v>0.74812499999999993</v>
      </c>
    </row>
    <row r="21" spans="1:16" x14ac:dyDescent="0.25">
      <c r="A21">
        <v>1</v>
      </c>
      <c r="B21">
        <v>0</v>
      </c>
      <c r="C21" t="s">
        <v>21</v>
      </c>
      <c r="D21">
        <v>0</v>
      </c>
      <c r="E21">
        <v>1</v>
      </c>
      <c r="F21" t="s">
        <v>6</v>
      </c>
      <c r="G21" s="1">
        <f>IF(Table1[[#This Row],[PredAwayScore]] &gt; Table1[[#This Row],[PredHomeScore]], IF(Table1[[#This Row],[ActAwayScore]] &gt; Table1[[#This Row],[ActHomeScore]], 1, 0), IF(Table1[[#This Row],[ActHomeScore]] &gt; Table1[[#This Row],[ActAwayScore]], 1, 0))</f>
        <v>0</v>
      </c>
      <c r="H21" s="1">
        <f>IF(Table1[[#This Row],[PredResult]]=Table1[[#This Row],[ActResult]],1,IF(OR(AND(Table1[[#This Row],[PredResult]]="OT", Table1[[#This Row],[ActResult]]="SO"), AND(Table1[[#This Row],[PredResult]]="SO", Table1[[#This Row],[ActResult]]="OT")), 0.95, 0.85))</f>
        <v>0.95</v>
      </c>
      <c r="I21" s="1">
        <f>Table1[[#This Row],[ActAwayScore]]-Table1[[#This Row],[PredAwayScore]]</f>
        <v>-1</v>
      </c>
      <c r="J21" s="1">
        <f>Table1[[#This Row],[ActHomeScore]]-Table1[[#This Row],[PredHomeScore]]</f>
        <v>1</v>
      </c>
      <c r="K21" s="1">
        <f>$U$2 - ABS(Table1[[#This Row],[DAwayScore]])</f>
        <v>7</v>
      </c>
      <c r="L21" s="1">
        <f>$U$2 - ABS(Table1[[#This Row],[DHomeScore]])</f>
        <v>7</v>
      </c>
      <c r="M21" s="1">
        <f>Table1[[#This Row],[CAwayScore]]/$U$2</f>
        <v>0.875</v>
      </c>
      <c r="N21" s="1">
        <f>Table1[[#This Row],[CHomeScore]]/$U$2</f>
        <v>0.875</v>
      </c>
      <c r="O21" s="1">
        <f>(Table1[[#This Row],[PAwayScore]]+Table1[[#This Row],[PHomeScore]])/2</f>
        <v>0.875</v>
      </c>
      <c r="P21" s="1">
        <f>IF(Table1[[#This Row],[CorrectWinner]]=1, 1, IF(OR(Table1[[#This Row],[ActResult]] = "OT", Table1[[#This Row],[ActResult]] = "SO"), 0.9,0.4)) * Table1[[#This Row],[CorrectResult]] * Table1[[#This Row],[Tscores]]</f>
        <v>0.74812499999999993</v>
      </c>
    </row>
    <row r="22" spans="1:16" x14ac:dyDescent="0.25">
      <c r="A22">
        <v>0</v>
      </c>
      <c r="B22">
        <v>1</v>
      </c>
      <c r="C22" t="s">
        <v>21</v>
      </c>
      <c r="D22">
        <v>1</v>
      </c>
      <c r="E22">
        <v>0</v>
      </c>
      <c r="F22" t="s">
        <v>6</v>
      </c>
      <c r="G22" s="1">
        <f>IF(Table1[[#This Row],[PredAwayScore]] &gt; Table1[[#This Row],[PredHomeScore]], IF(Table1[[#This Row],[ActAwayScore]] &gt; Table1[[#This Row],[ActHomeScore]], 1, 0), IF(Table1[[#This Row],[ActHomeScore]] &gt; Table1[[#This Row],[ActAwayScore]], 1, 0))</f>
        <v>0</v>
      </c>
      <c r="H22" s="1">
        <f>IF(Table1[[#This Row],[PredResult]]=Table1[[#This Row],[ActResult]],1,IF(OR(AND(Table1[[#This Row],[PredResult]]="OT", Table1[[#This Row],[ActResult]]="SO"), AND(Table1[[#This Row],[PredResult]]="SO", Table1[[#This Row],[ActResult]]="OT")), 0.95, 0.85))</f>
        <v>0.95</v>
      </c>
      <c r="I22" s="1">
        <f>Table1[[#This Row],[ActAwayScore]]-Table1[[#This Row],[PredAwayScore]]</f>
        <v>1</v>
      </c>
      <c r="J22" s="1">
        <f>Table1[[#This Row],[ActHomeScore]]-Table1[[#This Row],[PredHomeScore]]</f>
        <v>-1</v>
      </c>
      <c r="K22" s="1">
        <f>$U$2 - ABS(Table1[[#This Row],[DAwayScore]])</f>
        <v>7</v>
      </c>
      <c r="L22" s="1">
        <f>$U$2 - ABS(Table1[[#This Row],[DHomeScore]])</f>
        <v>7</v>
      </c>
      <c r="M22" s="1">
        <f>Table1[[#This Row],[CAwayScore]]/$U$2</f>
        <v>0.875</v>
      </c>
      <c r="N22" s="1">
        <f>Table1[[#This Row],[CHomeScore]]/$U$2</f>
        <v>0.875</v>
      </c>
      <c r="O22" s="1">
        <f>(Table1[[#This Row],[PAwayScore]]+Table1[[#This Row],[PHomeScore]])/2</f>
        <v>0.875</v>
      </c>
      <c r="P22" s="1">
        <f>IF(Table1[[#This Row],[CorrectWinner]]=1, 1, IF(OR(Table1[[#This Row],[ActResult]] = "OT", Table1[[#This Row],[ActResult]] = "SO"), 0.9,0.4)) * Table1[[#This Row],[CorrectResult]] * Table1[[#This Row],[Tscores]]</f>
        <v>0.74812499999999993</v>
      </c>
    </row>
    <row r="23" spans="1:16" x14ac:dyDescent="0.25">
      <c r="A23">
        <v>1</v>
      </c>
      <c r="B23">
        <v>0</v>
      </c>
      <c r="C23" t="s">
        <v>6</v>
      </c>
      <c r="D23">
        <v>0</v>
      </c>
      <c r="E23">
        <v>1</v>
      </c>
      <c r="F23" t="s">
        <v>6</v>
      </c>
      <c r="G23" s="1">
        <f>IF(Table1[[#This Row],[PredAwayScore]] &gt; Table1[[#This Row],[PredHomeScore]], IF(Table1[[#This Row],[ActAwayScore]] &gt; Table1[[#This Row],[ActHomeScore]], 1, 0), IF(Table1[[#This Row],[ActHomeScore]] &gt; Table1[[#This Row],[ActAwayScore]], 1, 0))</f>
        <v>0</v>
      </c>
      <c r="H23" s="1">
        <f>IF(Table1[[#This Row],[PredResult]]=Table1[[#This Row],[ActResult]],1,IF(OR(AND(Table1[[#This Row],[PredResult]]="OT", Table1[[#This Row],[ActResult]]="SO"), AND(Table1[[#This Row],[PredResult]]="SO", Table1[[#This Row],[ActResult]]="OT")), 0.95, 0.85))</f>
        <v>1</v>
      </c>
      <c r="I23" s="1">
        <f>Table1[[#This Row],[ActAwayScore]]-Table1[[#This Row],[PredAwayScore]]</f>
        <v>-1</v>
      </c>
      <c r="J23" s="1">
        <f>Table1[[#This Row],[ActHomeScore]]-Table1[[#This Row],[PredHomeScore]]</f>
        <v>1</v>
      </c>
      <c r="K23" s="1">
        <f>$U$2 - ABS(Table1[[#This Row],[DAwayScore]])</f>
        <v>7</v>
      </c>
      <c r="L23" s="1">
        <f>$U$2 - ABS(Table1[[#This Row],[DHomeScore]])</f>
        <v>7</v>
      </c>
      <c r="M23" s="1">
        <f>Table1[[#This Row],[CAwayScore]]/$U$2</f>
        <v>0.875</v>
      </c>
      <c r="N23" s="1">
        <f>Table1[[#This Row],[CHomeScore]]/$U$2</f>
        <v>0.875</v>
      </c>
      <c r="O23" s="1">
        <f>(Table1[[#This Row],[PAwayScore]]+Table1[[#This Row],[PHomeScore]])/2</f>
        <v>0.875</v>
      </c>
      <c r="P23" s="1">
        <f>IF(Table1[[#This Row],[CorrectWinner]]=1, 1, IF(OR(Table1[[#This Row],[ActResult]] = "OT", Table1[[#This Row],[ActResult]] = "SO"), 0.9,0.4)) * Table1[[#This Row],[CorrectResult]] * Table1[[#This Row],[Tscores]]</f>
        <v>0.78749999999999998</v>
      </c>
    </row>
    <row r="24" spans="1:16" x14ac:dyDescent="0.25">
      <c r="A24">
        <v>0</v>
      </c>
      <c r="B24">
        <v>1</v>
      </c>
      <c r="C24" t="s">
        <v>6</v>
      </c>
      <c r="D24">
        <v>1</v>
      </c>
      <c r="E24">
        <v>0</v>
      </c>
      <c r="F24" t="s">
        <v>6</v>
      </c>
      <c r="G24" s="1">
        <f>IF(Table1[[#This Row],[PredAwayScore]] &gt; Table1[[#This Row],[PredHomeScore]], IF(Table1[[#This Row],[ActAwayScore]] &gt; Table1[[#This Row],[ActHomeScore]], 1, 0), IF(Table1[[#This Row],[ActHomeScore]] &gt; Table1[[#This Row],[ActAwayScore]], 1, 0))</f>
        <v>0</v>
      </c>
      <c r="H24" s="1">
        <f>IF(Table1[[#This Row],[PredResult]]=Table1[[#This Row],[ActResult]],1,IF(OR(AND(Table1[[#This Row],[PredResult]]="OT", Table1[[#This Row],[ActResult]]="SO"), AND(Table1[[#This Row],[PredResult]]="SO", Table1[[#This Row],[ActResult]]="OT")), 0.95, 0.85))</f>
        <v>1</v>
      </c>
      <c r="I24" s="1">
        <f>Table1[[#This Row],[ActAwayScore]]-Table1[[#This Row],[PredAwayScore]]</f>
        <v>1</v>
      </c>
      <c r="J24" s="1">
        <f>Table1[[#This Row],[ActHomeScore]]-Table1[[#This Row],[PredHomeScore]]</f>
        <v>-1</v>
      </c>
      <c r="K24" s="1">
        <f>$U$2 - ABS(Table1[[#This Row],[DAwayScore]])</f>
        <v>7</v>
      </c>
      <c r="L24" s="1">
        <f>$U$2 - ABS(Table1[[#This Row],[DHomeScore]])</f>
        <v>7</v>
      </c>
      <c r="M24" s="1">
        <f>Table1[[#This Row],[CAwayScore]]/$U$2</f>
        <v>0.875</v>
      </c>
      <c r="N24" s="1">
        <f>Table1[[#This Row],[CHomeScore]]/$U$2</f>
        <v>0.875</v>
      </c>
      <c r="O24" s="1">
        <f>(Table1[[#This Row],[PAwayScore]]+Table1[[#This Row],[PHomeScore]])/2</f>
        <v>0.875</v>
      </c>
      <c r="P24" s="1">
        <f>IF(Table1[[#This Row],[CorrectWinner]]=1, 1, IF(OR(Table1[[#This Row],[ActResult]] = "OT", Table1[[#This Row],[ActResult]] = "SO"), 0.9,0.4)) * Table1[[#This Row],[CorrectResult]] * Table1[[#This Row],[Tscores]]</f>
        <v>0.78749999999999998</v>
      </c>
    </row>
    <row r="25" spans="1:16" x14ac:dyDescent="0.25">
      <c r="A25">
        <v>1</v>
      </c>
      <c r="B25">
        <v>0</v>
      </c>
      <c r="C25" t="s">
        <v>21</v>
      </c>
      <c r="D25">
        <v>0</v>
      </c>
      <c r="E25">
        <v>1</v>
      </c>
      <c r="F25" t="s">
        <v>21</v>
      </c>
      <c r="G25" s="1">
        <f>IF(Table1[[#This Row],[PredAwayScore]] &gt; Table1[[#This Row],[PredHomeScore]], IF(Table1[[#This Row],[ActAwayScore]] &gt; Table1[[#This Row],[ActHomeScore]], 1, 0), IF(Table1[[#This Row],[ActHomeScore]] &gt; Table1[[#This Row],[ActAwayScore]], 1, 0))</f>
        <v>0</v>
      </c>
      <c r="H25" s="1">
        <f>IF(Table1[[#This Row],[PredResult]]=Table1[[#This Row],[ActResult]],1,IF(OR(AND(Table1[[#This Row],[PredResult]]="OT", Table1[[#This Row],[ActResult]]="SO"), AND(Table1[[#This Row],[PredResult]]="SO", Table1[[#This Row],[ActResult]]="OT")), 0.95, 0.85))</f>
        <v>1</v>
      </c>
      <c r="I25" s="1">
        <f>Table1[[#This Row],[ActAwayScore]]-Table1[[#This Row],[PredAwayScore]]</f>
        <v>-1</v>
      </c>
      <c r="J25" s="1">
        <f>Table1[[#This Row],[ActHomeScore]]-Table1[[#This Row],[PredHomeScore]]</f>
        <v>1</v>
      </c>
      <c r="K25" s="1">
        <f>$U$2 - ABS(Table1[[#This Row],[DAwayScore]])</f>
        <v>7</v>
      </c>
      <c r="L25" s="1">
        <f>$U$2 - ABS(Table1[[#This Row],[DHomeScore]])</f>
        <v>7</v>
      </c>
      <c r="M25" s="1">
        <f>Table1[[#This Row],[CAwayScore]]/$U$2</f>
        <v>0.875</v>
      </c>
      <c r="N25" s="1">
        <f>Table1[[#This Row],[CHomeScore]]/$U$2</f>
        <v>0.875</v>
      </c>
      <c r="O25" s="1">
        <f>(Table1[[#This Row],[PAwayScore]]+Table1[[#This Row],[PHomeScore]])/2</f>
        <v>0.875</v>
      </c>
      <c r="P25" s="1">
        <f>IF(Table1[[#This Row],[CorrectWinner]]=1, 1, IF(OR(Table1[[#This Row],[ActResult]] = "OT", Table1[[#This Row],[ActResult]] = "SO"), 0.9,0.4)) * Table1[[#This Row],[CorrectResult]] * Table1[[#This Row],[Tscores]]</f>
        <v>0.78749999999999998</v>
      </c>
    </row>
    <row r="26" spans="1:16" x14ac:dyDescent="0.25">
      <c r="A26">
        <v>0</v>
      </c>
      <c r="B26">
        <v>1</v>
      </c>
      <c r="C26" t="s">
        <v>21</v>
      </c>
      <c r="D26">
        <v>1</v>
      </c>
      <c r="E26">
        <v>0</v>
      </c>
      <c r="F26" t="s">
        <v>21</v>
      </c>
      <c r="G26" s="1">
        <f>IF(Table1[[#This Row],[PredAwayScore]] &gt; Table1[[#This Row],[PredHomeScore]], IF(Table1[[#This Row],[ActAwayScore]] &gt; Table1[[#This Row],[ActHomeScore]], 1, 0), IF(Table1[[#This Row],[ActHomeScore]] &gt; Table1[[#This Row],[ActAwayScore]], 1, 0))</f>
        <v>0</v>
      </c>
      <c r="H26" s="1">
        <f>IF(Table1[[#This Row],[PredResult]]=Table1[[#This Row],[ActResult]],1,IF(OR(AND(Table1[[#This Row],[PredResult]]="OT", Table1[[#This Row],[ActResult]]="SO"), AND(Table1[[#This Row],[PredResult]]="SO", Table1[[#This Row],[ActResult]]="OT")), 0.95, 0.85))</f>
        <v>1</v>
      </c>
      <c r="I26" s="1">
        <f>Table1[[#This Row],[ActAwayScore]]-Table1[[#This Row],[PredAwayScore]]</f>
        <v>1</v>
      </c>
      <c r="J26" s="1">
        <f>Table1[[#This Row],[ActHomeScore]]-Table1[[#This Row],[PredHomeScore]]</f>
        <v>-1</v>
      </c>
      <c r="K26" s="1">
        <f>$U$2 - ABS(Table1[[#This Row],[DAwayScore]])</f>
        <v>7</v>
      </c>
      <c r="L26" s="1">
        <f>$U$2 - ABS(Table1[[#This Row],[DHomeScore]])</f>
        <v>7</v>
      </c>
      <c r="M26" s="1">
        <f>Table1[[#This Row],[CAwayScore]]/$U$2</f>
        <v>0.875</v>
      </c>
      <c r="N26" s="1">
        <f>Table1[[#This Row],[CHomeScore]]/$U$2</f>
        <v>0.875</v>
      </c>
      <c r="O26" s="1">
        <f>(Table1[[#This Row],[PAwayScore]]+Table1[[#This Row],[PHomeScore]])/2</f>
        <v>0.875</v>
      </c>
      <c r="P26" s="1">
        <f>IF(Table1[[#This Row],[CorrectWinner]]=1, 1, IF(OR(Table1[[#This Row],[ActResult]] = "OT", Table1[[#This Row],[ActResult]] = "SO"), 0.9,0.4)) * Table1[[#This Row],[CorrectResult]] * Table1[[#This Row],[Tscores]]</f>
        <v>0.78749999999999998</v>
      </c>
    </row>
    <row r="27" spans="1:16" x14ac:dyDescent="0.25">
      <c r="A27">
        <v>2</v>
      </c>
      <c r="B27">
        <v>0</v>
      </c>
      <c r="C27" t="s">
        <v>7</v>
      </c>
      <c r="D27">
        <v>2</v>
      </c>
      <c r="E27">
        <v>1</v>
      </c>
      <c r="F27" t="s">
        <v>21</v>
      </c>
      <c r="G27" s="1">
        <f>IF(Table1[[#This Row],[PredAwayScore]] &gt; Table1[[#This Row],[PredHomeScore]], IF(Table1[[#This Row],[ActAwayScore]] &gt; Table1[[#This Row],[ActHomeScore]], 1, 0), IF(Table1[[#This Row],[ActHomeScore]] &gt; Table1[[#This Row],[ActAwayScore]], 1, 0))</f>
        <v>1</v>
      </c>
      <c r="H27" s="1">
        <f>IF(Table1[[#This Row],[PredResult]]=Table1[[#This Row],[ActResult]],1,IF(OR(AND(Table1[[#This Row],[PredResult]]="OT", Table1[[#This Row],[ActResult]]="SO"), AND(Table1[[#This Row],[PredResult]]="SO", Table1[[#This Row],[ActResult]]="OT")), 0.95, 0.85))</f>
        <v>0.85</v>
      </c>
      <c r="I27" s="1">
        <f>Table1[[#This Row],[ActAwayScore]]-Table1[[#This Row],[PredAwayScore]]</f>
        <v>0</v>
      </c>
      <c r="J27" s="1">
        <f>Table1[[#This Row],[ActHomeScore]]-Table1[[#This Row],[PredHomeScore]]</f>
        <v>1</v>
      </c>
      <c r="K27" s="1">
        <f>$U$2 - ABS(Table1[[#This Row],[DAwayScore]])</f>
        <v>8</v>
      </c>
      <c r="L27" s="1">
        <f>$U$2 - ABS(Table1[[#This Row],[DHomeScore]])</f>
        <v>7</v>
      </c>
      <c r="M27" s="1">
        <f>Table1[[#This Row],[CAwayScore]]/$U$2</f>
        <v>1</v>
      </c>
      <c r="N27" s="1">
        <f>Table1[[#This Row],[CHomeScore]]/$U$2</f>
        <v>0.875</v>
      </c>
      <c r="O27" s="1">
        <f>(Table1[[#This Row],[PAwayScore]]+Table1[[#This Row],[PHomeScore]])/2</f>
        <v>0.9375</v>
      </c>
      <c r="P27" s="1">
        <f>IF(Table1[[#This Row],[CorrectWinner]]=1, 1, IF(OR(Table1[[#This Row],[ActResult]] = "OT", Table1[[#This Row],[ActResult]] = "SO"), 0.9,0.4)) * Table1[[#This Row],[CorrectResult]] * Table1[[#This Row],[Tscores]]</f>
        <v>0.796875</v>
      </c>
    </row>
    <row r="28" spans="1:16" x14ac:dyDescent="0.25">
      <c r="A28">
        <v>1</v>
      </c>
      <c r="B28">
        <v>0</v>
      </c>
      <c r="C28" t="s">
        <v>7</v>
      </c>
      <c r="D28">
        <v>1</v>
      </c>
      <c r="E28">
        <v>0</v>
      </c>
      <c r="F28" t="s">
        <v>6</v>
      </c>
      <c r="G28" s="1">
        <f>IF(Table1[[#This Row],[PredAwayScore]] &gt; Table1[[#This Row],[PredHomeScore]], IF(Table1[[#This Row],[ActAwayScore]] &gt; Table1[[#This Row],[ActHomeScore]], 1, 0), IF(Table1[[#This Row],[ActHomeScore]] &gt; Table1[[#This Row],[ActAwayScore]], 1, 0))</f>
        <v>1</v>
      </c>
      <c r="H28" s="1">
        <f>IF(Table1[[#This Row],[PredResult]]=Table1[[#This Row],[ActResult]],1,IF(OR(AND(Table1[[#This Row],[PredResult]]="OT", Table1[[#This Row],[ActResult]]="SO"), AND(Table1[[#This Row],[PredResult]]="SO", Table1[[#This Row],[ActResult]]="OT")), 0.95, 0.85))</f>
        <v>0.85</v>
      </c>
      <c r="I28" s="1">
        <f>Table1[[#This Row],[ActAwayScore]]-Table1[[#This Row],[PredAwayScore]]</f>
        <v>0</v>
      </c>
      <c r="J28" s="1">
        <f>Table1[[#This Row],[ActHomeScore]]-Table1[[#This Row],[PredHomeScore]]</f>
        <v>0</v>
      </c>
      <c r="K28" s="1">
        <f>$U$2 - ABS(Table1[[#This Row],[DAwayScore]])</f>
        <v>8</v>
      </c>
      <c r="L28" s="1">
        <f>$U$2 - ABS(Table1[[#This Row],[DHomeScore]])</f>
        <v>8</v>
      </c>
      <c r="M28" s="1">
        <f>Table1[[#This Row],[CAwayScore]]/$U$2</f>
        <v>1</v>
      </c>
      <c r="N28" s="1">
        <f>Table1[[#This Row],[CHomeScore]]/$U$2</f>
        <v>1</v>
      </c>
      <c r="O28" s="1">
        <f>(Table1[[#This Row],[PAwayScore]]+Table1[[#This Row],[PHomeScore]])/2</f>
        <v>1</v>
      </c>
      <c r="P28" s="1">
        <f>IF(Table1[[#This Row],[CorrectWinner]]=1, 1, IF(OR(Table1[[#This Row],[ActResult]] = "OT", Table1[[#This Row],[ActResult]] = "SO"), 0.9,0.4)) * Table1[[#This Row],[CorrectResult]] * Table1[[#This Row],[Tscores]]</f>
        <v>0.85</v>
      </c>
    </row>
    <row r="29" spans="1:16" x14ac:dyDescent="0.25">
      <c r="A29">
        <v>0</v>
      </c>
      <c r="B29">
        <v>1</v>
      </c>
      <c r="C29" t="s">
        <v>7</v>
      </c>
      <c r="D29">
        <v>0</v>
      </c>
      <c r="E29">
        <v>1</v>
      </c>
      <c r="F29" t="s">
        <v>6</v>
      </c>
      <c r="G29" s="1">
        <f>IF(Table1[[#This Row],[PredAwayScore]] &gt; Table1[[#This Row],[PredHomeScore]], IF(Table1[[#This Row],[ActAwayScore]] &gt; Table1[[#This Row],[ActHomeScore]], 1, 0), IF(Table1[[#This Row],[ActHomeScore]] &gt; Table1[[#This Row],[ActAwayScore]], 1, 0))</f>
        <v>1</v>
      </c>
      <c r="H29" s="1">
        <f>IF(Table1[[#This Row],[PredResult]]=Table1[[#This Row],[ActResult]],1,IF(OR(AND(Table1[[#This Row],[PredResult]]="OT", Table1[[#This Row],[ActResult]]="SO"), AND(Table1[[#This Row],[PredResult]]="SO", Table1[[#This Row],[ActResult]]="OT")), 0.95, 0.85))</f>
        <v>0.85</v>
      </c>
      <c r="I29" s="1">
        <f>Table1[[#This Row],[ActAwayScore]]-Table1[[#This Row],[PredAwayScore]]</f>
        <v>0</v>
      </c>
      <c r="J29" s="1">
        <f>Table1[[#This Row],[ActHomeScore]]-Table1[[#This Row],[PredHomeScore]]</f>
        <v>0</v>
      </c>
      <c r="K29" s="1">
        <f>$U$2 - ABS(Table1[[#This Row],[DAwayScore]])</f>
        <v>8</v>
      </c>
      <c r="L29" s="1">
        <f>$U$2 - ABS(Table1[[#This Row],[DHomeScore]])</f>
        <v>8</v>
      </c>
      <c r="M29" s="1">
        <f>Table1[[#This Row],[CAwayScore]]/$U$2</f>
        <v>1</v>
      </c>
      <c r="N29" s="1">
        <f>Table1[[#This Row],[CHomeScore]]/$U$2</f>
        <v>1</v>
      </c>
      <c r="O29" s="1">
        <f>(Table1[[#This Row],[PAwayScore]]+Table1[[#This Row],[PHomeScore]])/2</f>
        <v>1</v>
      </c>
      <c r="P29" s="1">
        <f>IF(Table1[[#This Row],[CorrectWinner]]=1, 1, IF(OR(Table1[[#This Row],[ActResult]] = "OT", Table1[[#This Row],[ActResult]] = "SO"), 0.9,0.4)) * Table1[[#This Row],[CorrectResult]] * Table1[[#This Row],[Tscores]]</f>
        <v>0.85</v>
      </c>
    </row>
    <row r="30" spans="1:16" x14ac:dyDescent="0.25">
      <c r="A30">
        <v>1</v>
      </c>
      <c r="B30">
        <v>0</v>
      </c>
      <c r="C30" t="s">
        <v>7</v>
      </c>
      <c r="D30">
        <v>1</v>
      </c>
      <c r="E30">
        <v>0</v>
      </c>
      <c r="F30" t="s">
        <v>21</v>
      </c>
      <c r="G30" s="1">
        <f>IF(Table1[[#This Row],[PredAwayScore]] &gt; Table1[[#This Row],[PredHomeScore]], IF(Table1[[#This Row],[ActAwayScore]] &gt; Table1[[#This Row],[ActHomeScore]], 1, 0), IF(Table1[[#This Row],[ActHomeScore]] &gt; Table1[[#This Row],[ActAwayScore]], 1, 0))</f>
        <v>1</v>
      </c>
      <c r="H30" s="1">
        <f>IF(Table1[[#This Row],[PredResult]]=Table1[[#This Row],[ActResult]],1,IF(OR(AND(Table1[[#This Row],[PredResult]]="OT", Table1[[#This Row],[ActResult]]="SO"), AND(Table1[[#This Row],[PredResult]]="SO", Table1[[#This Row],[ActResult]]="OT")), 0.95, 0.85))</f>
        <v>0.85</v>
      </c>
      <c r="I30" s="1">
        <f>Table1[[#This Row],[ActAwayScore]]-Table1[[#This Row],[PredAwayScore]]</f>
        <v>0</v>
      </c>
      <c r="J30" s="1">
        <f>Table1[[#This Row],[ActHomeScore]]-Table1[[#This Row],[PredHomeScore]]</f>
        <v>0</v>
      </c>
      <c r="K30" s="1">
        <f>$U$2 - ABS(Table1[[#This Row],[DAwayScore]])</f>
        <v>8</v>
      </c>
      <c r="L30" s="1">
        <f>$U$2 - ABS(Table1[[#This Row],[DHomeScore]])</f>
        <v>8</v>
      </c>
      <c r="M30" s="1">
        <f>Table1[[#This Row],[CAwayScore]]/$U$2</f>
        <v>1</v>
      </c>
      <c r="N30" s="1">
        <f>Table1[[#This Row],[CHomeScore]]/$U$2</f>
        <v>1</v>
      </c>
      <c r="O30" s="1">
        <f>(Table1[[#This Row],[PAwayScore]]+Table1[[#This Row],[PHomeScore]])/2</f>
        <v>1</v>
      </c>
      <c r="P30" s="1">
        <f>IF(Table1[[#This Row],[CorrectWinner]]=1, 1, IF(OR(Table1[[#This Row],[ActResult]] = "OT", Table1[[#This Row],[ActResult]] = "SO"), 0.9,0.4)) * Table1[[#This Row],[CorrectResult]] * Table1[[#This Row],[Tscores]]</f>
        <v>0.85</v>
      </c>
    </row>
    <row r="31" spans="1:16" x14ac:dyDescent="0.25">
      <c r="A31">
        <v>0</v>
      </c>
      <c r="B31">
        <v>1</v>
      </c>
      <c r="C31" t="s">
        <v>7</v>
      </c>
      <c r="D31">
        <v>0</v>
      </c>
      <c r="E31">
        <v>1</v>
      </c>
      <c r="F31" t="s">
        <v>21</v>
      </c>
      <c r="G31" s="1">
        <f>IF(Table1[[#This Row],[PredAwayScore]] &gt; Table1[[#This Row],[PredHomeScore]], IF(Table1[[#This Row],[ActAwayScore]] &gt; Table1[[#This Row],[ActHomeScore]], 1, 0), IF(Table1[[#This Row],[ActHomeScore]] &gt; Table1[[#This Row],[ActAwayScore]], 1, 0))</f>
        <v>1</v>
      </c>
      <c r="H31" s="1">
        <f>IF(Table1[[#This Row],[PredResult]]=Table1[[#This Row],[ActResult]],1,IF(OR(AND(Table1[[#This Row],[PredResult]]="OT", Table1[[#This Row],[ActResult]]="SO"), AND(Table1[[#This Row],[PredResult]]="SO", Table1[[#This Row],[ActResult]]="OT")), 0.95, 0.85))</f>
        <v>0.85</v>
      </c>
      <c r="I31" s="1">
        <f>Table1[[#This Row],[ActAwayScore]]-Table1[[#This Row],[PredAwayScore]]</f>
        <v>0</v>
      </c>
      <c r="J31" s="1">
        <f>Table1[[#This Row],[ActHomeScore]]-Table1[[#This Row],[PredHomeScore]]</f>
        <v>0</v>
      </c>
      <c r="K31" s="1">
        <f>$U$2 - ABS(Table1[[#This Row],[DAwayScore]])</f>
        <v>8</v>
      </c>
      <c r="L31" s="1">
        <f>$U$2 - ABS(Table1[[#This Row],[DHomeScore]])</f>
        <v>8</v>
      </c>
      <c r="M31" s="1">
        <f>Table1[[#This Row],[CAwayScore]]/$U$2</f>
        <v>1</v>
      </c>
      <c r="N31" s="1">
        <f>Table1[[#This Row],[CHomeScore]]/$U$2</f>
        <v>1</v>
      </c>
      <c r="O31" s="1">
        <f>(Table1[[#This Row],[PAwayScore]]+Table1[[#This Row],[PHomeScore]])/2</f>
        <v>1</v>
      </c>
      <c r="P31" s="1">
        <f>IF(Table1[[#This Row],[CorrectWinner]]=1, 1, IF(OR(Table1[[#This Row],[ActResult]] = "OT", Table1[[#This Row],[ActResult]] = "SO"), 0.9,0.4)) * Table1[[#This Row],[CorrectResult]] * Table1[[#This Row],[Tscores]]</f>
        <v>0.85</v>
      </c>
    </row>
    <row r="32" spans="1:16" x14ac:dyDescent="0.25">
      <c r="A32">
        <v>1</v>
      </c>
      <c r="B32">
        <v>0</v>
      </c>
      <c r="C32" t="s">
        <v>6</v>
      </c>
      <c r="D32">
        <v>1</v>
      </c>
      <c r="E32">
        <v>0</v>
      </c>
      <c r="F32" t="s">
        <v>7</v>
      </c>
      <c r="G32" s="1">
        <f>IF(Table1[[#This Row],[PredAwayScore]] &gt; Table1[[#This Row],[PredHomeScore]], IF(Table1[[#This Row],[ActAwayScore]] &gt; Table1[[#This Row],[ActHomeScore]], 1, 0), IF(Table1[[#This Row],[ActHomeScore]] &gt; Table1[[#This Row],[ActAwayScore]], 1, 0))</f>
        <v>1</v>
      </c>
      <c r="H32" s="1">
        <f>IF(Table1[[#This Row],[PredResult]]=Table1[[#This Row],[ActResult]],1,IF(OR(AND(Table1[[#This Row],[PredResult]]="OT", Table1[[#This Row],[ActResult]]="SO"), AND(Table1[[#This Row],[PredResult]]="SO", Table1[[#This Row],[ActResult]]="OT")), 0.95, 0.85))</f>
        <v>0.85</v>
      </c>
      <c r="I32" s="1">
        <f>Table1[[#This Row],[ActAwayScore]]-Table1[[#This Row],[PredAwayScore]]</f>
        <v>0</v>
      </c>
      <c r="J32" s="1">
        <f>Table1[[#This Row],[ActHomeScore]]-Table1[[#This Row],[PredHomeScore]]</f>
        <v>0</v>
      </c>
      <c r="K32" s="1">
        <f>$U$2 - ABS(Table1[[#This Row],[DAwayScore]])</f>
        <v>8</v>
      </c>
      <c r="L32" s="1">
        <f>$U$2 - ABS(Table1[[#This Row],[DHomeScore]])</f>
        <v>8</v>
      </c>
      <c r="M32" s="1">
        <f>Table1[[#This Row],[CAwayScore]]/$U$2</f>
        <v>1</v>
      </c>
      <c r="N32" s="1">
        <f>Table1[[#This Row],[CHomeScore]]/$U$2</f>
        <v>1</v>
      </c>
      <c r="O32" s="1">
        <f>(Table1[[#This Row],[PAwayScore]]+Table1[[#This Row],[PHomeScore]])/2</f>
        <v>1</v>
      </c>
      <c r="P32" s="1">
        <f>IF(Table1[[#This Row],[CorrectWinner]]=1, 1, IF(OR(Table1[[#This Row],[ActResult]] = "OT", Table1[[#This Row],[ActResult]] = "SO"), 0.9,0.4)) * Table1[[#This Row],[CorrectResult]] * Table1[[#This Row],[Tscores]]</f>
        <v>0.85</v>
      </c>
    </row>
    <row r="33" spans="1:16" x14ac:dyDescent="0.25">
      <c r="A33">
        <v>0</v>
      </c>
      <c r="B33">
        <v>1</v>
      </c>
      <c r="C33" t="s">
        <v>6</v>
      </c>
      <c r="D33">
        <v>0</v>
      </c>
      <c r="E33">
        <v>1</v>
      </c>
      <c r="F33" t="s">
        <v>7</v>
      </c>
      <c r="G33" s="1">
        <f>IF(Table1[[#This Row],[PredAwayScore]] &gt; Table1[[#This Row],[PredHomeScore]], IF(Table1[[#This Row],[ActAwayScore]] &gt; Table1[[#This Row],[ActHomeScore]], 1, 0), IF(Table1[[#This Row],[ActHomeScore]] &gt; Table1[[#This Row],[ActAwayScore]], 1, 0))</f>
        <v>1</v>
      </c>
      <c r="H33" s="1">
        <f>IF(Table1[[#This Row],[PredResult]]=Table1[[#This Row],[ActResult]],1,IF(OR(AND(Table1[[#This Row],[PredResult]]="OT", Table1[[#This Row],[ActResult]]="SO"), AND(Table1[[#This Row],[PredResult]]="SO", Table1[[#This Row],[ActResult]]="OT")), 0.95, 0.85))</f>
        <v>0.85</v>
      </c>
      <c r="I33" s="1">
        <f>Table1[[#This Row],[ActAwayScore]]-Table1[[#This Row],[PredAwayScore]]</f>
        <v>0</v>
      </c>
      <c r="J33" s="1">
        <f>Table1[[#This Row],[ActHomeScore]]-Table1[[#This Row],[PredHomeScore]]</f>
        <v>0</v>
      </c>
      <c r="K33" s="1">
        <f>$U$2 - ABS(Table1[[#This Row],[DAwayScore]])</f>
        <v>8</v>
      </c>
      <c r="L33" s="1">
        <f>$U$2 - ABS(Table1[[#This Row],[DHomeScore]])</f>
        <v>8</v>
      </c>
      <c r="M33" s="1">
        <f>Table1[[#This Row],[CAwayScore]]/$U$2</f>
        <v>1</v>
      </c>
      <c r="N33" s="1">
        <f>Table1[[#This Row],[CHomeScore]]/$U$2</f>
        <v>1</v>
      </c>
      <c r="O33" s="1">
        <f>(Table1[[#This Row],[PAwayScore]]+Table1[[#This Row],[PHomeScore]])/2</f>
        <v>1</v>
      </c>
      <c r="P33" s="1">
        <f>IF(Table1[[#This Row],[CorrectWinner]]=1, 1, IF(OR(Table1[[#This Row],[ActResult]] = "OT", Table1[[#This Row],[ActResult]] = "SO"), 0.9,0.4)) * Table1[[#This Row],[CorrectResult]] * Table1[[#This Row],[Tscores]]</f>
        <v>0.85</v>
      </c>
    </row>
    <row r="34" spans="1:16" x14ac:dyDescent="0.25">
      <c r="A34">
        <v>1</v>
      </c>
      <c r="B34">
        <v>0</v>
      </c>
      <c r="C34" t="s">
        <v>21</v>
      </c>
      <c r="D34">
        <v>1</v>
      </c>
      <c r="E34">
        <v>0</v>
      </c>
      <c r="F34" t="s">
        <v>7</v>
      </c>
      <c r="G34" s="1">
        <f>IF(Table1[[#This Row],[PredAwayScore]] &gt; Table1[[#This Row],[PredHomeScore]], IF(Table1[[#This Row],[ActAwayScore]] &gt; Table1[[#This Row],[ActHomeScore]], 1, 0), IF(Table1[[#This Row],[ActHomeScore]] &gt; Table1[[#This Row],[ActAwayScore]], 1, 0))</f>
        <v>1</v>
      </c>
      <c r="H34" s="1">
        <f>IF(Table1[[#This Row],[PredResult]]=Table1[[#This Row],[ActResult]],1,IF(OR(AND(Table1[[#This Row],[PredResult]]="OT", Table1[[#This Row],[ActResult]]="SO"), AND(Table1[[#This Row],[PredResult]]="SO", Table1[[#This Row],[ActResult]]="OT")), 0.95, 0.85))</f>
        <v>0.85</v>
      </c>
      <c r="I34" s="1">
        <f>Table1[[#This Row],[ActAwayScore]]-Table1[[#This Row],[PredAwayScore]]</f>
        <v>0</v>
      </c>
      <c r="J34" s="1">
        <f>Table1[[#This Row],[ActHomeScore]]-Table1[[#This Row],[PredHomeScore]]</f>
        <v>0</v>
      </c>
      <c r="K34" s="1">
        <f>$U$2 - ABS(Table1[[#This Row],[DAwayScore]])</f>
        <v>8</v>
      </c>
      <c r="L34" s="1">
        <f>$U$2 - ABS(Table1[[#This Row],[DHomeScore]])</f>
        <v>8</v>
      </c>
      <c r="M34" s="1">
        <f>Table1[[#This Row],[CAwayScore]]/$U$2</f>
        <v>1</v>
      </c>
      <c r="N34" s="1">
        <f>Table1[[#This Row],[CHomeScore]]/$U$2</f>
        <v>1</v>
      </c>
      <c r="O34" s="1">
        <f>(Table1[[#This Row],[PAwayScore]]+Table1[[#This Row],[PHomeScore]])/2</f>
        <v>1</v>
      </c>
      <c r="P34" s="1">
        <f>IF(Table1[[#This Row],[CorrectWinner]]=1, 1, IF(OR(Table1[[#This Row],[ActResult]] = "OT", Table1[[#This Row],[ActResult]] = "SO"), 0.9,0.4)) * Table1[[#This Row],[CorrectResult]] * Table1[[#This Row],[Tscores]]</f>
        <v>0.85</v>
      </c>
    </row>
    <row r="35" spans="1:16" x14ac:dyDescent="0.25">
      <c r="A35">
        <v>0</v>
      </c>
      <c r="B35">
        <v>1</v>
      </c>
      <c r="C35" t="s">
        <v>21</v>
      </c>
      <c r="D35">
        <v>0</v>
      </c>
      <c r="E35">
        <v>1</v>
      </c>
      <c r="F35" t="s">
        <v>7</v>
      </c>
      <c r="G35" s="1">
        <f>IF(Table1[[#This Row],[PredAwayScore]] &gt; Table1[[#This Row],[PredHomeScore]], IF(Table1[[#This Row],[ActAwayScore]] &gt; Table1[[#This Row],[ActHomeScore]], 1, 0), IF(Table1[[#This Row],[ActHomeScore]] &gt; Table1[[#This Row],[ActAwayScore]], 1, 0))</f>
        <v>1</v>
      </c>
      <c r="H35" s="1">
        <f>IF(Table1[[#This Row],[PredResult]]=Table1[[#This Row],[ActResult]],1,IF(OR(AND(Table1[[#This Row],[PredResult]]="OT", Table1[[#This Row],[ActResult]]="SO"), AND(Table1[[#This Row],[PredResult]]="SO", Table1[[#This Row],[ActResult]]="OT")), 0.95, 0.85))</f>
        <v>0.85</v>
      </c>
      <c r="I35" s="1">
        <f>Table1[[#This Row],[ActAwayScore]]-Table1[[#This Row],[PredAwayScore]]</f>
        <v>0</v>
      </c>
      <c r="J35" s="1">
        <f>Table1[[#This Row],[ActHomeScore]]-Table1[[#This Row],[PredHomeScore]]</f>
        <v>0</v>
      </c>
      <c r="K35" s="1">
        <f>$U$2 - ABS(Table1[[#This Row],[DAwayScore]])</f>
        <v>8</v>
      </c>
      <c r="L35" s="1">
        <f>$U$2 - ABS(Table1[[#This Row],[DHomeScore]])</f>
        <v>8</v>
      </c>
      <c r="M35" s="1">
        <f>Table1[[#This Row],[CAwayScore]]/$U$2</f>
        <v>1</v>
      </c>
      <c r="N35" s="1">
        <f>Table1[[#This Row],[CHomeScore]]/$U$2</f>
        <v>1</v>
      </c>
      <c r="O35" s="1">
        <f>(Table1[[#This Row],[PAwayScore]]+Table1[[#This Row],[PHomeScore]])/2</f>
        <v>1</v>
      </c>
      <c r="P35" s="1">
        <f>IF(Table1[[#This Row],[CorrectWinner]]=1, 1, IF(OR(Table1[[#This Row],[ActResult]] = "OT", Table1[[#This Row],[ActResult]] = "SO"), 0.9,0.4)) * Table1[[#This Row],[CorrectResult]] * Table1[[#This Row],[Tscores]]</f>
        <v>0.85</v>
      </c>
    </row>
    <row r="36" spans="1:16" x14ac:dyDescent="0.25">
      <c r="A36">
        <v>2</v>
      </c>
      <c r="B36">
        <v>1</v>
      </c>
      <c r="C36" t="s">
        <v>7</v>
      </c>
      <c r="D36">
        <v>2</v>
      </c>
      <c r="E36">
        <v>0</v>
      </c>
      <c r="F36" t="s">
        <v>7</v>
      </c>
      <c r="G36" s="1">
        <f>IF(Table1[[#This Row],[PredAwayScore]] &gt; Table1[[#This Row],[PredHomeScore]], IF(Table1[[#This Row],[ActAwayScore]] &gt; Table1[[#This Row],[ActHomeScore]], 1, 0), IF(Table1[[#This Row],[ActHomeScore]] &gt; Table1[[#This Row],[ActAwayScore]], 1, 0))</f>
        <v>1</v>
      </c>
      <c r="H36" s="1">
        <f>IF(Table1[[#This Row],[PredResult]]=Table1[[#This Row],[ActResult]],1,IF(OR(AND(Table1[[#This Row],[PredResult]]="OT", Table1[[#This Row],[ActResult]]="SO"), AND(Table1[[#This Row],[PredResult]]="SO", Table1[[#This Row],[ActResult]]="OT")), 0.95, 0.85))</f>
        <v>1</v>
      </c>
      <c r="I36" s="1">
        <f>Table1[[#This Row],[ActAwayScore]]-Table1[[#This Row],[PredAwayScore]]</f>
        <v>0</v>
      </c>
      <c r="J36" s="1">
        <f>Table1[[#This Row],[ActHomeScore]]-Table1[[#This Row],[PredHomeScore]]</f>
        <v>-1</v>
      </c>
      <c r="K36" s="1">
        <f>$U$2 - ABS(Table1[[#This Row],[DAwayScore]])</f>
        <v>8</v>
      </c>
      <c r="L36" s="1">
        <f>$U$2 - ABS(Table1[[#This Row],[DHomeScore]])</f>
        <v>7</v>
      </c>
      <c r="M36" s="1">
        <f>Table1[[#This Row],[CAwayScore]]/$U$2</f>
        <v>1</v>
      </c>
      <c r="N36" s="1">
        <f>Table1[[#This Row],[CHomeScore]]/$U$2</f>
        <v>0.875</v>
      </c>
      <c r="O36" s="1">
        <f>(Table1[[#This Row],[PAwayScore]]+Table1[[#This Row],[PHomeScore]])/2</f>
        <v>0.9375</v>
      </c>
      <c r="P36" s="1">
        <f>IF(Table1[[#This Row],[CorrectWinner]]=1, 1, IF(OR(Table1[[#This Row],[ActResult]] = "OT", Table1[[#This Row],[ActResult]] = "SO"), 0.9,0.4)) * Table1[[#This Row],[CorrectResult]] * Table1[[#This Row],[Tscores]]</f>
        <v>0.9375</v>
      </c>
    </row>
    <row r="37" spans="1:16" x14ac:dyDescent="0.25">
      <c r="A37">
        <v>1</v>
      </c>
      <c r="B37">
        <v>0</v>
      </c>
      <c r="C37" t="s">
        <v>6</v>
      </c>
      <c r="D37">
        <v>1</v>
      </c>
      <c r="E37">
        <v>0</v>
      </c>
      <c r="F37" t="s">
        <v>21</v>
      </c>
      <c r="G37" s="1">
        <f>IF(Table1[[#This Row],[PredAwayScore]] &gt; Table1[[#This Row],[PredHomeScore]], IF(Table1[[#This Row],[ActAwayScore]] &gt; Table1[[#This Row],[ActHomeScore]], 1, 0), IF(Table1[[#This Row],[ActHomeScore]] &gt; Table1[[#This Row],[ActAwayScore]], 1, 0))</f>
        <v>1</v>
      </c>
      <c r="H37" s="1">
        <f>IF(Table1[[#This Row],[PredResult]]=Table1[[#This Row],[ActResult]],1,IF(OR(AND(Table1[[#This Row],[PredResult]]="OT", Table1[[#This Row],[ActResult]]="SO"), AND(Table1[[#This Row],[PredResult]]="SO", Table1[[#This Row],[ActResult]]="OT")), 0.95, 0.85))</f>
        <v>0.95</v>
      </c>
      <c r="I37" s="1">
        <f>Table1[[#This Row],[ActAwayScore]]-Table1[[#This Row],[PredAwayScore]]</f>
        <v>0</v>
      </c>
      <c r="J37" s="1">
        <f>Table1[[#This Row],[ActHomeScore]]-Table1[[#This Row],[PredHomeScore]]</f>
        <v>0</v>
      </c>
      <c r="K37" s="1">
        <f>$U$2 - ABS(Table1[[#This Row],[DAwayScore]])</f>
        <v>8</v>
      </c>
      <c r="L37" s="1">
        <f>$U$2 - ABS(Table1[[#This Row],[DHomeScore]])</f>
        <v>8</v>
      </c>
      <c r="M37" s="1">
        <f>Table1[[#This Row],[CAwayScore]]/$U$2</f>
        <v>1</v>
      </c>
      <c r="N37" s="1">
        <f>Table1[[#This Row],[CHomeScore]]/$U$2</f>
        <v>1</v>
      </c>
      <c r="O37" s="1">
        <f>(Table1[[#This Row],[PAwayScore]]+Table1[[#This Row],[PHomeScore]])/2</f>
        <v>1</v>
      </c>
      <c r="P37" s="1">
        <f>IF(Table1[[#This Row],[CorrectWinner]]=1, 1, IF(OR(Table1[[#This Row],[ActResult]] = "OT", Table1[[#This Row],[ActResult]] = "SO"), 0.9,0.4)) * Table1[[#This Row],[CorrectResult]] * Table1[[#This Row],[Tscores]]</f>
        <v>0.95</v>
      </c>
    </row>
    <row r="38" spans="1:16" x14ac:dyDescent="0.25">
      <c r="A38">
        <v>0</v>
      </c>
      <c r="B38">
        <v>1</v>
      </c>
      <c r="C38" t="s">
        <v>6</v>
      </c>
      <c r="D38">
        <v>0</v>
      </c>
      <c r="E38">
        <v>1</v>
      </c>
      <c r="F38" t="s">
        <v>21</v>
      </c>
      <c r="G38" s="1">
        <f>IF(Table1[[#This Row],[PredAwayScore]] &gt; Table1[[#This Row],[PredHomeScore]], IF(Table1[[#This Row],[ActAwayScore]] &gt; Table1[[#This Row],[ActHomeScore]], 1, 0), IF(Table1[[#This Row],[ActHomeScore]] &gt; Table1[[#This Row],[ActAwayScore]], 1, 0))</f>
        <v>1</v>
      </c>
      <c r="H38" s="1">
        <f>IF(Table1[[#This Row],[PredResult]]=Table1[[#This Row],[ActResult]],1,IF(OR(AND(Table1[[#This Row],[PredResult]]="OT", Table1[[#This Row],[ActResult]]="SO"), AND(Table1[[#This Row],[PredResult]]="SO", Table1[[#This Row],[ActResult]]="OT")), 0.95, 0.85))</f>
        <v>0.95</v>
      </c>
      <c r="I38" s="1">
        <f>Table1[[#This Row],[ActAwayScore]]-Table1[[#This Row],[PredAwayScore]]</f>
        <v>0</v>
      </c>
      <c r="J38" s="1">
        <f>Table1[[#This Row],[ActHomeScore]]-Table1[[#This Row],[PredHomeScore]]</f>
        <v>0</v>
      </c>
      <c r="K38" s="1">
        <f>$U$2 - ABS(Table1[[#This Row],[DAwayScore]])</f>
        <v>8</v>
      </c>
      <c r="L38" s="1">
        <f>$U$2 - ABS(Table1[[#This Row],[DHomeScore]])</f>
        <v>8</v>
      </c>
      <c r="M38" s="1">
        <f>Table1[[#This Row],[CAwayScore]]/$U$2</f>
        <v>1</v>
      </c>
      <c r="N38" s="1">
        <f>Table1[[#This Row],[CHomeScore]]/$U$2</f>
        <v>1</v>
      </c>
      <c r="O38" s="1">
        <f>(Table1[[#This Row],[PAwayScore]]+Table1[[#This Row],[PHomeScore]])/2</f>
        <v>1</v>
      </c>
      <c r="P38" s="1">
        <f>IF(Table1[[#This Row],[CorrectWinner]]=1, 1, IF(OR(Table1[[#This Row],[ActResult]] = "OT", Table1[[#This Row],[ActResult]] = "SO"), 0.9,0.4)) * Table1[[#This Row],[CorrectResult]] * Table1[[#This Row],[Tscores]]</f>
        <v>0.95</v>
      </c>
    </row>
    <row r="39" spans="1:16" x14ac:dyDescent="0.25">
      <c r="A39">
        <v>1</v>
      </c>
      <c r="B39">
        <v>0</v>
      </c>
      <c r="C39" t="s">
        <v>21</v>
      </c>
      <c r="D39">
        <v>1</v>
      </c>
      <c r="E39">
        <v>0</v>
      </c>
      <c r="F39" t="s">
        <v>6</v>
      </c>
      <c r="G39" s="1">
        <f>IF(Table1[[#This Row],[PredAwayScore]] &gt; Table1[[#This Row],[PredHomeScore]], IF(Table1[[#This Row],[ActAwayScore]] &gt; Table1[[#This Row],[ActHomeScore]], 1, 0), IF(Table1[[#This Row],[ActHomeScore]] &gt; Table1[[#This Row],[ActAwayScore]], 1, 0))</f>
        <v>1</v>
      </c>
      <c r="H39" s="1">
        <f>IF(Table1[[#This Row],[PredResult]]=Table1[[#This Row],[ActResult]],1,IF(OR(AND(Table1[[#This Row],[PredResult]]="OT", Table1[[#This Row],[ActResult]]="SO"), AND(Table1[[#This Row],[PredResult]]="SO", Table1[[#This Row],[ActResult]]="OT")), 0.95, 0.85))</f>
        <v>0.95</v>
      </c>
      <c r="I39" s="1">
        <f>Table1[[#This Row],[ActAwayScore]]-Table1[[#This Row],[PredAwayScore]]</f>
        <v>0</v>
      </c>
      <c r="J39" s="1">
        <f>Table1[[#This Row],[ActHomeScore]]-Table1[[#This Row],[PredHomeScore]]</f>
        <v>0</v>
      </c>
      <c r="K39" s="1">
        <f>$U$2 - ABS(Table1[[#This Row],[DAwayScore]])</f>
        <v>8</v>
      </c>
      <c r="L39" s="1">
        <f>$U$2 - ABS(Table1[[#This Row],[DHomeScore]])</f>
        <v>8</v>
      </c>
      <c r="M39" s="1">
        <f>Table1[[#This Row],[CAwayScore]]/$U$2</f>
        <v>1</v>
      </c>
      <c r="N39" s="1">
        <f>Table1[[#This Row],[CHomeScore]]/$U$2</f>
        <v>1</v>
      </c>
      <c r="O39" s="1">
        <f>(Table1[[#This Row],[PAwayScore]]+Table1[[#This Row],[PHomeScore]])/2</f>
        <v>1</v>
      </c>
      <c r="P39" s="1">
        <f>IF(Table1[[#This Row],[CorrectWinner]]=1, 1, IF(OR(Table1[[#This Row],[ActResult]] = "OT", Table1[[#This Row],[ActResult]] = "SO"), 0.9,0.4)) * Table1[[#This Row],[CorrectResult]] * Table1[[#This Row],[Tscores]]</f>
        <v>0.95</v>
      </c>
    </row>
    <row r="40" spans="1:16" x14ac:dyDescent="0.25">
      <c r="A40">
        <v>0</v>
      </c>
      <c r="B40">
        <v>1</v>
      </c>
      <c r="C40" t="s">
        <v>21</v>
      </c>
      <c r="D40">
        <v>0</v>
      </c>
      <c r="E40">
        <v>1</v>
      </c>
      <c r="F40" t="s">
        <v>6</v>
      </c>
      <c r="G40" s="1">
        <f>IF(Table1[[#This Row],[PredAwayScore]] &gt; Table1[[#This Row],[PredHomeScore]], IF(Table1[[#This Row],[ActAwayScore]] &gt; Table1[[#This Row],[ActHomeScore]], 1, 0), IF(Table1[[#This Row],[ActHomeScore]] &gt; Table1[[#This Row],[ActAwayScore]], 1, 0))</f>
        <v>1</v>
      </c>
      <c r="H40" s="1">
        <f>IF(Table1[[#This Row],[PredResult]]=Table1[[#This Row],[ActResult]],1,IF(OR(AND(Table1[[#This Row],[PredResult]]="OT", Table1[[#This Row],[ActResult]]="SO"), AND(Table1[[#This Row],[PredResult]]="SO", Table1[[#This Row],[ActResult]]="OT")), 0.95, 0.85))</f>
        <v>0.95</v>
      </c>
      <c r="I40" s="1">
        <f>Table1[[#This Row],[ActAwayScore]]-Table1[[#This Row],[PredAwayScore]]</f>
        <v>0</v>
      </c>
      <c r="J40" s="1">
        <f>Table1[[#This Row],[ActHomeScore]]-Table1[[#This Row],[PredHomeScore]]</f>
        <v>0</v>
      </c>
      <c r="K40" s="1">
        <f>$U$2 - ABS(Table1[[#This Row],[DAwayScore]])</f>
        <v>8</v>
      </c>
      <c r="L40" s="1">
        <f>$U$2 - ABS(Table1[[#This Row],[DHomeScore]])</f>
        <v>8</v>
      </c>
      <c r="M40" s="1">
        <f>Table1[[#This Row],[CAwayScore]]/$U$2</f>
        <v>1</v>
      </c>
      <c r="N40" s="1">
        <f>Table1[[#This Row],[CHomeScore]]/$U$2</f>
        <v>1</v>
      </c>
      <c r="O40" s="1">
        <f>(Table1[[#This Row],[PAwayScore]]+Table1[[#This Row],[PHomeScore]])/2</f>
        <v>1</v>
      </c>
      <c r="P40" s="1">
        <f>IF(Table1[[#This Row],[CorrectWinner]]=1, 1, IF(OR(Table1[[#This Row],[ActResult]] = "OT", Table1[[#This Row],[ActResult]] = "SO"), 0.9,0.4)) * Table1[[#This Row],[CorrectResult]] * Table1[[#This Row],[Tscores]]</f>
        <v>0.95</v>
      </c>
    </row>
    <row r="41" spans="1:16" x14ac:dyDescent="0.25">
      <c r="A41">
        <v>1</v>
      </c>
      <c r="B41">
        <v>0</v>
      </c>
      <c r="C41" t="s">
        <v>7</v>
      </c>
      <c r="D41">
        <v>1</v>
      </c>
      <c r="E41">
        <v>0</v>
      </c>
      <c r="F41" t="s">
        <v>7</v>
      </c>
      <c r="G41" s="1">
        <f>IF(Table1[[#This Row],[PredAwayScore]] &gt; Table1[[#This Row],[PredHomeScore]], IF(Table1[[#This Row],[ActAwayScore]] &gt; Table1[[#This Row],[ActHomeScore]], 1, 0), IF(Table1[[#This Row],[ActHomeScore]] &gt; Table1[[#This Row],[ActAwayScore]], 1, 0))</f>
        <v>1</v>
      </c>
      <c r="H41" s="1">
        <f>IF(Table1[[#This Row],[PredResult]]=Table1[[#This Row],[ActResult]],1,IF(OR(AND(Table1[[#This Row],[PredResult]]="OT", Table1[[#This Row],[ActResult]]="SO"), AND(Table1[[#This Row],[PredResult]]="SO", Table1[[#This Row],[ActResult]]="OT")), 0.95, 0.85))</f>
        <v>1</v>
      </c>
      <c r="I41" s="1">
        <f>Table1[[#This Row],[ActAwayScore]]-Table1[[#This Row],[PredAwayScore]]</f>
        <v>0</v>
      </c>
      <c r="J41" s="1">
        <f>Table1[[#This Row],[ActHomeScore]]-Table1[[#This Row],[PredHomeScore]]</f>
        <v>0</v>
      </c>
      <c r="K41" s="1">
        <f>$U$2 - ABS(Table1[[#This Row],[DAwayScore]])</f>
        <v>8</v>
      </c>
      <c r="L41" s="1">
        <f>$U$2 - ABS(Table1[[#This Row],[DHomeScore]])</f>
        <v>8</v>
      </c>
      <c r="M41" s="1">
        <f>Table1[[#This Row],[CAwayScore]]/$U$2</f>
        <v>1</v>
      </c>
      <c r="N41" s="1">
        <f>Table1[[#This Row],[CHomeScore]]/$U$2</f>
        <v>1</v>
      </c>
      <c r="O41" s="1">
        <f>(Table1[[#This Row],[PAwayScore]]+Table1[[#This Row],[PHomeScore]])/2</f>
        <v>1</v>
      </c>
      <c r="P41" s="1">
        <f>IF(Table1[[#This Row],[CorrectWinner]]=1, 1, IF(OR(Table1[[#This Row],[ActResult]] = "OT", Table1[[#This Row],[ActResult]] = "SO"), 0.9,0.4)) * Table1[[#This Row],[CorrectResult]] * Table1[[#This Row],[Tscores]]</f>
        <v>1</v>
      </c>
    </row>
    <row r="42" spans="1:16" x14ac:dyDescent="0.25">
      <c r="A42">
        <v>0</v>
      </c>
      <c r="B42">
        <v>1</v>
      </c>
      <c r="C42" t="s">
        <v>7</v>
      </c>
      <c r="D42">
        <v>0</v>
      </c>
      <c r="E42">
        <v>1</v>
      </c>
      <c r="F42" t="s">
        <v>7</v>
      </c>
      <c r="G42" s="1">
        <f>IF(Table1[[#This Row],[PredAwayScore]] &gt; Table1[[#This Row],[PredHomeScore]], IF(Table1[[#This Row],[ActAwayScore]] &gt; Table1[[#This Row],[ActHomeScore]], 1, 0), IF(Table1[[#This Row],[ActHomeScore]] &gt; Table1[[#This Row],[ActAwayScore]], 1, 0))</f>
        <v>1</v>
      </c>
      <c r="H42" s="1">
        <f>IF(Table1[[#This Row],[PredResult]]=Table1[[#This Row],[ActResult]],1,IF(OR(AND(Table1[[#This Row],[PredResult]]="OT", Table1[[#This Row],[ActResult]]="SO"), AND(Table1[[#This Row],[PredResult]]="SO", Table1[[#This Row],[ActResult]]="OT")), 0.95, 0.85))</f>
        <v>1</v>
      </c>
      <c r="I42" s="1">
        <f>Table1[[#This Row],[ActAwayScore]]-Table1[[#This Row],[PredAwayScore]]</f>
        <v>0</v>
      </c>
      <c r="J42" s="1">
        <f>Table1[[#This Row],[ActHomeScore]]-Table1[[#This Row],[PredHomeScore]]</f>
        <v>0</v>
      </c>
      <c r="K42" s="1">
        <f>$U$2 - ABS(Table1[[#This Row],[DAwayScore]])</f>
        <v>8</v>
      </c>
      <c r="L42" s="1">
        <f>$U$2 - ABS(Table1[[#This Row],[DHomeScore]])</f>
        <v>8</v>
      </c>
      <c r="M42" s="1">
        <f>Table1[[#This Row],[CAwayScore]]/$U$2</f>
        <v>1</v>
      </c>
      <c r="N42" s="1">
        <f>Table1[[#This Row],[CHomeScore]]/$U$2</f>
        <v>1</v>
      </c>
      <c r="O42" s="1">
        <f>(Table1[[#This Row],[PAwayScore]]+Table1[[#This Row],[PHomeScore]])/2</f>
        <v>1</v>
      </c>
      <c r="P42" s="1">
        <f>IF(Table1[[#This Row],[CorrectWinner]]=1, 1, IF(OR(Table1[[#This Row],[ActResult]] = "OT", Table1[[#This Row],[ActResult]] = "SO"), 0.9,0.4)) * Table1[[#This Row],[CorrectResult]] * Table1[[#This Row],[Tscores]]</f>
        <v>1</v>
      </c>
    </row>
    <row r="43" spans="1:16" x14ac:dyDescent="0.25">
      <c r="A43">
        <v>1</v>
      </c>
      <c r="B43">
        <v>0</v>
      </c>
      <c r="C43" t="s">
        <v>6</v>
      </c>
      <c r="D43">
        <v>1</v>
      </c>
      <c r="E43">
        <v>0</v>
      </c>
      <c r="F43" t="s">
        <v>6</v>
      </c>
      <c r="G43" s="1">
        <f>IF(Table1[[#This Row],[PredAwayScore]] &gt; Table1[[#This Row],[PredHomeScore]], IF(Table1[[#This Row],[ActAwayScore]] &gt; Table1[[#This Row],[ActHomeScore]], 1, 0), IF(Table1[[#This Row],[ActHomeScore]] &gt; Table1[[#This Row],[ActAwayScore]], 1, 0))</f>
        <v>1</v>
      </c>
      <c r="H43" s="1">
        <f>IF(Table1[[#This Row],[PredResult]]=Table1[[#This Row],[ActResult]],1,IF(OR(AND(Table1[[#This Row],[PredResult]]="OT", Table1[[#This Row],[ActResult]]="SO"), AND(Table1[[#This Row],[PredResult]]="SO", Table1[[#This Row],[ActResult]]="OT")), 0.95, 0.85))</f>
        <v>1</v>
      </c>
      <c r="I43" s="1">
        <f>Table1[[#This Row],[ActAwayScore]]-Table1[[#This Row],[PredAwayScore]]</f>
        <v>0</v>
      </c>
      <c r="J43" s="1">
        <f>Table1[[#This Row],[ActHomeScore]]-Table1[[#This Row],[PredHomeScore]]</f>
        <v>0</v>
      </c>
      <c r="K43" s="1">
        <f>$U$2 - ABS(Table1[[#This Row],[DAwayScore]])</f>
        <v>8</v>
      </c>
      <c r="L43" s="1">
        <f>$U$2 - ABS(Table1[[#This Row],[DHomeScore]])</f>
        <v>8</v>
      </c>
      <c r="M43" s="1">
        <f>Table1[[#This Row],[CAwayScore]]/$U$2</f>
        <v>1</v>
      </c>
      <c r="N43" s="1">
        <f>Table1[[#This Row],[CHomeScore]]/$U$2</f>
        <v>1</v>
      </c>
      <c r="O43" s="1">
        <f>(Table1[[#This Row],[PAwayScore]]+Table1[[#This Row],[PHomeScore]])/2</f>
        <v>1</v>
      </c>
      <c r="P43" s="1">
        <f>IF(Table1[[#This Row],[CorrectWinner]]=1, 1, IF(OR(Table1[[#This Row],[ActResult]] = "OT", Table1[[#This Row],[ActResult]] = "SO"), 0.9,0.4)) * Table1[[#This Row],[CorrectResult]] * Table1[[#This Row],[Tscores]]</f>
        <v>1</v>
      </c>
    </row>
    <row r="44" spans="1:16" x14ac:dyDescent="0.25">
      <c r="A44">
        <v>0</v>
      </c>
      <c r="B44">
        <v>1</v>
      </c>
      <c r="C44" t="s">
        <v>6</v>
      </c>
      <c r="D44">
        <v>0</v>
      </c>
      <c r="E44">
        <v>1</v>
      </c>
      <c r="F44" t="s">
        <v>6</v>
      </c>
      <c r="G44" s="1">
        <f>IF(Table1[[#This Row],[PredAwayScore]] &gt; Table1[[#This Row],[PredHomeScore]], IF(Table1[[#This Row],[ActAwayScore]] &gt; Table1[[#This Row],[ActHomeScore]], 1, 0), IF(Table1[[#This Row],[ActHomeScore]] &gt; Table1[[#This Row],[ActAwayScore]], 1, 0))</f>
        <v>1</v>
      </c>
      <c r="H44" s="1">
        <f>IF(Table1[[#This Row],[PredResult]]=Table1[[#This Row],[ActResult]],1,IF(OR(AND(Table1[[#This Row],[PredResult]]="OT", Table1[[#This Row],[ActResult]]="SO"), AND(Table1[[#This Row],[PredResult]]="SO", Table1[[#This Row],[ActResult]]="OT")), 0.95, 0.85))</f>
        <v>1</v>
      </c>
      <c r="I44" s="1">
        <f>Table1[[#This Row],[ActAwayScore]]-Table1[[#This Row],[PredAwayScore]]</f>
        <v>0</v>
      </c>
      <c r="J44" s="1">
        <f>Table1[[#This Row],[ActHomeScore]]-Table1[[#This Row],[PredHomeScore]]</f>
        <v>0</v>
      </c>
      <c r="K44" s="1">
        <f>$U$2 - ABS(Table1[[#This Row],[DAwayScore]])</f>
        <v>8</v>
      </c>
      <c r="L44" s="1">
        <f>$U$2 - ABS(Table1[[#This Row],[DHomeScore]])</f>
        <v>8</v>
      </c>
      <c r="M44" s="1">
        <f>Table1[[#This Row],[CAwayScore]]/$U$2</f>
        <v>1</v>
      </c>
      <c r="N44" s="1">
        <f>Table1[[#This Row],[CHomeScore]]/$U$2</f>
        <v>1</v>
      </c>
      <c r="O44" s="1">
        <f>(Table1[[#This Row],[PAwayScore]]+Table1[[#This Row],[PHomeScore]])/2</f>
        <v>1</v>
      </c>
      <c r="P44" s="1">
        <f>IF(Table1[[#This Row],[CorrectWinner]]=1, 1, IF(OR(Table1[[#This Row],[ActResult]] = "OT", Table1[[#This Row],[ActResult]] = "SO"), 0.9,0.4)) * Table1[[#This Row],[CorrectResult]] * Table1[[#This Row],[Tscores]]</f>
        <v>1</v>
      </c>
    </row>
    <row r="45" spans="1:16" x14ac:dyDescent="0.25">
      <c r="A45">
        <v>1</v>
      </c>
      <c r="B45">
        <v>0</v>
      </c>
      <c r="C45" t="s">
        <v>21</v>
      </c>
      <c r="D45">
        <v>1</v>
      </c>
      <c r="E45">
        <v>0</v>
      </c>
      <c r="F45" t="s">
        <v>21</v>
      </c>
      <c r="G45" s="1">
        <f>IF(Table1[[#This Row],[PredAwayScore]] &gt; Table1[[#This Row],[PredHomeScore]], IF(Table1[[#This Row],[ActAwayScore]] &gt; Table1[[#This Row],[ActHomeScore]], 1, 0), IF(Table1[[#This Row],[ActHomeScore]] &gt; Table1[[#This Row],[ActAwayScore]], 1, 0))</f>
        <v>1</v>
      </c>
      <c r="H45" s="1">
        <f>IF(Table1[[#This Row],[PredResult]]=Table1[[#This Row],[ActResult]],1,IF(OR(AND(Table1[[#This Row],[PredResult]]="OT", Table1[[#This Row],[ActResult]]="SO"), AND(Table1[[#This Row],[PredResult]]="SO", Table1[[#This Row],[ActResult]]="OT")), 0.95, 0.85))</f>
        <v>1</v>
      </c>
      <c r="I45" s="1">
        <f>Table1[[#This Row],[ActAwayScore]]-Table1[[#This Row],[PredAwayScore]]</f>
        <v>0</v>
      </c>
      <c r="J45" s="1">
        <f>Table1[[#This Row],[ActHomeScore]]-Table1[[#This Row],[PredHomeScore]]</f>
        <v>0</v>
      </c>
      <c r="K45" s="1">
        <f>$U$2 - ABS(Table1[[#This Row],[DAwayScore]])</f>
        <v>8</v>
      </c>
      <c r="L45" s="1">
        <f>$U$2 - ABS(Table1[[#This Row],[DHomeScore]])</f>
        <v>8</v>
      </c>
      <c r="M45" s="1">
        <f>Table1[[#This Row],[CAwayScore]]/$U$2</f>
        <v>1</v>
      </c>
      <c r="N45" s="1">
        <f>Table1[[#This Row],[CHomeScore]]/$U$2</f>
        <v>1</v>
      </c>
      <c r="O45" s="1">
        <f>(Table1[[#This Row],[PAwayScore]]+Table1[[#This Row],[PHomeScore]])/2</f>
        <v>1</v>
      </c>
      <c r="P45" s="1">
        <f>IF(Table1[[#This Row],[CorrectWinner]]=1, 1, IF(OR(Table1[[#This Row],[ActResult]] = "OT", Table1[[#This Row],[ActResult]] = "SO"), 0.9,0.4)) * Table1[[#This Row],[CorrectResult]] * Table1[[#This Row],[Tscores]]</f>
        <v>1</v>
      </c>
    </row>
    <row r="46" spans="1:16" x14ac:dyDescent="0.25">
      <c r="A46">
        <v>0</v>
      </c>
      <c r="B46">
        <v>1</v>
      </c>
      <c r="C46" t="s">
        <v>21</v>
      </c>
      <c r="D46">
        <v>0</v>
      </c>
      <c r="E46">
        <v>1</v>
      </c>
      <c r="F46" t="s">
        <v>21</v>
      </c>
      <c r="G46" s="1">
        <f>IF(Table1[[#This Row],[PredAwayScore]] &gt; Table1[[#This Row],[PredHomeScore]], IF(Table1[[#This Row],[ActAwayScore]] &gt; Table1[[#This Row],[ActHomeScore]], 1, 0), IF(Table1[[#This Row],[ActHomeScore]] &gt; Table1[[#This Row],[ActAwayScore]], 1, 0))</f>
        <v>1</v>
      </c>
      <c r="H46" s="1">
        <f>IF(Table1[[#This Row],[PredResult]]=Table1[[#This Row],[ActResult]],1,IF(OR(AND(Table1[[#This Row],[PredResult]]="OT", Table1[[#This Row],[ActResult]]="SO"), AND(Table1[[#This Row],[PredResult]]="SO", Table1[[#This Row],[ActResult]]="OT")), 0.95, 0.85))</f>
        <v>1</v>
      </c>
      <c r="I46" s="1">
        <f>Table1[[#This Row],[ActAwayScore]]-Table1[[#This Row],[PredAwayScore]]</f>
        <v>0</v>
      </c>
      <c r="J46" s="1">
        <f>Table1[[#This Row],[ActHomeScore]]-Table1[[#This Row],[PredHomeScore]]</f>
        <v>0</v>
      </c>
      <c r="K46" s="1">
        <f>$U$2 - ABS(Table1[[#This Row],[DAwayScore]])</f>
        <v>8</v>
      </c>
      <c r="L46" s="1">
        <f>$U$2 - ABS(Table1[[#This Row],[DHomeScore]])</f>
        <v>8</v>
      </c>
      <c r="M46" s="1">
        <f>Table1[[#This Row],[CAwayScore]]/$U$2</f>
        <v>1</v>
      </c>
      <c r="N46" s="1">
        <f>Table1[[#This Row],[CHomeScore]]/$U$2</f>
        <v>1</v>
      </c>
      <c r="O46" s="1">
        <f>(Table1[[#This Row],[PAwayScore]]+Table1[[#This Row],[PHomeScore]])/2</f>
        <v>1</v>
      </c>
      <c r="P46" s="1">
        <f>IF(Table1[[#This Row],[CorrectWinner]]=1, 1, IF(OR(Table1[[#This Row],[ActResult]] = "OT", Table1[[#This Row],[ActResult]] = "SO"), 0.9,0.4)) * Table1[[#This Row],[CorrectResult]] * Table1[[#This Row],[Tscores]]</f>
        <v>1</v>
      </c>
    </row>
  </sheetData>
  <conditionalFormatting sqref="P1:P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:B1048576 D1:E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Jordan Briggs</dc:creator>
  <cp:lastModifiedBy>Avery Jordan Briggs</cp:lastModifiedBy>
  <dcterms:created xsi:type="dcterms:W3CDTF">2026-01-08T03:31:10Z</dcterms:created>
  <dcterms:modified xsi:type="dcterms:W3CDTF">2026-01-08T05:17:31Z</dcterms:modified>
</cp:coreProperties>
</file>