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Hockey pool\2026\"/>
    </mc:Choice>
  </mc:AlternateContent>
  <xr:revisionPtr revIDLastSave="0" documentId="13_ncr:1_{329DA8A8-3F75-4F25-AAD1-EBCF3C2BA64E}" xr6:coauthVersionLast="47" xr6:coauthVersionMax="47" xr10:uidLastSave="{00000000-0000-0000-0000-000000000000}"/>
  <bookViews>
    <workbookView xWindow="-120" yWindow="-120" windowWidth="29040" windowHeight="15840" xr2:uid="{CCC5B65E-930E-4DB7-8BD5-D516C728E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78" i="1" l="1"/>
  <c r="AC78" i="1"/>
  <c r="AD78" i="1"/>
  <c r="AE78" i="1" s="1"/>
  <c r="AB79" i="1"/>
  <c r="AC79" i="1"/>
  <c r="AD79" i="1"/>
  <c r="AE79" i="1"/>
  <c r="AF79" i="1"/>
  <c r="AG79" i="1"/>
  <c r="AH79" i="1"/>
  <c r="AI79" i="1"/>
  <c r="AB80" i="1"/>
  <c r="AC80" i="1"/>
  <c r="AD80" i="1"/>
  <c r="AG80" i="1" s="1"/>
  <c r="AE80" i="1"/>
  <c r="AF80" i="1"/>
  <c r="AB81" i="1"/>
  <c r="AC81" i="1"/>
  <c r="AD81" i="1"/>
  <c r="AI81" i="1" s="1"/>
  <c r="J81" i="1"/>
  <c r="J80" i="1"/>
  <c r="O80" i="1" s="1"/>
  <c r="J79" i="1"/>
  <c r="O79" i="1" s="1"/>
  <c r="K81" i="1"/>
  <c r="O81" i="1" s="1"/>
  <c r="K80" i="1"/>
  <c r="K79" i="1"/>
  <c r="N79" i="1" s="1"/>
  <c r="N81" i="1"/>
  <c r="N80" i="1"/>
  <c r="O78" i="1"/>
  <c r="K78" i="1"/>
  <c r="N78" i="1" s="1"/>
  <c r="J78" i="1"/>
  <c r="A78" i="1"/>
  <c r="B78" i="1"/>
  <c r="B79" i="1"/>
  <c r="A79" i="1" s="1"/>
  <c r="B80" i="1"/>
  <c r="A80" i="1" s="1"/>
  <c r="B81" i="1"/>
  <c r="A81" i="1" s="1"/>
  <c r="C78" i="1"/>
  <c r="C79" i="1"/>
  <c r="C80" i="1"/>
  <c r="C81" i="1"/>
  <c r="P78" i="1"/>
  <c r="P79" i="1"/>
  <c r="P80" i="1"/>
  <c r="P81" i="1"/>
  <c r="Y78" i="1"/>
  <c r="Y79" i="1"/>
  <c r="Y80" i="1"/>
  <c r="Y81" i="1"/>
  <c r="Z78" i="1"/>
  <c r="Z79" i="1"/>
  <c r="Z80" i="1"/>
  <c r="Z81" i="1"/>
  <c r="AA78" i="1"/>
  <c r="AA79" i="1"/>
  <c r="AA80" i="1"/>
  <c r="AA81" i="1"/>
  <c r="A77" i="1"/>
  <c r="Y77" i="1"/>
  <c r="AB77" i="1"/>
  <c r="AC77" i="1"/>
  <c r="AD77" i="1"/>
  <c r="AE77" i="1" s="1"/>
  <c r="K77" i="1"/>
  <c r="N77" i="1" s="1"/>
  <c r="J77" i="1"/>
  <c r="O77" i="1" s="1"/>
  <c r="AA77" i="1" s="1"/>
  <c r="B77" i="1"/>
  <c r="C77" i="1"/>
  <c r="AI78" i="1" l="1"/>
  <c r="AH81" i="1"/>
  <c r="AH78" i="1"/>
  <c r="AG81" i="1"/>
  <c r="AI80" i="1"/>
  <c r="AG78" i="1"/>
  <c r="AF81" i="1"/>
  <c r="AH80" i="1"/>
  <c r="AF78" i="1"/>
  <c r="AE81" i="1"/>
  <c r="P77" i="1"/>
  <c r="Z77" i="1" s="1"/>
  <c r="AG77" i="1"/>
  <c r="AI77" i="1"/>
  <c r="AF77" i="1"/>
  <c r="AH77" i="1"/>
  <c r="K76" i="1" l="1"/>
  <c r="O76" i="1" s="1"/>
  <c r="K75" i="1"/>
  <c r="O75" i="1" s="1"/>
  <c r="K74" i="1"/>
  <c r="O74" i="1" s="1"/>
  <c r="K73" i="1"/>
  <c r="O73" i="1" s="1"/>
  <c r="K72" i="1"/>
  <c r="N72" i="1" s="1"/>
  <c r="K71" i="1"/>
  <c r="N71" i="1" s="1"/>
  <c r="K70" i="1"/>
  <c r="N70" i="1" s="1"/>
  <c r="K69" i="1"/>
  <c r="N69" i="1" s="1"/>
  <c r="K68" i="1"/>
  <c r="N68" i="1" s="1"/>
  <c r="K67" i="1"/>
  <c r="O67" i="1" s="1"/>
  <c r="K66" i="1"/>
  <c r="O66" i="1" s="1"/>
  <c r="K65" i="1"/>
  <c r="N65" i="1" s="1"/>
  <c r="K64" i="1"/>
  <c r="N64" i="1" s="1"/>
  <c r="K63" i="1"/>
  <c r="N63" i="1" s="1"/>
  <c r="K62" i="1"/>
  <c r="O62" i="1" s="1"/>
  <c r="K61" i="1"/>
  <c r="O61" i="1" s="1"/>
  <c r="K60" i="1"/>
  <c r="O60" i="1" s="1"/>
  <c r="K59" i="1"/>
  <c r="O59" i="1" s="1"/>
  <c r="K58" i="1"/>
  <c r="O58" i="1" s="1"/>
  <c r="K57" i="1"/>
  <c r="O57" i="1" s="1"/>
  <c r="K56" i="1"/>
  <c r="O56" i="1" s="1"/>
  <c r="K55" i="1"/>
  <c r="N55" i="1" s="1"/>
  <c r="K54" i="1"/>
  <c r="O54" i="1" s="1"/>
  <c r="K53" i="1"/>
  <c r="N53" i="1" s="1"/>
  <c r="K52" i="1"/>
  <c r="N52" i="1" s="1"/>
  <c r="K51" i="1"/>
  <c r="N51" i="1" s="1"/>
  <c r="K50" i="1"/>
  <c r="N50" i="1" s="1"/>
  <c r="K49" i="1"/>
  <c r="N49" i="1" s="1"/>
  <c r="K48" i="1"/>
  <c r="N48" i="1" s="1"/>
  <c r="K47" i="1"/>
  <c r="N47" i="1" s="1"/>
  <c r="K46" i="1"/>
  <c r="N46" i="1" s="1"/>
  <c r="K45" i="1"/>
  <c r="O45" i="1" s="1"/>
  <c r="K44" i="1"/>
  <c r="O44" i="1" s="1"/>
  <c r="K43" i="1"/>
  <c r="O43" i="1" s="1"/>
  <c r="K42" i="1"/>
  <c r="O42" i="1" s="1"/>
  <c r="K41" i="1"/>
  <c r="O41" i="1" s="1"/>
  <c r="K40" i="1"/>
  <c r="N40" i="1" s="1"/>
  <c r="K39" i="1"/>
  <c r="O39" i="1" s="1"/>
  <c r="K38" i="1"/>
  <c r="N38" i="1" s="1"/>
  <c r="K37" i="1"/>
  <c r="N37" i="1" s="1"/>
  <c r="K36" i="1"/>
  <c r="N36" i="1" s="1"/>
  <c r="K35" i="1"/>
  <c r="N35" i="1" s="1"/>
  <c r="K34" i="1"/>
  <c r="O34" i="1" s="1"/>
  <c r="K33" i="1"/>
  <c r="N33" i="1" s="1"/>
  <c r="K32" i="1"/>
  <c r="O32" i="1" s="1"/>
  <c r="K31" i="1"/>
  <c r="O31" i="1" s="1"/>
  <c r="K30" i="1"/>
  <c r="O30" i="1" s="1"/>
  <c r="K29" i="1"/>
  <c r="O29" i="1" s="1"/>
  <c r="K28" i="1"/>
  <c r="O28" i="1" s="1"/>
  <c r="K27" i="1"/>
  <c r="O27" i="1" s="1"/>
  <c r="K26" i="1"/>
  <c r="O26" i="1" s="1"/>
  <c r="K25" i="1"/>
  <c r="O25" i="1" s="1"/>
  <c r="K24" i="1"/>
  <c r="O24" i="1" s="1"/>
  <c r="K23" i="1"/>
  <c r="O23" i="1" s="1"/>
  <c r="K22" i="1"/>
  <c r="O22" i="1" s="1"/>
  <c r="K21" i="1"/>
  <c r="O21" i="1" s="1"/>
  <c r="K20" i="1"/>
  <c r="O20" i="1" s="1"/>
  <c r="K19" i="1"/>
  <c r="N19" i="1" s="1"/>
  <c r="K18" i="1"/>
  <c r="O18" i="1" s="1"/>
  <c r="K17" i="1"/>
  <c r="O17" i="1" s="1"/>
  <c r="K16" i="1"/>
  <c r="N16" i="1" s="1"/>
  <c r="K15" i="1"/>
  <c r="N15" i="1" s="1"/>
  <c r="K14" i="1"/>
  <c r="N14" i="1" s="1"/>
  <c r="K13" i="1"/>
  <c r="N13" i="1" s="1"/>
  <c r="K12" i="1"/>
  <c r="N12" i="1" s="1"/>
  <c r="K11" i="1"/>
  <c r="N11" i="1" s="1"/>
  <c r="K10" i="1"/>
  <c r="N10" i="1" s="1"/>
  <c r="K9" i="1"/>
  <c r="N9" i="1" s="1"/>
  <c r="K8" i="1"/>
  <c r="N8" i="1" s="1"/>
  <c r="K7" i="1"/>
  <c r="N7" i="1" s="1"/>
  <c r="K6" i="1"/>
  <c r="N6" i="1" s="1"/>
  <c r="K5" i="1"/>
  <c r="N5" i="1" s="1"/>
  <c r="K4" i="1"/>
  <c r="N4" i="1" s="1"/>
  <c r="K3" i="1"/>
  <c r="N3" i="1" s="1"/>
  <c r="K2" i="1"/>
  <c r="N2" i="1" s="1"/>
  <c r="J76" i="1"/>
  <c r="N76" i="1" s="1"/>
  <c r="J75" i="1"/>
  <c r="N75" i="1" s="1"/>
  <c r="J74" i="1"/>
  <c r="N74" i="1" s="1"/>
  <c r="J73" i="1"/>
  <c r="N73" i="1" s="1"/>
  <c r="J72" i="1"/>
  <c r="O72" i="1" s="1"/>
  <c r="J71" i="1"/>
  <c r="O71" i="1" s="1"/>
  <c r="J70" i="1"/>
  <c r="O70" i="1" s="1"/>
  <c r="J69" i="1"/>
  <c r="O69" i="1" s="1"/>
  <c r="J68" i="1"/>
  <c r="O68" i="1" s="1"/>
  <c r="J67" i="1"/>
  <c r="N67" i="1" s="1"/>
  <c r="J66" i="1"/>
  <c r="N66" i="1" s="1"/>
  <c r="J65" i="1"/>
  <c r="O65" i="1" s="1"/>
  <c r="J64" i="1"/>
  <c r="O64" i="1" s="1"/>
  <c r="J63" i="1"/>
  <c r="O63" i="1" s="1"/>
  <c r="J62" i="1"/>
  <c r="N62" i="1" s="1"/>
  <c r="J61" i="1"/>
  <c r="N61" i="1" s="1"/>
  <c r="J60" i="1"/>
  <c r="N60" i="1" s="1"/>
  <c r="J59" i="1"/>
  <c r="N59" i="1" s="1"/>
  <c r="J58" i="1"/>
  <c r="N58" i="1" s="1"/>
  <c r="J57" i="1"/>
  <c r="N57" i="1" s="1"/>
  <c r="J56" i="1"/>
  <c r="N56" i="1" s="1"/>
  <c r="J55" i="1"/>
  <c r="O55" i="1" s="1"/>
  <c r="J54" i="1"/>
  <c r="N54" i="1" s="1"/>
  <c r="J53" i="1"/>
  <c r="O53" i="1" s="1"/>
  <c r="J52" i="1"/>
  <c r="O52" i="1" s="1"/>
  <c r="J51" i="1"/>
  <c r="O51" i="1" s="1"/>
  <c r="J50" i="1"/>
  <c r="O50" i="1" s="1"/>
  <c r="J49" i="1"/>
  <c r="O49" i="1" s="1"/>
  <c r="J48" i="1"/>
  <c r="O48" i="1" s="1"/>
  <c r="J47" i="1"/>
  <c r="O47" i="1" s="1"/>
  <c r="J46" i="1"/>
  <c r="O46" i="1" s="1"/>
  <c r="J45" i="1"/>
  <c r="N45" i="1" s="1"/>
  <c r="J44" i="1"/>
  <c r="N44" i="1" s="1"/>
  <c r="J43" i="1"/>
  <c r="N43" i="1" s="1"/>
  <c r="J42" i="1"/>
  <c r="N42" i="1" s="1"/>
  <c r="J41" i="1"/>
  <c r="N41" i="1" s="1"/>
  <c r="J40" i="1"/>
  <c r="O40" i="1" s="1"/>
  <c r="J39" i="1"/>
  <c r="N39" i="1" s="1"/>
  <c r="J38" i="1"/>
  <c r="O38" i="1" s="1"/>
  <c r="J37" i="1"/>
  <c r="O37" i="1" s="1"/>
  <c r="J36" i="1"/>
  <c r="O36" i="1" s="1"/>
  <c r="J35" i="1"/>
  <c r="O35" i="1" s="1"/>
  <c r="J34" i="1"/>
  <c r="N34" i="1" s="1"/>
  <c r="J33" i="1"/>
  <c r="O33" i="1" s="1"/>
  <c r="J32" i="1"/>
  <c r="N32" i="1" s="1"/>
  <c r="J31" i="1"/>
  <c r="N31" i="1" s="1"/>
  <c r="J30" i="1"/>
  <c r="N30" i="1" s="1"/>
  <c r="J29" i="1"/>
  <c r="N29" i="1" s="1"/>
  <c r="J28" i="1"/>
  <c r="N28" i="1" s="1"/>
  <c r="J27" i="1"/>
  <c r="N27" i="1" s="1"/>
  <c r="J26" i="1"/>
  <c r="N26" i="1" s="1"/>
  <c r="J25" i="1"/>
  <c r="N25" i="1" s="1"/>
  <c r="J24" i="1"/>
  <c r="N24" i="1" s="1"/>
  <c r="J23" i="1"/>
  <c r="N23" i="1" s="1"/>
  <c r="J22" i="1"/>
  <c r="N22" i="1" s="1"/>
  <c r="J21" i="1"/>
  <c r="N21" i="1" s="1"/>
  <c r="J20" i="1"/>
  <c r="N20" i="1" s="1"/>
  <c r="J19" i="1"/>
  <c r="O19" i="1" s="1"/>
  <c r="J18" i="1"/>
  <c r="N18" i="1" s="1"/>
  <c r="J17" i="1"/>
  <c r="N17" i="1" s="1"/>
  <c r="J16" i="1"/>
  <c r="O16" i="1" s="1"/>
  <c r="J15" i="1"/>
  <c r="O15" i="1" s="1"/>
  <c r="J14" i="1"/>
  <c r="O14" i="1" s="1"/>
  <c r="J13" i="1"/>
  <c r="O13" i="1" s="1"/>
  <c r="J12" i="1"/>
  <c r="O12" i="1" s="1"/>
  <c r="J11" i="1"/>
  <c r="O11" i="1" s="1"/>
  <c r="J10" i="1"/>
  <c r="O10" i="1" s="1"/>
  <c r="J9" i="1"/>
  <c r="O9" i="1" s="1"/>
  <c r="J8" i="1"/>
  <c r="O8" i="1" s="1"/>
  <c r="J7" i="1"/>
  <c r="O7" i="1" s="1"/>
  <c r="J6" i="1"/>
  <c r="O6" i="1" s="1"/>
  <c r="J5" i="1"/>
  <c r="O5" i="1" s="1"/>
  <c r="J4" i="1"/>
  <c r="O4" i="1" s="1"/>
  <c r="J3" i="1"/>
  <c r="O3" i="1" s="1"/>
  <c r="J2" i="1"/>
  <c r="O2" i="1" s="1"/>
  <c r="AC68" i="1"/>
  <c r="AC69" i="1"/>
  <c r="AC70" i="1"/>
  <c r="AC71" i="1"/>
  <c r="AC72" i="1"/>
  <c r="AC73" i="1"/>
  <c r="AC74" i="1"/>
  <c r="AC75" i="1"/>
  <c r="AC76" i="1"/>
  <c r="AB68" i="1"/>
  <c r="AB69" i="1"/>
  <c r="AB70" i="1"/>
  <c r="AB71" i="1"/>
  <c r="AB72" i="1"/>
  <c r="AB73" i="1"/>
  <c r="AB74" i="1"/>
  <c r="AB75" i="1"/>
  <c r="AB76" i="1"/>
  <c r="AY33" i="1" l="1"/>
  <c r="AZ25" i="1"/>
  <c r="AY44" i="1"/>
  <c r="AZ46" i="1"/>
  <c r="AX34" i="1"/>
  <c r="AY32" i="1"/>
  <c r="AY26" i="1"/>
  <c r="AZ36" i="1"/>
  <c r="AZ30" i="1"/>
  <c r="AZ24" i="1"/>
  <c r="AZ45" i="1"/>
  <c r="AZ54" i="1"/>
  <c r="AX29" i="1"/>
  <c r="AZ37" i="1"/>
  <c r="AY37" i="1"/>
  <c r="AY31" i="1"/>
  <c r="AY25" i="1"/>
  <c r="AZ35" i="1"/>
  <c r="AZ29" i="1"/>
  <c r="AZ23" i="1"/>
  <c r="AY42" i="1"/>
  <c r="AZ44" i="1"/>
  <c r="AZ53" i="1"/>
  <c r="AX23" i="1"/>
  <c r="AZ31" i="1"/>
  <c r="AZ55" i="1"/>
  <c r="AX32" i="1"/>
  <c r="AX26" i="1"/>
  <c r="AY24" i="1"/>
  <c r="AZ34" i="1"/>
  <c r="AZ28" i="1"/>
  <c r="AZ22" i="1"/>
  <c r="AY47" i="1"/>
  <c r="AZ43" i="1"/>
  <c r="AZ52" i="1"/>
  <c r="AX37" i="1"/>
  <c r="AX31" i="1"/>
  <c r="AY35" i="1"/>
  <c r="AY29" i="1"/>
  <c r="AY23" i="1"/>
  <c r="AZ33" i="1"/>
  <c r="AZ27" i="1"/>
  <c r="AY46" i="1"/>
  <c r="AZ48" i="1"/>
  <c r="AZ42" i="1"/>
  <c r="AZ60" i="1"/>
  <c r="AX24" i="1"/>
  <c r="AY34" i="1"/>
  <c r="AY28" i="1"/>
  <c r="AZ32" i="1"/>
  <c r="AZ26" i="1"/>
  <c r="AZ47" i="1"/>
  <c r="AZ41" i="1"/>
  <c r="AZ59" i="1"/>
  <c r="AT22" i="1"/>
  <c r="B69" i="1"/>
  <c r="A69" i="1" s="1"/>
  <c r="B70" i="1"/>
  <c r="A70" i="1" s="1"/>
  <c r="B71" i="1"/>
  <c r="A71" i="1" s="1"/>
  <c r="B72" i="1"/>
  <c r="A72" i="1" s="1"/>
  <c r="B73" i="1"/>
  <c r="A73" i="1" s="1"/>
  <c r="B74" i="1"/>
  <c r="A74" i="1" s="1"/>
  <c r="B75" i="1"/>
  <c r="A75" i="1" s="1"/>
  <c r="B76" i="1"/>
  <c r="A76" i="1" s="1"/>
  <c r="C69" i="1"/>
  <c r="C70" i="1"/>
  <c r="C71" i="1"/>
  <c r="C72" i="1"/>
  <c r="C73" i="1"/>
  <c r="C74" i="1"/>
  <c r="C75" i="1"/>
  <c r="C76" i="1"/>
  <c r="P69" i="1"/>
  <c r="Z69" i="1" s="1"/>
  <c r="P70" i="1"/>
  <c r="Z70" i="1" s="1"/>
  <c r="P71" i="1"/>
  <c r="Z71" i="1" s="1"/>
  <c r="P72" i="1"/>
  <c r="Z72" i="1" s="1"/>
  <c r="P73" i="1"/>
  <c r="Z73" i="1" s="1"/>
  <c r="P74" i="1"/>
  <c r="Z74" i="1" s="1"/>
  <c r="P75" i="1"/>
  <c r="Z75" i="1" s="1"/>
  <c r="P76" i="1"/>
  <c r="Z76" i="1" s="1"/>
  <c r="Y69" i="1"/>
  <c r="Y70" i="1"/>
  <c r="Y71" i="1"/>
  <c r="Y72" i="1"/>
  <c r="Y73" i="1"/>
  <c r="Y74" i="1"/>
  <c r="Y75" i="1"/>
  <c r="Y76" i="1"/>
  <c r="AA69" i="1"/>
  <c r="AA70" i="1"/>
  <c r="AA71" i="1"/>
  <c r="AA72" i="1"/>
  <c r="AA73" i="1"/>
  <c r="AA74" i="1"/>
  <c r="AA75" i="1"/>
  <c r="AA76" i="1"/>
  <c r="AD69" i="1"/>
  <c r="AH69" i="1" s="1"/>
  <c r="AD70" i="1"/>
  <c r="AG70" i="1" s="1"/>
  <c r="AD71" i="1"/>
  <c r="AE71" i="1" s="1"/>
  <c r="AD72" i="1"/>
  <c r="AE72" i="1" s="1"/>
  <c r="AD73" i="1"/>
  <c r="AF73" i="1" s="1"/>
  <c r="AD74" i="1"/>
  <c r="AE74" i="1" s="1"/>
  <c r="AD75" i="1"/>
  <c r="AI75" i="1" s="1"/>
  <c r="AD76" i="1"/>
  <c r="AE76" i="1" s="1"/>
  <c r="B68" i="1"/>
  <c r="A68" i="1" s="1"/>
  <c r="C68" i="1"/>
  <c r="P68" i="1"/>
  <c r="Z68" i="1" s="1"/>
  <c r="Y68" i="1"/>
  <c r="AA68" i="1"/>
  <c r="AD68" i="1"/>
  <c r="AH68" i="1" s="1"/>
  <c r="B2" i="1"/>
  <c r="A2" i="1" s="1"/>
  <c r="B3" i="1"/>
  <c r="A3" i="1" s="1"/>
  <c r="B4" i="1"/>
  <c r="A4" i="1" s="1"/>
  <c r="B5" i="1"/>
  <c r="A5" i="1" s="1"/>
  <c r="B6" i="1"/>
  <c r="A6" i="1" s="1"/>
  <c r="B7" i="1"/>
  <c r="A7" i="1" s="1"/>
  <c r="B8" i="1"/>
  <c r="A8" i="1" s="1"/>
  <c r="B9" i="1"/>
  <c r="A9" i="1" s="1"/>
  <c r="B10" i="1"/>
  <c r="A10" i="1" s="1"/>
  <c r="B11" i="1"/>
  <c r="A11" i="1" s="1"/>
  <c r="B12" i="1"/>
  <c r="A12" i="1" s="1"/>
  <c r="B13" i="1"/>
  <c r="A13" i="1" s="1"/>
  <c r="B14" i="1"/>
  <c r="A14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21" i="1"/>
  <c r="A21" i="1" s="1"/>
  <c r="B22" i="1"/>
  <c r="A22" i="1" s="1"/>
  <c r="B23" i="1"/>
  <c r="A23" i="1" s="1"/>
  <c r="B24" i="1"/>
  <c r="A24" i="1" s="1"/>
  <c r="B25" i="1"/>
  <c r="A25" i="1" s="1"/>
  <c r="B26" i="1"/>
  <c r="A26" i="1" s="1"/>
  <c r="B27" i="1"/>
  <c r="A27" i="1" s="1"/>
  <c r="B28" i="1"/>
  <c r="A28" i="1" s="1"/>
  <c r="B29" i="1"/>
  <c r="A29" i="1" s="1"/>
  <c r="B30" i="1"/>
  <c r="A30" i="1" s="1"/>
  <c r="B31" i="1"/>
  <c r="A31" i="1" s="1"/>
  <c r="B32" i="1"/>
  <c r="A32" i="1" s="1"/>
  <c r="B33" i="1"/>
  <c r="A33" i="1" s="1"/>
  <c r="B34" i="1"/>
  <c r="A34" i="1" s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B44" i="1"/>
  <c r="A44" i="1" s="1"/>
  <c r="B45" i="1"/>
  <c r="A45" i="1" s="1"/>
  <c r="B46" i="1"/>
  <c r="A46" i="1" s="1"/>
  <c r="B47" i="1"/>
  <c r="A47" i="1" s="1"/>
  <c r="B48" i="1"/>
  <c r="A48" i="1" s="1"/>
  <c r="B49" i="1"/>
  <c r="A49" i="1" s="1"/>
  <c r="B50" i="1"/>
  <c r="A50" i="1" s="1"/>
  <c r="B51" i="1"/>
  <c r="A51" i="1" s="1"/>
  <c r="B52" i="1"/>
  <c r="A52" i="1" s="1"/>
  <c r="B53" i="1"/>
  <c r="A53" i="1" s="1"/>
  <c r="B54" i="1"/>
  <c r="A54" i="1" s="1"/>
  <c r="B55" i="1"/>
  <c r="A55" i="1" s="1"/>
  <c r="B56" i="1"/>
  <c r="A56" i="1" s="1"/>
  <c r="B57" i="1"/>
  <c r="A57" i="1" s="1"/>
  <c r="B58" i="1"/>
  <c r="A58" i="1" s="1"/>
  <c r="B59" i="1"/>
  <c r="A59" i="1" s="1"/>
  <c r="B60" i="1"/>
  <c r="A60" i="1" s="1"/>
  <c r="B61" i="1"/>
  <c r="A61" i="1" s="1"/>
  <c r="B62" i="1"/>
  <c r="A62" i="1" s="1"/>
  <c r="B63" i="1"/>
  <c r="A63" i="1" s="1"/>
  <c r="B64" i="1"/>
  <c r="A64" i="1" s="1"/>
  <c r="B65" i="1"/>
  <c r="A65" i="1" s="1"/>
  <c r="B66" i="1"/>
  <c r="A66" i="1" s="1"/>
  <c r="B67" i="1"/>
  <c r="A67" i="1" s="1"/>
  <c r="AY59" i="1" l="1"/>
  <c r="AY60" i="1"/>
  <c r="AY55" i="1"/>
  <c r="AY45" i="1"/>
  <c r="AY22" i="1"/>
  <c r="AY27" i="1"/>
  <c r="AY41" i="1"/>
  <c r="AY52" i="1"/>
  <c r="AY30" i="1"/>
  <c r="AY48" i="1"/>
  <c r="AY43" i="1"/>
  <c r="AY53" i="1"/>
  <c r="AY54" i="1"/>
  <c r="AY36" i="1"/>
  <c r="AI70" i="1"/>
  <c r="AI76" i="1"/>
  <c r="AG76" i="1"/>
  <c r="AF76" i="1"/>
  <c r="AF70" i="1"/>
  <c r="AH76" i="1"/>
  <c r="AH70" i="1"/>
  <c r="AE70" i="1"/>
  <c r="AG71" i="1"/>
  <c r="AE73" i="1"/>
  <c r="AI73" i="1"/>
  <c r="AG75" i="1"/>
  <c r="AE75" i="1"/>
  <c r="AH75" i="1"/>
  <c r="AG74" i="1"/>
  <c r="AF75" i="1"/>
  <c r="AH73" i="1"/>
  <c r="AG73" i="1"/>
  <c r="AF74" i="1"/>
  <c r="AI74" i="1"/>
  <c r="AH72" i="1"/>
  <c r="AG72" i="1"/>
  <c r="AI68" i="1"/>
  <c r="AG69" i="1"/>
  <c r="AF69" i="1"/>
  <c r="AE69" i="1"/>
  <c r="AI69" i="1"/>
  <c r="AI72" i="1"/>
  <c r="AH74" i="1"/>
  <c r="AF72" i="1"/>
  <c r="AI71" i="1"/>
  <c r="AF71" i="1"/>
  <c r="AH71" i="1"/>
  <c r="AG68" i="1"/>
  <c r="AF68" i="1"/>
  <c r="AE68" i="1"/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P67" i="1"/>
  <c r="Z67" i="1" s="1"/>
  <c r="Y67" i="1"/>
  <c r="AB67" i="1"/>
  <c r="AC67" i="1"/>
  <c r="AD67" i="1"/>
  <c r="AE67" i="1" s="1"/>
  <c r="P65" i="1"/>
  <c r="Z65" i="1" s="1"/>
  <c r="P66" i="1"/>
  <c r="Z66" i="1" s="1"/>
  <c r="Y65" i="1"/>
  <c r="Y66" i="1"/>
  <c r="AB65" i="1"/>
  <c r="AB66" i="1"/>
  <c r="AC65" i="1"/>
  <c r="AC66" i="1"/>
  <c r="AD65" i="1"/>
  <c r="AG65" i="1" s="1"/>
  <c r="AD66" i="1"/>
  <c r="AG66" i="1" s="1"/>
  <c r="AG67" i="1" l="1"/>
  <c r="AI67" i="1"/>
  <c r="AH67" i="1"/>
  <c r="AF67" i="1"/>
  <c r="AI66" i="1"/>
  <c r="AF66" i="1"/>
  <c r="AI65" i="1"/>
  <c r="AF65" i="1"/>
  <c r="AH66" i="1"/>
  <c r="AE66" i="1"/>
  <c r="AH65" i="1"/>
  <c r="AE65" i="1"/>
  <c r="AT59" i="1" l="1"/>
  <c r="AU59" i="1" s="1"/>
  <c r="AT60" i="1"/>
  <c r="AU60" i="1" s="1"/>
  <c r="AS59" i="1"/>
  <c r="AS60" i="1"/>
  <c r="AS52" i="1"/>
  <c r="AS53" i="1"/>
  <c r="AS54" i="1"/>
  <c r="AS55" i="1"/>
  <c r="AT52" i="1"/>
  <c r="AU52" i="1" s="1"/>
  <c r="AT53" i="1"/>
  <c r="AU53" i="1" s="1"/>
  <c r="AT54" i="1"/>
  <c r="AU54" i="1" s="1"/>
  <c r="AT55" i="1"/>
  <c r="AU55" i="1" s="1"/>
  <c r="AT41" i="1"/>
  <c r="AU41" i="1" s="1"/>
  <c r="AT42" i="1"/>
  <c r="AU42" i="1" s="1"/>
  <c r="AT43" i="1"/>
  <c r="AU43" i="1" s="1"/>
  <c r="AT44" i="1"/>
  <c r="AU44" i="1" s="1"/>
  <c r="AT45" i="1"/>
  <c r="AU45" i="1" s="1"/>
  <c r="AT46" i="1"/>
  <c r="AU46" i="1" s="1"/>
  <c r="AT47" i="1"/>
  <c r="AU47" i="1" s="1"/>
  <c r="AT48" i="1"/>
  <c r="AU48" i="1" s="1"/>
  <c r="AU22" i="1"/>
  <c r="AT23" i="1"/>
  <c r="AU23" i="1" s="1"/>
  <c r="AT24" i="1"/>
  <c r="AU24" i="1" s="1"/>
  <c r="AT25" i="1"/>
  <c r="AU25" i="1" s="1"/>
  <c r="AT26" i="1"/>
  <c r="AU26" i="1" s="1"/>
  <c r="AT27" i="1"/>
  <c r="AU27" i="1" s="1"/>
  <c r="AT28" i="1"/>
  <c r="AU28" i="1" s="1"/>
  <c r="AT29" i="1"/>
  <c r="AU29" i="1" s="1"/>
  <c r="AT30" i="1"/>
  <c r="AU30" i="1" s="1"/>
  <c r="AT31" i="1"/>
  <c r="AU31" i="1" s="1"/>
  <c r="AT32" i="1"/>
  <c r="AU32" i="1" s="1"/>
  <c r="AT33" i="1"/>
  <c r="AU33" i="1" s="1"/>
  <c r="AT34" i="1"/>
  <c r="AU34" i="1" s="1"/>
  <c r="AT35" i="1"/>
  <c r="AU35" i="1" s="1"/>
  <c r="AT36" i="1"/>
  <c r="AU36" i="1" s="1"/>
  <c r="AT37" i="1"/>
  <c r="AU37" i="1" s="1"/>
  <c r="AV3" i="1"/>
  <c r="AW3" i="1" s="1"/>
  <c r="AV4" i="1"/>
  <c r="AW4" i="1" s="1"/>
  <c r="AV5" i="1"/>
  <c r="AW5" i="1" s="1"/>
  <c r="AV6" i="1"/>
  <c r="AW6" i="1" s="1"/>
  <c r="AV7" i="1"/>
  <c r="AW7" i="1" s="1"/>
  <c r="AV8" i="1"/>
  <c r="AW8" i="1" s="1"/>
  <c r="AV9" i="1"/>
  <c r="AW9" i="1" s="1"/>
  <c r="AV10" i="1"/>
  <c r="AW10" i="1" s="1"/>
  <c r="AV11" i="1"/>
  <c r="AW11" i="1" s="1"/>
  <c r="AV12" i="1"/>
  <c r="AW12" i="1" s="1"/>
  <c r="AV13" i="1"/>
  <c r="AW13" i="1" s="1"/>
  <c r="AV14" i="1"/>
  <c r="AW14" i="1" s="1"/>
  <c r="AV15" i="1"/>
  <c r="AW15" i="1" s="1"/>
  <c r="AV16" i="1"/>
  <c r="AW16" i="1" s="1"/>
  <c r="AV17" i="1"/>
  <c r="AW17" i="1" s="1"/>
  <c r="AU15" i="1"/>
  <c r="AU16" i="1"/>
  <c r="AU17" i="1"/>
  <c r="P58" i="1" l="1"/>
  <c r="Z58" i="1" s="1"/>
  <c r="P59" i="1"/>
  <c r="Z59" i="1" s="1"/>
  <c r="P60" i="1"/>
  <c r="Z60" i="1" s="1"/>
  <c r="P61" i="1"/>
  <c r="Z61" i="1" s="1"/>
  <c r="P62" i="1"/>
  <c r="Z62" i="1" s="1"/>
  <c r="P63" i="1"/>
  <c r="Z63" i="1" s="1"/>
  <c r="P64" i="1"/>
  <c r="Z64" i="1" s="1"/>
  <c r="Y58" i="1"/>
  <c r="Y59" i="1"/>
  <c r="Y60" i="1"/>
  <c r="Y61" i="1"/>
  <c r="Y62" i="1"/>
  <c r="Y63" i="1"/>
  <c r="Y64" i="1"/>
  <c r="AB58" i="1"/>
  <c r="AB59" i="1"/>
  <c r="AB60" i="1"/>
  <c r="AB61" i="1"/>
  <c r="AB62" i="1"/>
  <c r="AB63" i="1"/>
  <c r="AB64" i="1"/>
  <c r="AC58" i="1"/>
  <c r="AC59" i="1"/>
  <c r="AC60" i="1"/>
  <c r="AC61" i="1"/>
  <c r="AC62" i="1"/>
  <c r="AC63" i="1"/>
  <c r="AC64" i="1"/>
  <c r="AD58" i="1"/>
  <c r="AH58" i="1" s="1"/>
  <c r="AD59" i="1"/>
  <c r="AI59" i="1" s="1"/>
  <c r="AD60" i="1"/>
  <c r="AH60" i="1" s="1"/>
  <c r="AD61" i="1"/>
  <c r="AG61" i="1" s="1"/>
  <c r="AD62" i="1"/>
  <c r="AE62" i="1" s="1"/>
  <c r="AD63" i="1"/>
  <c r="AE63" i="1" s="1"/>
  <c r="AD64" i="1"/>
  <c r="AH64" i="1" s="1"/>
  <c r="P51" i="1"/>
  <c r="Z51" i="1" s="1"/>
  <c r="P52" i="1"/>
  <c r="Z52" i="1" s="1"/>
  <c r="P53" i="1"/>
  <c r="Z53" i="1" s="1"/>
  <c r="P54" i="1"/>
  <c r="Z54" i="1" s="1"/>
  <c r="P55" i="1"/>
  <c r="Z55" i="1" s="1"/>
  <c r="P56" i="1"/>
  <c r="Z56" i="1" s="1"/>
  <c r="P57" i="1"/>
  <c r="Z57" i="1" s="1"/>
  <c r="Y51" i="1"/>
  <c r="Y52" i="1"/>
  <c r="Y53" i="1"/>
  <c r="Y54" i="1"/>
  <c r="Y55" i="1"/>
  <c r="Y56" i="1"/>
  <c r="Y57" i="1"/>
  <c r="AB51" i="1"/>
  <c r="AB52" i="1"/>
  <c r="AB53" i="1"/>
  <c r="AB54" i="1"/>
  <c r="AB55" i="1"/>
  <c r="AB56" i="1"/>
  <c r="AB57" i="1"/>
  <c r="AC51" i="1"/>
  <c r="AC52" i="1"/>
  <c r="AC53" i="1"/>
  <c r="AC54" i="1"/>
  <c r="AC55" i="1"/>
  <c r="AC56" i="1"/>
  <c r="AC57" i="1"/>
  <c r="AD51" i="1"/>
  <c r="AE51" i="1" s="1"/>
  <c r="AD52" i="1"/>
  <c r="AD53" i="1"/>
  <c r="AH53" i="1" s="1"/>
  <c r="AD54" i="1"/>
  <c r="AG54" i="1" s="1"/>
  <c r="AD55" i="1"/>
  <c r="AF55" i="1" s="1"/>
  <c r="AD56" i="1"/>
  <c r="AF56" i="1" s="1"/>
  <c r="AD57" i="1"/>
  <c r="AF57" i="1" s="1"/>
  <c r="P49" i="1"/>
  <c r="Z49" i="1" s="1"/>
  <c r="P50" i="1"/>
  <c r="Z50" i="1" s="1"/>
  <c r="Y49" i="1"/>
  <c r="Y50" i="1"/>
  <c r="AB49" i="1"/>
  <c r="AB50" i="1"/>
  <c r="AC49" i="1"/>
  <c r="AC50" i="1"/>
  <c r="AD49" i="1"/>
  <c r="AE49" i="1" s="1"/>
  <c r="AD50" i="1"/>
  <c r="AX60" i="1" s="1"/>
  <c r="P48" i="1"/>
  <c r="Z48" i="1" s="1"/>
  <c r="Y48" i="1"/>
  <c r="AB48" i="1"/>
  <c r="AC48" i="1"/>
  <c r="AD48" i="1"/>
  <c r="AD2" i="1"/>
  <c r="AW59" i="1" s="1"/>
  <c r="AD3" i="1"/>
  <c r="AD4" i="1"/>
  <c r="AD5" i="1"/>
  <c r="AD6" i="1"/>
  <c r="AD7" i="1"/>
  <c r="AD8" i="1"/>
  <c r="AW60" i="1" s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X59" i="1" s="1"/>
  <c r="AD47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AW33" i="1" l="1"/>
  <c r="AW32" i="1"/>
  <c r="AW46" i="1"/>
  <c r="AW35" i="1"/>
  <c r="AW34" i="1"/>
  <c r="AW47" i="1"/>
  <c r="AW43" i="1"/>
  <c r="AW27" i="1"/>
  <c r="AW53" i="1"/>
  <c r="AW26" i="1"/>
  <c r="AW30" i="1"/>
  <c r="AW31" i="1"/>
  <c r="AW54" i="1"/>
  <c r="AW45" i="1"/>
  <c r="AF52" i="1"/>
  <c r="AX44" i="1"/>
  <c r="AX28" i="1"/>
  <c r="AX43" i="1"/>
  <c r="AX27" i="1"/>
  <c r="AX53" i="1"/>
  <c r="AX41" i="1"/>
  <c r="AX22" i="1"/>
  <c r="AX52" i="1"/>
  <c r="AX42" i="1"/>
  <c r="AX25" i="1"/>
  <c r="AW25" i="1"/>
  <c r="AW42" i="1"/>
  <c r="AW24" i="1"/>
  <c r="AW52" i="1"/>
  <c r="AW23" i="1"/>
  <c r="AW41" i="1"/>
  <c r="AW22" i="1"/>
  <c r="AE50" i="1"/>
  <c r="AX36" i="1"/>
  <c r="AX35" i="1"/>
  <c r="AX47" i="1"/>
  <c r="AX48" i="1"/>
  <c r="AX55" i="1"/>
  <c r="AW55" i="1"/>
  <c r="AW48" i="1"/>
  <c r="AW37" i="1"/>
  <c r="AW36" i="1"/>
  <c r="AW29" i="1"/>
  <c r="AW28" i="1"/>
  <c r="AW44" i="1"/>
  <c r="AE48" i="1"/>
  <c r="AX46" i="1"/>
  <c r="AX30" i="1"/>
  <c r="AX45" i="1"/>
  <c r="AX54" i="1"/>
  <c r="AX33" i="1"/>
  <c r="AS41" i="1"/>
  <c r="AS42" i="1"/>
  <c r="AS28" i="1"/>
  <c r="AS29" i="1"/>
  <c r="AS43" i="1"/>
  <c r="AS44" i="1"/>
  <c r="AS25" i="1"/>
  <c r="AS24" i="1"/>
  <c r="AS32" i="1"/>
  <c r="AS33" i="1"/>
  <c r="AS22" i="1"/>
  <c r="AS23" i="1"/>
  <c r="AS34" i="1"/>
  <c r="AS35" i="1"/>
  <c r="AS26" i="1"/>
  <c r="AS27" i="1"/>
  <c r="AS46" i="1"/>
  <c r="AS45" i="1"/>
  <c r="AS47" i="1"/>
  <c r="AS48" i="1"/>
  <c r="AS37" i="1"/>
  <c r="AS36" i="1"/>
  <c r="AS30" i="1"/>
  <c r="AS31" i="1"/>
  <c r="AU13" i="1"/>
  <c r="AU6" i="1"/>
  <c r="AU7" i="1"/>
  <c r="AU3" i="1"/>
  <c r="AU12" i="1"/>
  <c r="AU4" i="1"/>
  <c r="AU10" i="1"/>
  <c r="AU5" i="1"/>
  <c r="AU8" i="1"/>
  <c r="AU11" i="1"/>
  <c r="AU9" i="1"/>
  <c r="AU14" i="1"/>
  <c r="AI62" i="1"/>
  <c r="AG62" i="1"/>
  <c r="AF62" i="1"/>
  <c r="AI63" i="1"/>
  <c r="AI61" i="1"/>
  <c r="AG63" i="1"/>
  <c r="AF63" i="1"/>
  <c r="AH63" i="1"/>
  <c r="AH62" i="1"/>
  <c r="AF64" i="1"/>
  <c r="AG64" i="1"/>
  <c r="AE64" i="1"/>
  <c r="AE60" i="1"/>
  <c r="AE59" i="1"/>
  <c r="AF59" i="1"/>
  <c r="AF58" i="1"/>
  <c r="AE58" i="1"/>
  <c r="AG58" i="1"/>
  <c r="AG55" i="1"/>
  <c r="AE55" i="1"/>
  <c r="AI55" i="1"/>
  <c r="AH56" i="1"/>
  <c r="AE56" i="1"/>
  <c r="AI56" i="1"/>
  <c r="AG56" i="1"/>
  <c r="AE57" i="1"/>
  <c r="AH57" i="1"/>
  <c r="AG57" i="1"/>
  <c r="AI57" i="1"/>
  <c r="AH61" i="1"/>
  <c r="AI64" i="1"/>
  <c r="AI58" i="1"/>
  <c r="AH59" i="1"/>
  <c r="AG60" i="1"/>
  <c r="AF61" i="1"/>
  <c r="AG59" i="1"/>
  <c r="AF60" i="1"/>
  <c r="AE61" i="1"/>
  <c r="AI60" i="1"/>
  <c r="AH55" i="1"/>
  <c r="AE53" i="1"/>
  <c r="AH52" i="1"/>
  <c r="AE52" i="1"/>
  <c r="AI52" i="1"/>
  <c r="AG52" i="1"/>
  <c r="AH51" i="1"/>
  <c r="AG51" i="1"/>
  <c r="AI51" i="1"/>
  <c r="AF50" i="1"/>
  <c r="AF51" i="1"/>
  <c r="AG53" i="1"/>
  <c r="AF54" i="1"/>
  <c r="AF53" i="1"/>
  <c r="AE54" i="1"/>
  <c r="AI54" i="1"/>
  <c r="AI53" i="1"/>
  <c r="AH54" i="1"/>
  <c r="AI50" i="1"/>
  <c r="AG50" i="1"/>
  <c r="AG49" i="1"/>
  <c r="AI49" i="1"/>
  <c r="AF49" i="1"/>
  <c r="AH50" i="1"/>
  <c r="AH49" i="1"/>
  <c r="AI48" i="1"/>
  <c r="AH48" i="1"/>
  <c r="AG48" i="1"/>
  <c r="AF48" i="1"/>
  <c r="P39" i="1"/>
  <c r="Z39" i="1" s="1"/>
  <c r="P40" i="1"/>
  <c r="Z40" i="1" s="1"/>
  <c r="P41" i="1"/>
  <c r="Z41" i="1" s="1"/>
  <c r="P42" i="1"/>
  <c r="Z42" i="1" s="1"/>
  <c r="P43" i="1"/>
  <c r="Z43" i="1" s="1"/>
  <c r="P44" i="1"/>
  <c r="Z44" i="1" s="1"/>
  <c r="P45" i="1"/>
  <c r="Z45" i="1" s="1"/>
  <c r="P46" i="1"/>
  <c r="Z46" i="1" s="1"/>
  <c r="P47" i="1"/>
  <c r="Z47" i="1" s="1"/>
  <c r="AB39" i="1"/>
  <c r="AB40" i="1"/>
  <c r="AB41" i="1"/>
  <c r="AB42" i="1"/>
  <c r="AB43" i="1"/>
  <c r="AB44" i="1"/>
  <c r="AB45" i="1"/>
  <c r="AB46" i="1"/>
  <c r="AB47" i="1"/>
  <c r="AC39" i="1"/>
  <c r="AC40" i="1"/>
  <c r="AC41" i="1"/>
  <c r="AC42" i="1"/>
  <c r="AC43" i="1"/>
  <c r="AC44" i="1"/>
  <c r="AC45" i="1"/>
  <c r="AC46" i="1"/>
  <c r="AC47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Z30" i="1" l="1"/>
  <c r="Z31" i="1"/>
  <c r="Z32" i="1"/>
  <c r="Z33" i="1"/>
  <c r="Z34" i="1"/>
  <c r="Z35" i="1"/>
  <c r="Z36" i="1"/>
  <c r="Z37" i="1"/>
  <c r="Z38" i="1"/>
  <c r="AB30" i="1"/>
  <c r="AB31" i="1"/>
  <c r="AB32" i="1"/>
  <c r="AB33" i="1"/>
  <c r="AB34" i="1"/>
  <c r="AB35" i="1"/>
  <c r="AB36" i="1"/>
  <c r="AB37" i="1"/>
  <c r="AB38" i="1"/>
  <c r="AC30" i="1"/>
  <c r="AC31" i="1"/>
  <c r="AC32" i="1"/>
  <c r="AC33" i="1"/>
  <c r="AC34" i="1"/>
  <c r="AC35" i="1"/>
  <c r="AC36" i="1"/>
  <c r="AC37" i="1"/>
  <c r="AC38" i="1"/>
  <c r="Z27" i="1"/>
  <c r="Z28" i="1"/>
  <c r="Z29" i="1"/>
  <c r="AB27" i="1"/>
  <c r="AB28" i="1"/>
  <c r="AB29" i="1"/>
  <c r="AC27" i="1"/>
  <c r="AC28" i="1"/>
  <c r="AC29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Z26" i="1"/>
  <c r="P18" i="1"/>
  <c r="Z18" i="1" s="1"/>
  <c r="P19" i="1"/>
  <c r="Z19" i="1" s="1"/>
  <c r="P20" i="1"/>
  <c r="Z20" i="1" s="1"/>
  <c r="P21" i="1"/>
  <c r="Z21" i="1" s="1"/>
  <c r="P22" i="1"/>
  <c r="Z22" i="1" s="1"/>
  <c r="P23" i="1"/>
  <c r="Z23" i="1" s="1"/>
  <c r="P24" i="1"/>
  <c r="Z24" i="1" s="1"/>
  <c r="P25" i="1"/>
  <c r="Z25" i="1" s="1"/>
  <c r="AB26" i="1"/>
  <c r="AC26" i="1"/>
  <c r="P13" i="1"/>
  <c r="Z13" i="1" s="1"/>
  <c r="P14" i="1"/>
  <c r="Z14" i="1" s="1"/>
  <c r="P15" i="1"/>
  <c r="Z15" i="1" s="1"/>
  <c r="P16" i="1"/>
  <c r="Z16" i="1" s="1"/>
  <c r="P17" i="1"/>
  <c r="Z17" i="1" s="1"/>
  <c r="P12" i="1"/>
  <c r="Z12" i="1" s="1"/>
  <c r="AA12" i="1"/>
  <c r="P3" i="1"/>
  <c r="Z3" i="1" s="1"/>
  <c r="P4" i="1"/>
  <c r="Z4" i="1" s="1"/>
  <c r="P5" i="1"/>
  <c r="Z5" i="1" s="1"/>
  <c r="P6" i="1"/>
  <c r="Z6" i="1" s="1"/>
  <c r="P7" i="1"/>
  <c r="Z7" i="1" s="1"/>
  <c r="P8" i="1"/>
  <c r="Z8" i="1" s="1"/>
  <c r="P9" i="1"/>
  <c r="Z9" i="1" s="1"/>
  <c r="P10" i="1"/>
  <c r="Z10" i="1" s="1"/>
  <c r="P11" i="1"/>
  <c r="Z11" i="1" s="1"/>
  <c r="AA3" i="1"/>
  <c r="AA4" i="1"/>
  <c r="AA5" i="1"/>
  <c r="AA6" i="1"/>
  <c r="AA7" i="1"/>
  <c r="AA8" i="1"/>
  <c r="AA9" i="1"/>
  <c r="AA10" i="1"/>
  <c r="AA11" i="1"/>
  <c r="AA13" i="1"/>
  <c r="AA14" i="1"/>
  <c r="AA15" i="1"/>
  <c r="AA16" i="1"/>
  <c r="AA17" i="1"/>
  <c r="AA18" i="1"/>
  <c r="AA19" i="1"/>
  <c r="AA20" i="1"/>
  <c r="AA21" i="1"/>
  <c r="AA22" i="1"/>
  <c r="AA23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B82" i="1"/>
  <c r="AB83" i="1"/>
  <c r="AB84" i="1"/>
  <c r="AB85" i="1"/>
  <c r="AB86" i="1"/>
  <c r="AB87" i="1"/>
  <c r="AB88" i="1"/>
  <c r="AA2" i="1"/>
  <c r="AC2" i="1" l="1"/>
  <c r="AB2" i="1"/>
  <c r="AA89" i="1"/>
  <c r="AB89" i="1"/>
  <c r="AA90" i="1"/>
  <c r="AB90" i="1"/>
  <c r="AA91" i="1"/>
  <c r="AB91" i="1"/>
  <c r="AA92" i="1"/>
  <c r="AB92" i="1"/>
  <c r="AA93" i="1"/>
  <c r="AB93" i="1"/>
  <c r="AA94" i="1"/>
  <c r="AB94" i="1"/>
  <c r="AA95" i="1"/>
  <c r="AB95" i="1"/>
  <c r="AA96" i="1"/>
  <c r="AB96" i="1"/>
  <c r="P2" i="1" l="1"/>
  <c r="BL59" i="1" s="1"/>
  <c r="AP74" i="1"/>
  <c r="BO60" i="1"/>
  <c r="BM60" i="1"/>
  <c r="BK60" i="1"/>
  <c r="BI60" i="1"/>
  <c r="BH60" i="1"/>
  <c r="BC60" i="1"/>
  <c r="BO59" i="1"/>
  <c r="BM59" i="1"/>
  <c r="BK59" i="1"/>
  <c r="BI59" i="1"/>
  <c r="BH59" i="1"/>
  <c r="BC59" i="1"/>
  <c r="BO55" i="1"/>
  <c r="BM55" i="1"/>
  <c r="BK55" i="1"/>
  <c r="BI55" i="1"/>
  <c r="BH55" i="1"/>
  <c r="BC55" i="1"/>
  <c r="BO54" i="1"/>
  <c r="BM54" i="1"/>
  <c r="BK54" i="1"/>
  <c r="BI54" i="1"/>
  <c r="BH54" i="1"/>
  <c r="BC54" i="1"/>
  <c r="BO53" i="1"/>
  <c r="BM53" i="1"/>
  <c r="BK53" i="1"/>
  <c r="BI53" i="1"/>
  <c r="BH53" i="1"/>
  <c r="BC53" i="1"/>
  <c r="BO52" i="1"/>
  <c r="BM52" i="1"/>
  <c r="BK52" i="1"/>
  <c r="BI52" i="1"/>
  <c r="BH52" i="1"/>
  <c r="BC52" i="1"/>
  <c r="AY14" i="1"/>
  <c r="BO48" i="1"/>
  <c r="BM48" i="1"/>
  <c r="BK48" i="1"/>
  <c r="BJ48" i="1"/>
  <c r="BI48" i="1"/>
  <c r="BH48" i="1"/>
  <c r="BC48" i="1"/>
  <c r="BB48" i="1"/>
  <c r="BO47" i="1"/>
  <c r="BN47" i="1"/>
  <c r="BM47" i="1"/>
  <c r="BL47" i="1"/>
  <c r="BK47" i="1"/>
  <c r="BJ47" i="1"/>
  <c r="BI47" i="1"/>
  <c r="BH47" i="1"/>
  <c r="BF47" i="1"/>
  <c r="BC47" i="1"/>
  <c r="BO46" i="1"/>
  <c r="BM46" i="1"/>
  <c r="BL46" i="1"/>
  <c r="BK46" i="1"/>
  <c r="BI46" i="1"/>
  <c r="BH46" i="1"/>
  <c r="BG46" i="1"/>
  <c r="BF46" i="1"/>
  <c r="BC46" i="1"/>
  <c r="AY11" i="1"/>
  <c r="BO45" i="1"/>
  <c r="BN45" i="1"/>
  <c r="BM45" i="1"/>
  <c r="BK45" i="1"/>
  <c r="BI45" i="1"/>
  <c r="BH45" i="1"/>
  <c r="BC45" i="1"/>
  <c r="BO44" i="1"/>
  <c r="BM44" i="1"/>
  <c r="BK44" i="1"/>
  <c r="BI44" i="1"/>
  <c r="BH44" i="1"/>
  <c r="BF44" i="1"/>
  <c r="BC44" i="1"/>
  <c r="BO43" i="1"/>
  <c r="BN43" i="1"/>
  <c r="BM43" i="1"/>
  <c r="BK43" i="1"/>
  <c r="BJ43" i="1"/>
  <c r="BI43" i="1"/>
  <c r="BH43" i="1"/>
  <c r="BG43" i="1"/>
  <c r="BC43" i="1"/>
  <c r="BB43" i="1"/>
  <c r="BO42" i="1"/>
  <c r="BN42" i="1"/>
  <c r="BM42" i="1"/>
  <c r="BL42" i="1"/>
  <c r="BK42" i="1"/>
  <c r="BJ42" i="1"/>
  <c r="BI42" i="1"/>
  <c r="BH42" i="1"/>
  <c r="BF42" i="1"/>
  <c r="BC42" i="1"/>
  <c r="BB42" i="1"/>
  <c r="BO41" i="1"/>
  <c r="BN41" i="1"/>
  <c r="BM41" i="1"/>
  <c r="BL41" i="1"/>
  <c r="BK41" i="1"/>
  <c r="BJ41" i="1"/>
  <c r="BI41" i="1"/>
  <c r="BH41" i="1"/>
  <c r="BF41" i="1"/>
  <c r="BC41" i="1"/>
  <c r="BB41" i="1"/>
  <c r="CW37" i="1"/>
  <c r="CV37" i="1"/>
  <c r="CU37" i="1"/>
  <c r="CT37" i="1"/>
  <c r="CC37" i="1"/>
  <c r="CG37" i="1" s="1"/>
  <c r="BO37" i="1"/>
  <c r="BN37" i="1"/>
  <c r="BM37" i="1"/>
  <c r="BK37" i="1"/>
  <c r="BI37" i="1"/>
  <c r="BH37" i="1"/>
  <c r="BG37" i="1"/>
  <c r="BC37" i="1"/>
  <c r="CW36" i="1"/>
  <c r="CV36" i="1"/>
  <c r="CU36" i="1"/>
  <c r="CC36" i="1"/>
  <c r="CG36" i="1" s="1"/>
  <c r="BO36" i="1"/>
  <c r="BN36" i="1"/>
  <c r="BM36" i="1"/>
  <c r="BL36" i="1"/>
  <c r="BK36" i="1"/>
  <c r="BJ36" i="1"/>
  <c r="BI36" i="1"/>
  <c r="BH36" i="1"/>
  <c r="BG36" i="1"/>
  <c r="BF36" i="1"/>
  <c r="BC36" i="1"/>
  <c r="BB36" i="1"/>
  <c r="CW35" i="1"/>
  <c r="CV35" i="1"/>
  <c r="CU35" i="1"/>
  <c r="CT35" i="1"/>
  <c r="CC35" i="1"/>
  <c r="CG35" i="1" s="1"/>
  <c r="BO35" i="1"/>
  <c r="BM35" i="1"/>
  <c r="BL35" i="1"/>
  <c r="BK35" i="1"/>
  <c r="BI35" i="1"/>
  <c r="BH35" i="1"/>
  <c r="BG35" i="1"/>
  <c r="BF35" i="1"/>
  <c r="BC35" i="1"/>
  <c r="CW34" i="1"/>
  <c r="CU34" i="1"/>
  <c r="CT34" i="1"/>
  <c r="CC34" i="1"/>
  <c r="CG34" i="1" s="1"/>
  <c r="BO34" i="1"/>
  <c r="BN34" i="1"/>
  <c r="BM34" i="1"/>
  <c r="BL34" i="1"/>
  <c r="BK34" i="1"/>
  <c r="BJ34" i="1"/>
  <c r="BI34" i="1"/>
  <c r="BH34" i="1"/>
  <c r="BF34" i="1"/>
  <c r="BC34" i="1"/>
  <c r="BB34" i="1"/>
  <c r="CW33" i="1"/>
  <c r="CV33" i="1"/>
  <c r="CU33" i="1"/>
  <c r="CT33" i="1"/>
  <c r="CC33" i="1"/>
  <c r="CG33" i="1" s="1"/>
  <c r="BO33" i="1"/>
  <c r="BM33" i="1"/>
  <c r="BK33" i="1"/>
  <c r="BJ33" i="1"/>
  <c r="BI33" i="1"/>
  <c r="BH33" i="1"/>
  <c r="BG33" i="1"/>
  <c r="BC33" i="1"/>
  <c r="BB33" i="1"/>
  <c r="CW32" i="1"/>
  <c r="CU32" i="1"/>
  <c r="CC32" i="1"/>
  <c r="CG32" i="1" s="1"/>
  <c r="BO32" i="1"/>
  <c r="BN32" i="1"/>
  <c r="BM32" i="1"/>
  <c r="BL32" i="1"/>
  <c r="BK32" i="1"/>
  <c r="BJ32" i="1"/>
  <c r="BI32" i="1"/>
  <c r="CS32" i="1" s="1"/>
  <c r="BH32" i="1"/>
  <c r="BF32" i="1"/>
  <c r="BC32" i="1"/>
  <c r="BB32" i="1"/>
  <c r="CW31" i="1"/>
  <c r="CV31" i="1"/>
  <c r="CU31" i="1"/>
  <c r="CT31" i="1"/>
  <c r="CC31" i="1"/>
  <c r="CG31" i="1" s="1"/>
  <c r="BO31" i="1"/>
  <c r="BN31" i="1"/>
  <c r="BM31" i="1"/>
  <c r="BK31" i="1"/>
  <c r="BI31" i="1"/>
  <c r="CS31" i="1" s="1"/>
  <c r="BH31" i="1"/>
  <c r="CR31" i="1" s="1"/>
  <c r="BG31" i="1"/>
  <c r="CQ31" i="1" s="1"/>
  <c r="BC31" i="1"/>
  <c r="CM31" i="1" s="1"/>
  <c r="CW30" i="1"/>
  <c r="CV30" i="1"/>
  <c r="CU30" i="1"/>
  <c r="CC30" i="1"/>
  <c r="CG30" i="1" s="1"/>
  <c r="BO30" i="1"/>
  <c r="BN30" i="1"/>
  <c r="BM30" i="1"/>
  <c r="BL30" i="1"/>
  <c r="BK30" i="1"/>
  <c r="BJ30" i="1"/>
  <c r="BI30" i="1"/>
  <c r="BH30" i="1"/>
  <c r="BG30" i="1"/>
  <c r="BF30" i="1"/>
  <c r="BC30" i="1"/>
  <c r="BB30" i="1"/>
  <c r="CW29" i="1"/>
  <c r="CV29" i="1"/>
  <c r="CU29" i="1"/>
  <c r="CT29" i="1"/>
  <c r="CC29" i="1"/>
  <c r="CG29" i="1" s="1"/>
  <c r="BO29" i="1"/>
  <c r="BM29" i="1"/>
  <c r="BL29" i="1"/>
  <c r="BK29" i="1"/>
  <c r="BI29" i="1"/>
  <c r="BH29" i="1"/>
  <c r="CR29" i="1" s="1"/>
  <c r="BG29" i="1"/>
  <c r="BF29" i="1"/>
  <c r="BC29" i="1"/>
  <c r="CM29" i="1" s="1"/>
  <c r="CW28" i="1"/>
  <c r="CU28" i="1"/>
  <c r="CT28" i="1"/>
  <c r="CC28" i="1"/>
  <c r="CG28" i="1" s="1"/>
  <c r="BO28" i="1"/>
  <c r="BN28" i="1"/>
  <c r="BM28" i="1"/>
  <c r="BL28" i="1"/>
  <c r="BK28" i="1"/>
  <c r="BJ28" i="1"/>
  <c r="BI28" i="1"/>
  <c r="CS28" i="1" s="1"/>
  <c r="BH28" i="1"/>
  <c r="CR28" i="1" s="1"/>
  <c r="BF28" i="1"/>
  <c r="CP28" i="1" s="1"/>
  <c r="BC28" i="1"/>
  <c r="CM28" i="1" s="1"/>
  <c r="BB28" i="1"/>
  <c r="CW27" i="1"/>
  <c r="CV27" i="1"/>
  <c r="CU27" i="1"/>
  <c r="CT27" i="1"/>
  <c r="CC27" i="1"/>
  <c r="CG27" i="1" s="1"/>
  <c r="BO27" i="1"/>
  <c r="BM27" i="1"/>
  <c r="BL27" i="1"/>
  <c r="BK27" i="1"/>
  <c r="BJ27" i="1"/>
  <c r="BI27" i="1"/>
  <c r="BH27" i="1"/>
  <c r="BG27" i="1"/>
  <c r="CQ27" i="1" s="1"/>
  <c r="BF27" i="1"/>
  <c r="BC27" i="1"/>
  <c r="CM27" i="1" s="1"/>
  <c r="BB27" i="1"/>
  <c r="CL27" i="1" s="1"/>
  <c r="CW26" i="1"/>
  <c r="CU26" i="1"/>
  <c r="CT26" i="1"/>
  <c r="CC26" i="1"/>
  <c r="CG26" i="1" s="1"/>
  <c r="BO26" i="1"/>
  <c r="BN26" i="1"/>
  <c r="BM26" i="1"/>
  <c r="BL26" i="1"/>
  <c r="BK26" i="1"/>
  <c r="BJ26" i="1"/>
  <c r="BI26" i="1"/>
  <c r="CS26" i="1" s="1"/>
  <c r="BH26" i="1"/>
  <c r="CR26" i="1" s="1"/>
  <c r="BF26" i="1"/>
  <c r="BC26" i="1"/>
  <c r="CM26" i="1" s="1"/>
  <c r="BB26" i="1"/>
  <c r="CW25" i="1"/>
  <c r="CV25" i="1"/>
  <c r="CU25" i="1"/>
  <c r="CT25" i="1"/>
  <c r="CC25" i="1"/>
  <c r="CG25" i="1" s="1"/>
  <c r="BO25" i="1"/>
  <c r="BN25" i="1"/>
  <c r="BM25" i="1"/>
  <c r="BK25" i="1"/>
  <c r="BJ25" i="1"/>
  <c r="BI25" i="1"/>
  <c r="CS25" i="1" s="1"/>
  <c r="BH25" i="1"/>
  <c r="BG25" i="1"/>
  <c r="CQ25" i="1" s="1"/>
  <c r="BC25" i="1"/>
  <c r="BB25" i="1"/>
  <c r="CL25" i="1" s="1"/>
  <c r="CW24" i="1"/>
  <c r="CV24" i="1"/>
  <c r="CU24" i="1"/>
  <c r="CC24" i="1"/>
  <c r="CG24" i="1" s="1"/>
  <c r="BO24" i="1"/>
  <c r="BN24" i="1"/>
  <c r="BM24" i="1"/>
  <c r="BL24" i="1"/>
  <c r="BK24" i="1"/>
  <c r="BJ24" i="1"/>
  <c r="BI24" i="1"/>
  <c r="BH24" i="1"/>
  <c r="BG24" i="1"/>
  <c r="BF24" i="1"/>
  <c r="BC24" i="1"/>
  <c r="BB24" i="1"/>
  <c r="CW23" i="1"/>
  <c r="CV23" i="1"/>
  <c r="CU23" i="1"/>
  <c r="CT23" i="1"/>
  <c r="CC23" i="1"/>
  <c r="CG23" i="1" s="1"/>
  <c r="BO23" i="1"/>
  <c r="BN23" i="1"/>
  <c r="BM23" i="1"/>
  <c r="BL23" i="1"/>
  <c r="BK23" i="1"/>
  <c r="BI23" i="1"/>
  <c r="CS23" i="1" s="1"/>
  <c r="BH23" i="1"/>
  <c r="BG23" i="1"/>
  <c r="BF23" i="1"/>
  <c r="BC23" i="1"/>
  <c r="CW22" i="1"/>
  <c r="CV22" i="1"/>
  <c r="CU22" i="1"/>
  <c r="CT22" i="1"/>
  <c r="CC22" i="1"/>
  <c r="CG22" i="1" s="1"/>
  <c r="BO22" i="1"/>
  <c r="BN22" i="1"/>
  <c r="BM22" i="1"/>
  <c r="BL22" i="1"/>
  <c r="BK22" i="1"/>
  <c r="BJ22" i="1"/>
  <c r="BI22" i="1"/>
  <c r="BH22" i="1"/>
  <c r="BG22" i="1"/>
  <c r="CQ22" i="1" s="1"/>
  <c r="BF22" i="1"/>
  <c r="BC22" i="1"/>
  <c r="CM22" i="1" s="1"/>
  <c r="BB22" i="1"/>
  <c r="CL22" i="1" s="1"/>
  <c r="AX17" i="1" a="1"/>
  <c r="AX17" i="1" s="1"/>
  <c r="BB17" i="1"/>
  <c r="BA17" i="1"/>
  <c r="AX16" i="1" a="1"/>
  <c r="AX16" i="1" s="1"/>
  <c r="BB16" i="1"/>
  <c r="BA16" i="1"/>
  <c r="AX15" i="1" a="1"/>
  <c r="AX15" i="1" s="1"/>
  <c r="BB15" i="1"/>
  <c r="BA15" i="1"/>
  <c r="AX14" i="1" a="1"/>
  <c r="AX14" i="1" s="1"/>
  <c r="BB14" i="1"/>
  <c r="BA14" i="1"/>
  <c r="AX13" i="1" a="1"/>
  <c r="AX13" i="1" s="1"/>
  <c r="BB13" i="1"/>
  <c r="BA13" i="1"/>
  <c r="AX12" i="1" a="1"/>
  <c r="AX12" i="1" s="1"/>
  <c r="BB12" i="1"/>
  <c r="BA12" i="1"/>
  <c r="AX11" i="1" a="1"/>
  <c r="AX11" i="1" s="1"/>
  <c r="BB11" i="1"/>
  <c r="BA11" i="1"/>
  <c r="AX10" i="1" a="1"/>
  <c r="AX10" i="1" s="1"/>
  <c r="BB10" i="1"/>
  <c r="BA10" i="1"/>
  <c r="AX9" i="1" a="1"/>
  <c r="AX9" i="1" s="1"/>
  <c r="BB9" i="1"/>
  <c r="BA9" i="1"/>
  <c r="AX8" i="1" a="1"/>
  <c r="AX8" i="1" s="1"/>
  <c r="BB8" i="1"/>
  <c r="BA8" i="1"/>
  <c r="AX7" i="1" a="1"/>
  <c r="AX7" i="1" s="1"/>
  <c r="BB7" i="1"/>
  <c r="BA7" i="1"/>
  <c r="AX6" i="1" a="1"/>
  <c r="AX6" i="1" s="1"/>
  <c r="BB6" i="1"/>
  <c r="BA6" i="1"/>
  <c r="AX5" i="1" a="1"/>
  <c r="AX5" i="1" s="1"/>
  <c r="BB5" i="1"/>
  <c r="BA5" i="1"/>
  <c r="AX4" i="1" a="1"/>
  <c r="AX4" i="1" s="1"/>
  <c r="BB4" i="1"/>
  <c r="BA4" i="1"/>
  <c r="BC3" i="1"/>
  <c r="AX3" i="1" a="1"/>
  <c r="AX3" i="1" s="1"/>
  <c r="BB3" i="1"/>
  <c r="BA3" i="1"/>
  <c r="AO3" i="1"/>
  <c r="BL52" i="1" l="1"/>
  <c r="BB23" i="1"/>
  <c r="CL23" i="1" s="1"/>
  <c r="DC23" i="1" s="1"/>
  <c r="BJ23" i="1"/>
  <c r="CT24" i="1"/>
  <c r="CZ24" i="1" s="1"/>
  <c r="BF25" i="1"/>
  <c r="CP25" i="1" s="1"/>
  <c r="BL25" i="1"/>
  <c r="BR25" i="1" s="1"/>
  <c r="BY25" i="1" s="1"/>
  <c r="BG26" i="1"/>
  <c r="CQ26" i="1" s="1"/>
  <c r="CV26" i="1"/>
  <c r="DA26" i="1" s="1"/>
  <c r="BN27" i="1"/>
  <c r="BB29" i="1"/>
  <c r="CL29" i="1" s="1"/>
  <c r="DC29" i="1" s="1"/>
  <c r="BJ29" i="1"/>
  <c r="BU29" i="1" s="1"/>
  <c r="CT30" i="1"/>
  <c r="CX30" i="1" s="1"/>
  <c r="BF31" i="1"/>
  <c r="CP31" i="1" s="1"/>
  <c r="BL31" i="1"/>
  <c r="BT31" i="1" s="1"/>
  <c r="BG32" i="1"/>
  <c r="CQ32" i="1" s="1"/>
  <c r="CV32" i="1"/>
  <c r="DA32" i="1" s="1"/>
  <c r="BN33" i="1"/>
  <c r="BS33" i="1" s="1"/>
  <c r="BZ33" i="1" s="1"/>
  <c r="BB35" i="1"/>
  <c r="CL35" i="1" s="1"/>
  <c r="DE35" i="1" s="1"/>
  <c r="BJ35" i="1"/>
  <c r="BU35" i="1" s="1"/>
  <c r="CT36" i="1"/>
  <c r="CX36" i="1" s="1"/>
  <c r="BF37" i="1"/>
  <c r="CP37" i="1" s="1"/>
  <c r="BL37" i="1"/>
  <c r="BP37" i="1" s="1"/>
  <c r="BG41" i="1"/>
  <c r="BG42" i="1"/>
  <c r="BL44" i="1"/>
  <c r="BB46" i="1"/>
  <c r="BJ46" i="1"/>
  <c r="BB47" i="1"/>
  <c r="BN48" i="1"/>
  <c r="BS48" i="1" s="1"/>
  <c r="BZ48" i="1" s="1"/>
  <c r="BG28" i="1"/>
  <c r="CQ28" i="1" s="1"/>
  <c r="CV28" i="1"/>
  <c r="BN29" i="1"/>
  <c r="BS29" i="1" s="1"/>
  <c r="BZ29" i="1" s="1"/>
  <c r="BB31" i="1"/>
  <c r="CL31" i="1" s="1"/>
  <c r="DC31" i="1" s="1"/>
  <c r="BJ31" i="1"/>
  <c r="BW31" i="1" s="1"/>
  <c r="CT32" i="1"/>
  <c r="CZ32" i="1" s="1"/>
  <c r="BF33" i="1"/>
  <c r="BD33" i="1" s="1"/>
  <c r="BL33" i="1"/>
  <c r="BR33" i="1" s="1"/>
  <c r="BY33" i="1" s="1"/>
  <c r="BG34" i="1"/>
  <c r="CQ34" i="1" s="1"/>
  <c r="CV34" i="1"/>
  <c r="CX34" i="1" s="1"/>
  <c r="BN35" i="1"/>
  <c r="BS35" i="1" s="1"/>
  <c r="BZ35" i="1" s="1"/>
  <c r="BB37" i="1"/>
  <c r="CL37" i="1" s="1"/>
  <c r="DE37" i="1" s="1"/>
  <c r="BJ37" i="1"/>
  <c r="BW37" i="1" s="1"/>
  <c r="BG45" i="1"/>
  <c r="BN46" i="1"/>
  <c r="BS46" i="1" s="1"/>
  <c r="BZ46" i="1" s="1"/>
  <c r="BF43" i="1"/>
  <c r="BD43" i="1" s="1"/>
  <c r="BL43" i="1"/>
  <c r="BR43" i="1" s="1"/>
  <c r="BY43" i="1" s="1"/>
  <c r="BG44" i="1"/>
  <c r="BN44" i="1"/>
  <c r="BS44" i="1" s="1"/>
  <c r="BZ44" i="1" s="1"/>
  <c r="BF48" i="1"/>
  <c r="BD48" i="1" s="1"/>
  <c r="BL48" i="1"/>
  <c r="BR48" i="1" s="1"/>
  <c r="BY48" i="1" s="1"/>
  <c r="BG52" i="1"/>
  <c r="BN52" i="1"/>
  <c r="BP52" i="1" s="1"/>
  <c r="BG47" i="1"/>
  <c r="BG48" i="1"/>
  <c r="BL53" i="1"/>
  <c r="BR53" i="1" s="1"/>
  <c r="BY53" i="1" s="1"/>
  <c r="CR22" i="1"/>
  <c r="CS29" i="1"/>
  <c r="CQ23" i="1"/>
  <c r="CM23" i="1"/>
  <c r="DF23" i="1" s="1"/>
  <c r="CS27" i="1"/>
  <c r="CQ24" i="1"/>
  <c r="CR25" i="1"/>
  <c r="CL33" i="1"/>
  <c r="DC33" i="1" s="1"/>
  <c r="CQ36" i="1"/>
  <c r="CR37" i="1"/>
  <c r="CL26" i="1"/>
  <c r="DC26" i="1" s="1"/>
  <c r="CL24" i="1"/>
  <c r="DE24" i="1" s="1"/>
  <c r="CM25" i="1"/>
  <c r="DD25" i="1" s="1"/>
  <c r="CL30" i="1"/>
  <c r="DE30" i="1" s="1"/>
  <c r="CP32" i="1"/>
  <c r="CQ33" i="1"/>
  <c r="CR34" i="1"/>
  <c r="CS35" i="1"/>
  <c r="CL36" i="1"/>
  <c r="CM37" i="1"/>
  <c r="DF37" i="1" s="1"/>
  <c r="CS22" i="1"/>
  <c r="CM24" i="1"/>
  <c r="DD24" i="1" s="1"/>
  <c r="CM30" i="1"/>
  <c r="DD30" i="1" s="1"/>
  <c r="CR33" i="1"/>
  <c r="CS34" i="1"/>
  <c r="CM36" i="1"/>
  <c r="DF36" i="1" s="1"/>
  <c r="CP24" i="1"/>
  <c r="CL28" i="1"/>
  <c r="DC28" i="1" s="1"/>
  <c r="CP30" i="1"/>
  <c r="CR32" i="1"/>
  <c r="CS33" i="1"/>
  <c r="CL34" i="1"/>
  <c r="CM35" i="1"/>
  <c r="DD35" i="1" s="1"/>
  <c r="CP36" i="1"/>
  <c r="CQ37" i="1"/>
  <c r="CQ30" i="1"/>
  <c r="CM34" i="1"/>
  <c r="DD34" i="1" s="1"/>
  <c r="CR24" i="1"/>
  <c r="CQ29" i="1"/>
  <c r="CL32" i="1"/>
  <c r="CM33" i="1"/>
  <c r="DF33" i="1" s="1"/>
  <c r="CQ35" i="1"/>
  <c r="CS37" i="1"/>
  <c r="CR23" i="1"/>
  <c r="CS24" i="1"/>
  <c r="CP27" i="1"/>
  <c r="CS30" i="1"/>
  <c r="CM32" i="1"/>
  <c r="DD32" i="1" s="1"/>
  <c r="CR35" i="1"/>
  <c r="CS36" i="1"/>
  <c r="BG54" i="1"/>
  <c r="BB44" i="1"/>
  <c r="BJ44" i="1"/>
  <c r="BB45" i="1"/>
  <c r="BJ45" i="1"/>
  <c r="BW45" i="1" s="1"/>
  <c r="BN54" i="1"/>
  <c r="BS54" i="1" s="1"/>
  <c r="BZ54" i="1" s="1"/>
  <c r="BF45" i="1"/>
  <c r="BD45" i="1" s="1"/>
  <c r="BL45" i="1"/>
  <c r="BP45" i="1" s="1"/>
  <c r="BL55" i="1"/>
  <c r="BR55" i="1" s="1"/>
  <c r="BY55" i="1" s="1"/>
  <c r="BF53" i="1"/>
  <c r="BD53" i="1" s="1"/>
  <c r="BG53" i="1"/>
  <c r="BN53" i="1"/>
  <c r="BG55" i="1"/>
  <c r="BF52" i="1"/>
  <c r="BD52" i="1" s="1"/>
  <c r="BL54" i="1"/>
  <c r="BR54" i="1" s="1"/>
  <c r="BY54" i="1" s="1"/>
  <c r="BF55" i="1"/>
  <c r="BD55" i="1" s="1"/>
  <c r="BF54" i="1"/>
  <c r="BD54" i="1" s="1"/>
  <c r="CE24" i="1"/>
  <c r="CF24" i="1" s="1"/>
  <c r="CD24" i="1"/>
  <c r="CE30" i="1"/>
  <c r="CF30" i="1" s="1"/>
  <c r="CD30" i="1"/>
  <c r="CD36" i="1"/>
  <c r="CE36" i="1"/>
  <c r="CF36" i="1" s="1"/>
  <c r="CD23" i="1"/>
  <c r="CE23" i="1"/>
  <c r="CF23" i="1" s="1"/>
  <c r="CD29" i="1"/>
  <c r="CE29" i="1"/>
  <c r="CF29" i="1" s="1"/>
  <c r="CD35" i="1"/>
  <c r="CE35" i="1"/>
  <c r="CF35" i="1" s="1"/>
  <c r="CD22" i="1"/>
  <c r="CE22" i="1"/>
  <c r="CF22" i="1" s="1"/>
  <c r="CD28" i="1"/>
  <c r="CE28" i="1"/>
  <c r="CF28" i="1" s="1"/>
  <c r="CD34" i="1"/>
  <c r="CE34" i="1"/>
  <c r="CF34" i="1" s="1"/>
  <c r="CE27" i="1"/>
  <c r="CF27" i="1" s="1"/>
  <c r="CD27" i="1"/>
  <c r="CE33" i="1"/>
  <c r="CF33" i="1" s="1"/>
  <c r="CD33" i="1"/>
  <c r="CD26" i="1"/>
  <c r="CE26" i="1"/>
  <c r="CF26" i="1" s="1"/>
  <c r="CD32" i="1"/>
  <c r="CE32" i="1"/>
  <c r="CF32" i="1" s="1"/>
  <c r="BG59" i="1"/>
  <c r="CD25" i="1"/>
  <c r="CE25" i="1"/>
  <c r="CF25" i="1" s="1"/>
  <c r="CD31" i="1"/>
  <c r="CE31" i="1"/>
  <c r="CF31" i="1" s="1"/>
  <c r="CD37" i="1"/>
  <c r="CE37" i="1"/>
  <c r="CF37" i="1" s="1"/>
  <c r="BN55" i="1"/>
  <c r="BN59" i="1"/>
  <c r="BT59" i="1" s="1"/>
  <c r="BJ60" i="1"/>
  <c r="BB52" i="1"/>
  <c r="BJ52" i="1"/>
  <c r="BB53" i="1"/>
  <c r="BJ53" i="1"/>
  <c r="BB54" i="1"/>
  <c r="BJ54" i="1"/>
  <c r="BB55" i="1"/>
  <c r="BJ55" i="1"/>
  <c r="BB59" i="1"/>
  <c r="BJ59" i="1"/>
  <c r="BU59" i="1" s="1"/>
  <c r="BB60" i="1"/>
  <c r="BF59" i="1"/>
  <c r="BD59" i="1" s="1"/>
  <c r="BF60" i="1"/>
  <c r="BD60" i="1" s="1"/>
  <c r="BL60" i="1"/>
  <c r="BR60" i="1" s="1"/>
  <c r="BY60" i="1" s="1"/>
  <c r="BG60" i="1"/>
  <c r="BN60" i="1"/>
  <c r="Z2" i="1"/>
  <c r="AY6" i="1" s="1"/>
  <c r="AZ6" i="1" s="1"/>
  <c r="AY9" i="1"/>
  <c r="AZ9" i="1" s="1"/>
  <c r="AY4" i="1"/>
  <c r="AZ4" i="1" s="1"/>
  <c r="AY5" i="1"/>
  <c r="AZ5" i="1" s="1"/>
  <c r="AY8" i="1"/>
  <c r="AZ8" i="1" s="1"/>
  <c r="AY7" i="1"/>
  <c r="AZ7" i="1" s="1"/>
  <c r="AY3" i="1"/>
  <c r="AZ3" i="1" s="1"/>
  <c r="AY12" i="1"/>
  <c r="AZ12" i="1" s="1"/>
  <c r="AY17" i="1"/>
  <c r="AZ17" i="1" s="1"/>
  <c r="AY13" i="1"/>
  <c r="AZ13" i="1" s="1"/>
  <c r="AY15" i="1"/>
  <c r="AZ15" i="1" s="1"/>
  <c r="AY16" i="1"/>
  <c r="AZ16" i="1" s="1"/>
  <c r="AZ11" i="1"/>
  <c r="BS25" i="1"/>
  <c r="BZ25" i="1" s="1"/>
  <c r="DE25" i="1"/>
  <c r="CZ25" i="1"/>
  <c r="BV23" i="1"/>
  <c r="BV26" i="1"/>
  <c r="BV29" i="1"/>
  <c r="BV32" i="1"/>
  <c r="BX60" i="1"/>
  <c r="BX27" i="1"/>
  <c r="BW24" i="1"/>
  <c r="BQ48" i="1"/>
  <c r="BX41" i="1"/>
  <c r="DA33" i="1"/>
  <c r="BQ23" i="1"/>
  <c r="BQ28" i="1"/>
  <c r="DA30" i="1"/>
  <c r="DA36" i="1"/>
  <c r="BS37" i="1"/>
  <c r="BZ37" i="1" s="1"/>
  <c r="BU27" i="1"/>
  <c r="BR41" i="1"/>
  <c r="BY41" i="1" s="1"/>
  <c r="BV42" i="1"/>
  <c r="BQ46" i="1"/>
  <c r="BQ52" i="1"/>
  <c r="CZ35" i="1"/>
  <c r="CY31" i="1"/>
  <c r="CY35" i="1"/>
  <c r="BP28" i="1"/>
  <c r="CZ28" i="1"/>
  <c r="DF29" i="1"/>
  <c r="BX42" i="1"/>
  <c r="BX53" i="1"/>
  <c r="DA23" i="1"/>
  <c r="BU47" i="1"/>
  <c r="DE23" i="1"/>
  <c r="BX23" i="1"/>
  <c r="BQ24" i="1"/>
  <c r="CY32" i="1"/>
  <c r="CY36" i="1"/>
  <c r="CX37" i="1"/>
  <c r="BU42" i="1"/>
  <c r="BQ30" i="1"/>
  <c r="BQ36" i="1"/>
  <c r="BD22" i="1"/>
  <c r="BP22" i="1"/>
  <c r="DD22" i="1"/>
  <c r="BD23" i="1"/>
  <c r="CX27" i="1"/>
  <c r="BW32" i="1"/>
  <c r="BR27" i="1"/>
  <c r="BY27" i="1" s="1"/>
  <c r="DA31" i="1"/>
  <c r="BT32" i="1"/>
  <c r="BR52" i="1"/>
  <c r="BY52" i="1" s="1"/>
  <c r="BV55" i="1"/>
  <c r="AZ14" i="1"/>
  <c r="BW25" i="1"/>
  <c r="CY26" i="1"/>
  <c r="DD28" i="1"/>
  <c r="BV28" i="1"/>
  <c r="DE31" i="1"/>
  <c r="CZ33" i="1"/>
  <c r="BV34" i="1"/>
  <c r="BV35" i="1"/>
  <c r="BQ41" i="1"/>
  <c r="BX55" i="1"/>
  <c r="BX25" i="1"/>
  <c r="BQ26" i="1"/>
  <c r="BQ29" i="1"/>
  <c r="DF31" i="1"/>
  <c r="BX31" i="1"/>
  <c r="BQ33" i="1"/>
  <c r="BD35" i="1"/>
  <c r="BS42" i="1"/>
  <c r="BZ42" i="1" s="1"/>
  <c r="BV43" i="1"/>
  <c r="BQ22" i="1"/>
  <c r="DC27" i="1"/>
  <c r="DA27" i="1"/>
  <c r="BQ44" i="1"/>
  <c r="BW22" i="1"/>
  <c r="BW23" i="1"/>
  <c r="CX23" i="1"/>
  <c r="BQ25" i="1"/>
  <c r="BS28" i="1"/>
  <c r="BZ28" i="1" s="1"/>
  <c r="BW34" i="1"/>
  <c r="DA35" i="1"/>
  <c r="BX43" i="1"/>
  <c r="BQ54" i="1"/>
  <c r="BA22" i="1"/>
  <c r="BU22" i="1"/>
  <c r="DB29" i="1"/>
  <c r="CX31" i="1"/>
  <c r="BA34" i="1"/>
  <c r="BW42" i="1"/>
  <c r="CP22" i="1"/>
  <c r="BA30" i="1"/>
  <c r="BP32" i="1"/>
  <c r="BA36" i="1"/>
  <c r="BA52" i="1"/>
  <c r="CX22" i="1"/>
  <c r="DA24" i="1"/>
  <c r="BT27" i="1"/>
  <c r="BW28" i="1"/>
  <c r="BS31" i="1"/>
  <c r="BZ31" i="1" s="1"/>
  <c r="BA32" i="1"/>
  <c r="CK32" i="1" s="1"/>
  <c r="BD32" i="1"/>
  <c r="BR35" i="1"/>
  <c r="BY35" i="1" s="1"/>
  <c r="BA48" i="1"/>
  <c r="BA55" i="1"/>
  <c r="BA23" i="1"/>
  <c r="BP23" i="1"/>
  <c r="BU24" i="1"/>
  <c r="BS34" i="1"/>
  <c r="BZ34" i="1" s="1"/>
  <c r="BA37" i="1"/>
  <c r="BS22" i="1"/>
  <c r="BZ22" i="1" s="1"/>
  <c r="BT28" i="1"/>
  <c r="BU30" i="1"/>
  <c r="BP41" i="1"/>
  <c r="DF22" i="1"/>
  <c r="BS23" i="1"/>
  <c r="BZ23" i="1" s="1"/>
  <c r="BA25" i="1"/>
  <c r="CK25" i="1" s="1"/>
  <c r="BX28" i="1"/>
  <c r="BX30" i="1"/>
  <c r="BA33" i="1"/>
  <c r="BX37" i="1"/>
  <c r="BV41" i="1"/>
  <c r="BA43" i="1"/>
  <c r="BV45" i="1"/>
  <c r="BV47" i="1"/>
  <c r="BA54" i="1"/>
  <c r="BR22" i="1"/>
  <c r="BY22" i="1" s="1"/>
  <c r="DA22" i="1"/>
  <c r="BV24" i="1"/>
  <c r="DA25" i="1"/>
  <c r="BR26" i="1"/>
  <c r="BY26" i="1" s="1"/>
  <c r="BQ27" i="1"/>
  <c r="BX29" i="1"/>
  <c r="DA29" i="1"/>
  <c r="BV30" i="1"/>
  <c r="BA31" i="1"/>
  <c r="CK31" i="1" s="1"/>
  <c r="BR31" i="1"/>
  <c r="BY31" i="1" s="1"/>
  <c r="BX34" i="1"/>
  <c r="BD37" i="1"/>
  <c r="CN37" i="1" s="1"/>
  <c r="BD42" i="1"/>
  <c r="BD44" i="1"/>
  <c r="BX45" i="1"/>
  <c r="BA46" i="1"/>
  <c r="BD46" i="1"/>
  <c r="BR46" i="1"/>
  <c r="BY46" i="1" s="1"/>
  <c r="BX47" i="1"/>
  <c r="BA59" i="1"/>
  <c r="BR59" i="1"/>
  <c r="BY59" i="1" s="1"/>
  <c r="BA24" i="1"/>
  <c r="CK24" i="1" s="1"/>
  <c r="CY25" i="1"/>
  <c r="DF26" i="1"/>
  <c r="BT26" i="1"/>
  <c r="BV27" i="1"/>
  <c r="BR30" i="1"/>
  <c r="BY30" i="1" s="1"/>
  <c r="BX33" i="1"/>
  <c r="CY37" i="1"/>
  <c r="BV59" i="1"/>
  <c r="BA26" i="1"/>
  <c r="CK26" i="1" s="1"/>
  <c r="BX26" i="1"/>
  <c r="BD28" i="1"/>
  <c r="BA29" i="1"/>
  <c r="CK29" i="1" s="1"/>
  <c r="CY29" i="1"/>
  <c r="BA35" i="1"/>
  <c r="CZ37" i="1"/>
  <c r="BA53" i="1"/>
  <c r="BA60" i="1"/>
  <c r="BX22" i="1"/>
  <c r="CY23" i="1"/>
  <c r="BA27" i="1"/>
  <c r="CK27" i="1" s="1"/>
  <c r="BA28" i="1"/>
  <c r="BT30" i="1"/>
  <c r="BX32" i="1"/>
  <c r="CY34" i="1"/>
  <c r="BX36" i="1"/>
  <c r="BD41" i="1"/>
  <c r="BQ42" i="1"/>
  <c r="BA45" i="1"/>
  <c r="BA47" i="1"/>
  <c r="BR47" i="1"/>
  <c r="BY47" i="1" s="1"/>
  <c r="BV53" i="1"/>
  <c r="BX59" i="1"/>
  <c r="BQ60" i="1"/>
  <c r="CY22" i="1"/>
  <c r="DE22" i="1"/>
  <c r="CZ23" i="1"/>
  <c r="BD24" i="1"/>
  <c r="BP24" i="1"/>
  <c r="CP34" i="1"/>
  <c r="BD34" i="1"/>
  <c r="CN34" i="1" s="1"/>
  <c r="BT34" i="1"/>
  <c r="BP34" i="1"/>
  <c r="BU34" i="1"/>
  <c r="BR34" i="1"/>
  <c r="BY34" i="1" s="1"/>
  <c r="BP42" i="1"/>
  <c r="BT42" i="1"/>
  <c r="BR42" i="1"/>
  <c r="BY42" i="1" s="1"/>
  <c r="CZ22" i="1"/>
  <c r="DF28" i="1"/>
  <c r="CY28" i="1"/>
  <c r="BD29" i="1"/>
  <c r="CN29" i="1" s="1"/>
  <c r="CP29" i="1"/>
  <c r="CY30" i="1"/>
  <c r="BX46" i="1"/>
  <c r="BV46" i="1"/>
  <c r="BS47" i="1"/>
  <c r="BZ47" i="1" s="1"/>
  <c r="BW47" i="1"/>
  <c r="BT47" i="1"/>
  <c r="BT22" i="1"/>
  <c r="BR23" i="1"/>
  <c r="BY23" i="1" s="1"/>
  <c r="DB23" i="1"/>
  <c r="BR24" i="1"/>
  <c r="BY24" i="1" s="1"/>
  <c r="BS24" i="1"/>
  <c r="BZ24" i="1" s="1"/>
  <c r="CX25" i="1"/>
  <c r="DB25" i="1"/>
  <c r="DC25" i="1"/>
  <c r="BD26" i="1"/>
  <c r="BP26" i="1"/>
  <c r="BU26" i="1"/>
  <c r="CP26" i="1"/>
  <c r="DB27" i="1"/>
  <c r="DB33" i="1"/>
  <c r="CX33" i="1"/>
  <c r="BQ35" i="1"/>
  <c r="BX35" i="1"/>
  <c r="AO4" i="1"/>
  <c r="DB22" i="1"/>
  <c r="CP23" i="1"/>
  <c r="BT24" i="1"/>
  <c r="BV25" i="1"/>
  <c r="CY27" i="1"/>
  <c r="DD27" i="1"/>
  <c r="CR30" i="1"/>
  <c r="BD30" i="1"/>
  <c r="CN30" i="1" s="1"/>
  <c r="BW30" i="1"/>
  <c r="BP30" i="1"/>
  <c r="BS30" i="1"/>
  <c r="BZ30" i="1" s="1"/>
  <c r="CZ34" i="1"/>
  <c r="BD36" i="1"/>
  <c r="CN36" i="1" s="1"/>
  <c r="CR36" i="1"/>
  <c r="BP36" i="1"/>
  <c r="BS36" i="1"/>
  <c r="BZ36" i="1" s="1"/>
  <c r="BW36" i="1"/>
  <c r="BV22" i="1"/>
  <c r="DC22" i="1"/>
  <c r="BT23" i="1"/>
  <c r="BS26" i="1"/>
  <c r="BZ26" i="1" s="1"/>
  <c r="BW26" i="1"/>
  <c r="DE27" i="1"/>
  <c r="BQ31" i="1"/>
  <c r="BV31" i="1"/>
  <c r="BU23" i="1"/>
  <c r="BX24" i="1"/>
  <c r="CY24" i="1"/>
  <c r="DD26" i="1"/>
  <c r="CR27" i="1"/>
  <c r="BD27" i="1"/>
  <c r="CN27" i="1" s="1"/>
  <c r="BW27" i="1"/>
  <c r="BP27" i="1"/>
  <c r="BS27" i="1"/>
  <c r="BZ27" i="1" s="1"/>
  <c r="DF27" i="1"/>
  <c r="BR29" i="1"/>
  <c r="BY29" i="1" s="1"/>
  <c r="BU32" i="1"/>
  <c r="BV33" i="1"/>
  <c r="CZ27" i="1"/>
  <c r="BU28" i="1"/>
  <c r="CX29" i="1"/>
  <c r="DD29" i="1"/>
  <c r="CY33" i="1"/>
  <c r="CX35" i="1"/>
  <c r="BV36" i="1"/>
  <c r="BA41" i="1"/>
  <c r="BU41" i="1"/>
  <c r="BA42" i="1"/>
  <c r="BX54" i="1"/>
  <c r="BV54" i="1"/>
  <c r="CZ26" i="1"/>
  <c r="CZ29" i="1"/>
  <c r="CZ31" i="1"/>
  <c r="BQ32" i="1"/>
  <c r="BQ34" i="1"/>
  <c r="DB35" i="1"/>
  <c r="BQ37" i="1"/>
  <c r="BV37" i="1"/>
  <c r="DB37" i="1"/>
  <c r="BS41" i="1"/>
  <c r="BZ41" i="1" s="1"/>
  <c r="BW41" i="1"/>
  <c r="BR28" i="1"/>
  <c r="BY28" i="1" s="1"/>
  <c r="BR32" i="1"/>
  <c r="BY32" i="1" s="1"/>
  <c r="BS43" i="1"/>
  <c r="BZ43" i="1" s="1"/>
  <c r="BW43" i="1"/>
  <c r="BX48" i="1"/>
  <c r="BV48" i="1"/>
  <c r="DD31" i="1"/>
  <c r="DB31" i="1"/>
  <c r="CP35" i="1"/>
  <c r="BX52" i="1"/>
  <c r="BV52" i="1"/>
  <c r="BS32" i="1"/>
  <c r="BZ32" i="1" s="1"/>
  <c r="BR36" i="1"/>
  <c r="BY36" i="1" s="1"/>
  <c r="BT36" i="1"/>
  <c r="DA37" i="1"/>
  <c r="BT41" i="1"/>
  <c r="BA44" i="1"/>
  <c r="BX44" i="1"/>
  <c r="BV44" i="1"/>
  <c r="BS45" i="1"/>
  <c r="BZ45" i="1" s="1"/>
  <c r="BD47" i="1"/>
  <c r="BU36" i="1"/>
  <c r="BP47" i="1"/>
  <c r="BQ43" i="1"/>
  <c r="BQ45" i="1"/>
  <c r="BT46" i="1"/>
  <c r="BQ47" i="1"/>
  <c r="BQ53" i="1"/>
  <c r="BQ55" i="1"/>
  <c r="BQ59" i="1"/>
  <c r="BU46" i="1"/>
  <c r="BP46" i="1"/>
  <c r="BV60" i="1"/>
  <c r="BP55" i="1" l="1"/>
  <c r="BP25" i="1"/>
  <c r="BT25" i="1"/>
  <c r="BU25" i="1"/>
  <c r="CZ30" i="1"/>
  <c r="DB30" i="1"/>
  <c r="CX26" i="1"/>
  <c r="DB36" i="1"/>
  <c r="DB26" i="1"/>
  <c r="BP31" i="1"/>
  <c r="DF30" i="1"/>
  <c r="DF35" i="1"/>
  <c r="BP29" i="1"/>
  <c r="BT29" i="1"/>
  <c r="CZ36" i="1"/>
  <c r="BW46" i="1"/>
  <c r="DC36" i="1"/>
  <c r="BW44" i="1"/>
  <c r="BU31" i="1"/>
  <c r="BP43" i="1"/>
  <c r="BU43" i="1"/>
  <c r="DD36" i="1"/>
  <c r="DF34" i="1"/>
  <c r="DB34" i="1"/>
  <c r="DB24" i="1"/>
  <c r="BT37" i="1"/>
  <c r="BR37" i="1"/>
  <c r="BY37" i="1" s="1"/>
  <c r="DA34" i="1"/>
  <c r="CX24" i="1"/>
  <c r="BU37" i="1"/>
  <c r="BT43" i="1"/>
  <c r="BW35" i="1"/>
  <c r="BP35" i="1"/>
  <c r="BT35" i="1"/>
  <c r="BS52" i="1"/>
  <c r="BZ52" i="1" s="1"/>
  <c r="BT52" i="1"/>
  <c r="BW52" i="1"/>
  <c r="CP33" i="1"/>
  <c r="BT44" i="1"/>
  <c r="BW29" i="1"/>
  <c r="BW48" i="1"/>
  <c r="BR44" i="1"/>
  <c r="BY44" i="1" s="1"/>
  <c r="CX32" i="1"/>
  <c r="BT33" i="1"/>
  <c r="DE28" i="1"/>
  <c r="BP44" i="1"/>
  <c r="DC32" i="1"/>
  <c r="BW33" i="1"/>
  <c r="BD25" i="1"/>
  <c r="CN25" i="1" s="1"/>
  <c r="DD37" i="1"/>
  <c r="DD33" i="1"/>
  <c r="DE34" i="1"/>
  <c r="DB32" i="1"/>
  <c r="BU33" i="1"/>
  <c r="CX28" i="1"/>
  <c r="BP33" i="1"/>
  <c r="DA28" i="1"/>
  <c r="BD31" i="1"/>
  <c r="BE31" i="1" s="1"/>
  <c r="DB28" i="1"/>
  <c r="DE29" i="1"/>
  <c r="BT48" i="1"/>
  <c r="BP48" i="1"/>
  <c r="BU48" i="1"/>
  <c r="DF25" i="1"/>
  <c r="DE33" i="1"/>
  <c r="BU53" i="1"/>
  <c r="BT53" i="1"/>
  <c r="DC34" i="1"/>
  <c r="DC24" i="1"/>
  <c r="DE36" i="1"/>
  <c r="DC30" i="1"/>
  <c r="DE32" i="1"/>
  <c r="DC37" i="1"/>
  <c r="DD23" i="1"/>
  <c r="DF24" i="1"/>
  <c r="DC35" i="1"/>
  <c r="DE26" i="1"/>
  <c r="DF32" i="1"/>
  <c r="CN26" i="1"/>
  <c r="CK35" i="1"/>
  <c r="DG35" i="1" s="1"/>
  <c r="CN23" i="1"/>
  <c r="CK37" i="1"/>
  <c r="DG37" i="1" s="1"/>
  <c r="CN32" i="1"/>
  <c r="CK30" i="1"/>
  <c r="CK34" i="1"/>
  <c r="CK22" i="1"/>
  <c r="CI22" i="1" s="1"/>
  <c r="CN35" i="1"/>
  <c r="CK33" i="1"/>
  <c r="CI33" i="1" s="1"/>
  <c r="CN22" i="1"/>
  <c r="CN28" i="1"/>
  <c r="CN24" i="1"/>
  <c r="CK28" i="1"/>
  <c r="CI28" i="1" s="1"/>
  <c r="CK36" i="1"/>
  <c r="CI36" i="1" s="1"/>
  <c r="BU54" i="1"/>
  <c r="BU44" i="1"/>
  <c r="BR45" i="1"/>
  <c r="BY45" i="1" s="1"/>
  <c r="BT45" i="1"/>
  <c r="BU45" i="1"/>
  <c r="BP54" i="1"/>
  <c r="BT54" i="1"/>
  <c r="BS53" i="1"/>
  <c r="BZ53" i="1" s="1"/>
  <c r="BP53" i="1"/>
  <c r="BW53" i="1"/>
  <c r="BT55" i="1"/>
  <c r="BS55" i="1"/>
  <c r="BZ55" i="1" s="1"/>
  <c r="BU52" i="1"/>
  <c r="BW55" i="1"/>
  <c r="BS59" i="1"/>
  <c r="BZ59" i="1" s="1"/>
  <c r="BU55" i="1"/>
  <c r="BW59" i="1"/>
  <c r="BP59" i="1"/>
  <c r="CH37" i="1"/>
  <c r="CH31" i="1"/>
  <c r="CI31" i="1"/>
  <c r="CH25" i="1"/>
  <c r="CI25" i="1"/>
  <c r="CH32" i="1"/>
  <c r="CI32" i="1"/>
  <c r="CH26" i="1"/>
  <c r="CI26" i="1"/>
  <c r="CH33" i="1"/>
  <c r="CH27" i="1"/>
  <c r="CI27" i="1"/>
  <c r="CH34" i="1"/>
  <c r="CH28" i="1"/>
  <c r="CH22" i="1"/>
  <c r="CH35" i="1"/>
  <c r="CH29" i="1"/>
  <c r="CI29" i="1"/>
  <c r="CH23" i="1"/>
  <c r="CH36" i="1"/>
  <c r="CH30" i="1"/>
  <c r="CH24" i="1"/>
  <c r="CI24" i="1"/>
  <c r="BW54" i="1"/>
  <c r="BU60" i="1"/>
  <c r="BT60" i="1"/>
  <c r="BP60" i="1"/>
  <c r="BW60" i="1"/>
  <c r="BS60" i="1"/>
  <c r="BZ60" i="1" s="1"/>
  <c r="AY10" i="1"/>
  <c r="AZ10" i="1" s="1"/>
  <c r="AO6" i="1"/>
  <c r="AO5" i="1"/>
  <c r="DH27" i="1"/>
  <c r="BE52" i="1"/>
  <c r="DH31" i="1"/>
  <c r="BE55" i="1"/>
  <c r="BE60" i="1"/>
  <c r="DG31" i="1"/>
  <c r="DG32" i="1"/>
  <c r="DH25" i="1"/>
  <c r="BE23" i="1"/>
  <c r="BE42" i="1"/>
  <c r="CK23" i="1"/>
  <c r="DH23" i="1" s="1"/>
  <c r="BE30" i="1"/>
  <c r="CO30" i="1" s="1"/>
  <c r="BE53" i="1"/>
  <c r="BE22" i="1"/>
  <c r="DG24" i="1"/>
  <c r="DH29" i="1"/>
  <c r="BE54" i="1"/>
  <c r="BE44" i="1"/>
  <c r="BE47" i="1"/>
  <c r="BE48" i="1"/>
  <c r="BE43" i="1"/>
  <c r="BE59" i="1"/>
  <c r="BE45" i="1"/>
  <c r="BE35" i="1"/>
  <c r="DG29" i="1"/>
  <c r="BE32" i="1"/>
  <c r="DH26" i="1"/>
  <c r="DG25" i="1"/>
  <c r="BE24" i="1"/>
  <c r="BE37" i="1"/>
  <c r="DG26" i="1"/>
  <c r="DG27" i="1"/>
  <c r="BE28" i="1"/>
  <c r="BE41" i="1"/>
  <c r="BE46" i="1"/>
  <c r="DH32" i="1"/>
  <c r="BE27" i="1"/>
  <c r="BE26" i="1"/>
  <c r="BE29" i="1"/>
  <c r="DH24" i="1"/>
  <c r="BE34" i="1"/>
  <c r="BE36" i="1"/>
  <c r="CO36" i="1" s="1"/>
  <c r="CN33" i="1"/>
  <c r="BE33" i="1"/>
  <c r="DG30" i="1" l="1"/>
  <c r="DH34" i="1"/>
  <c r="CN31" i="1"/>
  <c r="BE25" i="1"/>
  <c r="CO25" i="1" s="1"/>
  <c r="DH37" i="1"/>
  <c r="DG22" i="1"/>
  <c r="DG33" i="1"/>
  <c r="DH33" i="1"/>
  <c r="CI37" i="1"/>
  <c r="CI34" i="1"/>
  <c r="DH35" i="1"/>
  <c r="DG36" i="1"/>
  <c r="DG28" i="1"/>
  <c r="DH28" i="1"/>
  <c r="CO35" i="1"/>
  <c r="CI35" i="1"/>
  <c r="DH36" i="1"/>
  <c r="CO28" i="1"/>
  <c r="DH22" i="1"/>
  <c r="CO37" i="1"/>
  <c r="CO31" i="1"/>
  <c r="CO24" i="1"/>
  <c r="CO29" i="1"/>
  <c r="CO26" i="1"/>
  <c r="CO33" i="1"/>
  <c r="DH30" i="1"/>
  <c r="CI30" i="1"/>
  <c r="CO32" i="1"/>
  <c r="CO22" i="1"/>
  <c r="DG34" i="1"/>
  <c r="CO27" i="1"/>
  <c r="CO34" i="1"/>
  <c r="CO23" i="1"/>
  <c r="CI23" i="1"/>
  <c r="AO7" i="1"/>
  <c r="DG23" i="1"/>
  <c r="AE41" i="1"/>
  <c r="AF41" i="1"/>
  <c r="AI41" i="1"/>
  <c r="AG41" i="1"/>
  <c r="AH41" i="1"/>
  <c r="AF2" i="1"/>
  <c r="AH2" i="1"/>
  <c r="AI2" i="1"/>
  <c r="AE2" i="1"/>
  <c r="AG2" i="1"/>
  <c r="AF8" i="1"/>
  <c r="AG8" i="1"/>
  <c r="AE8" i="1"/>
  <c r="AH8" i="1"/>
  <c r="AI8" i="1"/>
  <c r="AI14" i="1"/>
  <c r="AF14" i="1"/>
  <c r="AG14" i="1"/>
  <c r="AH14" i="1"/>
  <c r="AE14" i="1"/>
  <c r="AG20" i="1"/>
  <c r="AE20" i="1"/>
  <c r="AF20" i="1"/>
  <c r="AH20" i="1"/>
  <c r="AI20" i="1"/>
  <c r="AF26" i="1"/>
  <c r="AH26" i="1"/>
  <c r="AG26" i="1"/>
  <c r="AE26" i="1"/>
  <c r="AI26" i="1"/>
  <c r="AI32" i="1"/>
  <c r="AF32" i="1"/>
  <c r="AG32" i="1"/>
  <c r="AH32" i="1"/>
  <c r="AE32" i="1"/>
  <c r="AG38" i="1"/>
  <c r="AH38" i="1"/>
  <c r="AF38" i="1"/>
  <c r="AI38" i="1"/>
  <c r="AE38" i="1"/>
  <c r="AI44" i="1"/>
  <c r="AH44" i="1"/>
  <c r="AG44" i="1"/>
  <c r="AE44" i="1"/>
  <c r="AF44" i="1"/>
  <c r="AI4" i="1"/>
  <c r="AE4" i="1"/>
  <c r="AG4" i="1"/>
  <c r="AF4" i="1"/>
  <c r="AH4" i="1"/>
  <c r="AF10" i="1"/>
  <c r="AG10" i="1"/>
  <c r="AH10" i="1"/>
  <c r="AI10" i="1"/>
  <c r="AE10" i="1"/>
  <c r="AG16" i="1"/>
  <c r="AE16" i="1"/>
  <c r="AH16" i="1"/>
  <c r="AF16" i="1"/>
  <c r="AI16" i="1"/>
  <c r="AH22" i="1"/>
  <c r="AE22" i="1"/>
  <c r="AF22" i="1"/>
  <c r="AI22" i="1"/>
  <c r="AG22" i="1"/>
  <c r="AF28" i="1"/>
  <c r="AE28" i="1"/>
  <c r="AI28" i="1"/>
  <c r="AG28" i="1"/>
  <c r="AH28" i="1"/>
  <c r="AG34" i="1"/>
  <c r="AE34" i="1"/>
  <c r="AH34" i="1"/>
  <c r="AI34" i="1"/>
  <c r="AF34" i="1"/>
  <c r="AF40" i="1"/>
  <c r="AH40" i="1"/>
  <c r="AI40" i="1"/>
  <c r="AE40" i="1"/>
  <c r="AG40" i="1"/>
  <c r="AI46" i="1"/>
  <c r="AF46" i="1"/>
  <c r="AG46" i="1"/>
  <c r="AE46" i="1"/>
  <c r="AH46" i="1"/>
  <c r="AI5" i="1"/>
  <c r="AH5" i="1"/>
  <c r="AG5" i="1"/>
  <c r="AE5" i="1"/>
  <c r="AF5" i="1"/>
  <c r="AI11" i="1"/>
  <c r="AE11" i="1"/>
  <c r="AF11" i="1"/>
  <c r="AH11" i="1"/>
  <c r="AG11" i="1"/>
  <c r="AF17" i="1"/>
  <c r="AI17" i="1"/>
  <c r="AH17" i="1"/>
  <c r="AE17" i="1"/>
  <c r="AG17" i="1"/>
  <c r="AE23" i="1"/>
  <c r="AF23" i="1"/>
  <c r="AI23" i="1"/>
  <c r="AG23" i="1"/>
  <c r="AH23" i="1"/>
  <c r="AI29" i="1"/>
  <c r="AE29" i="1"/>
  <c r="AH29" i="1"/>
  <c r="AF29" i="1"/>
  <c r="AG29" i="1"/>
  <c r="AI35" i="1"/>
  <c r="AF35" i="1"/>
  <c r="AG35" i="1"/>
  <c r="AH35" i="1"/>
  <c r="AE35" i="1"/>
  <c r="AF47" i="1"/>
  <c r="AI47" i="1"/>
  <c r="AH47" i="1"/>
  <c r="AE47" i="1"/>
  <c r="AG47" i="1"/>
  <c r="AG6" i="1"/>
  <c r="AE6" i="1"/>
  <c r="AI6" i="1"/>
  <c r="AH6" i="1"/>
  <c r="AF6" i="1"/>
  <c r="AH12" i="1"/>
  <c r="AG12" i="1"/>
  <c r="AF12" i="1"/>
  <c r="AI12" i="1"/>
  <c r="AE12" i="1"/>
  <c r="AG18" i="1"/>
  <c r="AH18" i="1"/>
  <c r="AI18" i="1"/>
  <c r="AE18" i="1"/>
  <c r="AF18" i="1"/>
  <c r="AF24" i="1"/>
  <c r="AG24" i="1"/>
  <c r="AH24" i="1"/>
  <c r="AI24" i="1"/>
  <c r="AE24" i="1"/>
  <c r="AI30" i="1"/>
  <c r="AF30" i="1"/>
  <c r="AH30" i="1"/>
  <c r="AE30" i="1"/>
  <c r="AG30" i="1"/>
  <c r="AH36" i="1"/>
  <c r="AI36" i="1"/>
  <c r="AF36" i="1"/>
  <c r="AE36" i="1"/>
  <c r="AG36" i="1"/>
  <c r="AF3" i="1"/>
  <c r="AE3" i="1"/>
  <c r="AI3" i="1"/>
  <c r="AG3" i="1"/>
  <c r="AH3" i="1"/>
  <c r="AG9" i="1"/>
  <c r="AH9" i="1"/>
  <c r="AI9" i="1"/>
  <c r="AE9" i="1"/>
  <c r="AF9" i="1"/>
  <c r="AG15" i="1"/>
  <c r="AE15" i="1"/>
  <c r="AI15" i="1"/>
  <c r="AF15" i="1"/>
  <c r="AH15" i="1"/>
  <c r="AE21" i="1"/>
  <c r="AH21" i="1"/>
  <c r="AF21" i="1"/>
  <c r="AI21" i="1"/>
  <c r="AG21" i="1"/>
  <c r="AH27" i="1"/>
  <c r="AI27" i="1"/>
  <c r="AE27" i="1"/>
  <c r="AF27" i="1"/>
  <c r="AG27" i="1"/>
  <c r="AI33" i="1"/>
  <c r="AH33" i="1"/>
  <c r="AE33" i="1"/>
  <c r="AG33" i="1"/>
  <c r="AF33" i="1"/>
  <c r="AF39" i="1"/>
  <c r="AI39" i="1"/>
  <c r="AG39" i="1"/>
  <c r="AE39" i="1"/>
  <c r="AH39" i="1"/>
  <c r="AF45" i="1"/>
  <c r="AI45" i="1"/>
  <c r="AG45" i="1"/>
  <c r="AH45" i="1"/>
  <c r="AE45" i="1"/>
  <c r="AG7" i="1"/>
  <c r="AE7" i="1"/>
  <c r="AI7" i="1"/>
  <c r="AF7" i="1"/>
  <c r="AH7" i="1"/>
  <c r="AE13" i="1"/>
  <c r="AG13" i="1"/>
  <c r="AH13" i="1"/>
  <c r="AI13" i="1"/>
  <c r="AF13" i="1"/>
  <c r="AI19" i="1"/>
  <c r="AG19" i="1"/>
  <c r="AE19" i="1"/>
  <c r="AF19" i="1"/>
  <c r="AH19" i="1"/>
  <c r="AE25" i="1"/>
  <c r="AF25" i="1"/>
  <c r="AG25" i="1"/>
  <c r="AI25" i="1"/>
  <c r="AH25" i="1"/>
  <c r="AE31" i="1"/>
  <c r="AI31" i="1"/>
  <c r="AH31" i="1"/>
  <c r="AF31" i="1"/>
  <c r="AG31" i="1"/>
  <c r="AI37" i="1"/>
  <c r="AH37" i="1"/>
  <c r="AE37" i="1"/>
  <c r="AG37" i="1"/>
  <c r="AF37" i="1"/>
  <c r="AI43" i="1"/>
  <c r="AF43" i="1"/>
  <c r="AH43" i="1"/>
  <c r="AG43" i="1"/>
  <c r="AE43" i="1"/>
  <c r="AI42" i="1"/>
  <c r="AG42" i="1"/>
  <c r="AH42" i="1"/>
  <c r="AF42" i="1"/>
  <c r="AE42" i="1"/>
</calcChain>
</file>

<file path=xl/sharedStrings.xml><?xml version="1.0" encoding="utf-8"?>
<sst xmlns="http://schemas.openxmlformats.org/spreadsheetml/2006/main" count="571" uniqueCount="206">
  <si>
    <t>DATE</t>
  </si>
  <si>
    <t>CONF</t>
  </si>
  <si>
    <t>ROUNDNUM</t>
  </si>
  <si>
    <t>SERIESCODE</t>
  </si>
  <si>
    <t>GAMENUM</t>
  </si>
  <si>
    <t>TOPSEED</t>
  </si>
  <si>
    <t>LOWSEED</t>
  </si>
  <si>
    <t>TOPSEEDWINS</t>
  </si>
  <si>
    <t>LOWSEEDWINS</t>
  </si>
  <si>
    <t>AWAYTEAM</t>
  </si>
  <si>
    <t>HOMETEAM</t>
  </si>
  <si>
    <t>MYCHOICE</t>
  </si>
  <si>
    <t>LOCKEDIN</t>
  </si>
  <si>
    <t>OTROUNDNUM</t>
  </si>
  <si>
    <t>CORRECT</t>
  </si>
  <si>
    <t>WINNER</t>
  </si>
  <si>
    <t>EAST</t>
  </si>
  <si>
    <t>ER1M2M3</t>
  </si>
  <si>
    <t>CAR</t>
  </si>
  <si>
    <t>TopSeed</t>
  </si>
  <si>
    <t>LowSeed</t>
  </si>
  <si>
    <t>GP In Series</t>
  </si>
  <si>
    <t>Guessed Right</t>
  </si>
  <si>
    <t>Pct Right</t>
  </si>
  <si>
    <t>TopSeedGoals</t>
  </si>
  <si>
    <t>LowSeedGoals</t>
  </si>
  <si>
    <t>HomeGoals</t>
  </si>
  <si>
    <t>AwayGoals</t>
  </si>
  <si>
    <t>HomeWins</t>
  </si>
  <si>
    <t>AwayWins</t>
  </si>
  <si>
    <t>Num Ots</t>
  </si>
  <si>
    <t>ER1A2A3</t>
  </si>
  <si>
    <t>Max Possible Games R1</t>
  </si>
  <si>
    <t>ER1A1WC1</t>
  </si>
  <si>
    <t>TBL</t>
  </si>
  <si>
    <t>Min Possible Games R1</t>
  </si>
  <si>
    <t>ER1M1WC2</t>
  </si>
  <si>
    <t>Games Completed</t>
  </si>
  <si>
    <t>WEST</t>
  </si>
  <si>
    <t>WR1C2C3</t>
  </si>
  <si>
    <t>COL</t>
  </si>
  <si>
    <t>Games Correct</t>
  </si>
  <si>
    <t>WR1P1WC1</t>
  </si>
  <si>
    <t>Percent Correct</t>
  </si>
  <si>
    <t>WR1P2P3</t>
  </si>
  <si>
    <t>WR1C1WC2</t>
  </si>
  <si>
    <t>DAL</t>
  </si>
  <si>
    <t>VGK</t>
  </si>
  <si>
    <t>EDM</t>
  </si>
  <si>
    <t>LAK</t>
  </si>
  <si>
    <t>ER2M1M2</t>
  </si>
  <si>
    <t>ER2A1A2</t>
  </si>
  <si>
    <t>WR2C1C2</t>
  </si>
  <si>
    <t>WR2P1P2</t>
  </si>
  <si>
    <t>ER3AM</t>
  </si>
  <si>
    <t>WR3PC</t>
  </si>
  <si>
    <t>SCF</t>
  </si>
  <si>
    <t>GP R1</t>
  </si>
  <si>
    <t>GP R2</t>
  </si>
  <si>
    <t>GP R3</t>
  </si>
  <si>
    <t>GP R4</t>
  </si>
  <si>
    <t>GP TOT</t>
  </si>
  <si>
    <t>GP H</t>
  </si>
  <si>
    <t>GP A</t>
  </si>
  <si>
    <t>W TOT</t>
  </si>
  <si>
    <t>L TOT</t>
  </si>
  <si>
    <t>W H</t>
  </si>
  <si>
    <t>L H</t>
  </si>
  <si>
    <t>W A</t>
  </si>
  <si>
    <t>L A</t>
  </si>
  <si>
    <t>GP R1 H</t>
  </si>
  <si>
    <t>GP R1 A</t>
  </si>
  <si>
    <t>GF R1 H</t>
  </si>
  <si>
    <t>GF R1 A</t>
  </si>
  <si>
    <t>GA R1 H</t>
  </si>
  <si>
    <t>GA R1 A</t>
  </si>
  <si>
    <t>DIFF R1 H</t>
  </si>
  <si>
    <t>DIFF R1 A</t>
  </si>
  <si>
    <t>GF R1 T</t>
  </si>
  <si>
    <t>GA R1 T</t>
  </si>
  <si>
    <t>DIFF R1 T</t>
  </si>
  <si>
    <t>GFPG R1 H</t>
  </si>
  <si>
    <t>GFPG R1 A</t>
  </si>
  <si>
    <t>GAPG R1 H</t>
  </si>
  <si>
    <t>GAPG R1 A</t>
  </si>
  <si>
    <t>GFPG R1</t>
  </si>
  <si>
    <t>GAPG R1</t>
  </si>
  <si>
    <t>Team</t>
  </si>
  <si>
    <t>GF H</t>
  </si>
  <si>
    <t>GF A</t>
  </si>
  <si>
    <t>GA H</t>
  </si>
  <si>
    <t>GA A</t>
  </si>
  <si>
    <t>DIFF H</t>
  </si>
  <si>
    <t>DIFF A</t>
  </si>
  <si>
    <t>GF T</t>
  </si>
  <si>
    <t>GA T</t>
  </si>
  <si>
    <t>DIFF T</t>
  </si>
  <si>
    <t>GFPG H</t>
  </si>
  <si>
    <t>GFPG A</t>
  </si>
  <si>
    <t>GAPG H</t>
  </si>
  <si>
    <t>GAPG A</t>
  </si>
  <si>
    <t xml:space="preserve">GFPG </t>
  </si>
  <si>
    <t xml:space="preserve">GAPG </t>
  </si>
  <si>
    <t>GP R2 H</t>
  </si>
  <si>
    <t>GP R2 A</t>
  </si>
  <si>
    <t>GF R2 H</t>
  </si>
  <si>
    <t>GF R2 A</t>
  </si>
  <si>
    <t>GA R2 H</t>
  </si>
  <si>
    <t>GA R2 A</t>
  </si>
  <si>
    <t>DIFF R2 H</t>
  </si>
  <si>
    <t>DIFF R2 A</t>
  </si>
  <si>
    <t>GF R2 T</t>
  </si>
  <si>
    <t>GA R2 T</t>
  </si>
  <si>
    <t>DIFF R2 T</t>
  </si>
  <si>
    <t>GFPG R2 H</t>
  </si>
  <si>
    <t>GFPG R2 A</t>
  </si>
  <si>
    <t>GAPG R2 H</t>
  </si>
  <si>
    <t>GAPG R2 A</t>
  </si>
  <si>
    <t>GFPG R2</t>
  </si>
  <si>
    <t>GAPG R2</t>
  </si>
  <si>
    <t>GP R3 H</t>
  </si>
  <si>
    <t>GP R3 A</t>
  </si>
  <si>
    <t>GF R3 H</t>
  </si>
  <si>
    <t>GF R3 A</t>
  </si>
  <si>
    <t>GA R3 H</t>
  </si>
  <si>
    <t>GA R3 A</t>
  </si>
  <si>
    <t>DIFF R3 H</t>
  </si>
  <si>
    <t>DIFF R3 A</t>
  </si>
  <si>
    <t>GF R3 T</t>
  </si>
  <si>
    <t>GA R3 T</t>
  </si>
  <si>
    <t>DIFF R3 T</t>
  </si>
  <si>
    <t>GFPG R3 H</t>
  </si>
  <si>
    <t>GFPG R3 A</t>
  </si>
  <si>
    <t>GAPG R3 H</t>
  </si>
  <si>
    <t>GAPG R3 A</t>
  </si>
  <si>
    <t>GFPG R3</t>
  </si>
  <si>
    <t>GAPG R3</t>
  </si>
  <si>
    <t>GP R4 H</t>
  </si>
  <si>
    <t>GP R4 A</t>
  </si>
  <si>
    <t>GF R4 H</t>
  </si>
  <si>
    <t>GF R4 A</t>
  </si>
  <si>
    <t>GA R4 H</t>
  </si>
  <si>
    <t>GA R4 A</t>
  </si>
  <si>
    <t>DIFF R4 H</t>
  </si>
  <si>
    <t>DIFF R4 A</t>
  </si>
  <si>
    <t>GF R4 T</t>
  </si>
  <si>
    <t>GA R4 T</t>
  </si>
  <si>
    <t>DIFF R4 T</t>
  </si>
  <si>
    <t>GFPG R4 H</t>
  </si>
  <si>
    <t>GFPG R4 A</t>
  </si>
  <si>
    <t>GAPG R4 H</t>
  </si>
  <si>
    <t>GAPG R4 A</t>
  </si>
  <si>
    <t>GFPG R4</t>
  </si>
  <si>
    <t>GAPG R4</t>
  </si>
  <si>
    <t>OT1</t>
  </si>
  <si>
    <t>REG</t>
  </si>
  <si>
    <t>OTT</t>
  </si>
  <si>
    <t>MIN</t>
  </si>
  <si>
    <t>MTL</t>
  </si>
  <si>
    <t>PHOMESCORE</t>
  </si>
  <si>
    <t>PAWAYSCORE</t>
  </si>
  <si>
    <t>Notes</t>
  </si>
  <si>
    <t>WEEKDATE</t>
  </si>
  <si>
    <t>TIME</t>
  </si>
  <si>
    <t>PResult</t>
  </si>
  <si>
    <t>AAWAYSCORE</t>
  </si>
  <si>
    <t>AHOMESCORE</t>
  </si>
  <si>
    <t>GameOver</t>
  </si>
  <si>
    <t>PIT</t>
  </si>
  <si>
    <t>PHI</t>
  </si>
  <si>
    <t>BUF</t>
  </si>
  <si>
    <t>BOS</t>
  </si>
  <si>
    <t>UTA</t>
  </si>
  <si>
    <t>ANA</t>
  </si>
  <si>
    <t>4 straight 3rd period goals by the sabers to win in regulation</t>
  </si>
  <si>
    <t>Stars lose another game 1</t>
  </si>
  <si>
    <t>Utah's Durzi fined for a headbut to VGK's Rasmus Anderson</t>
  </si>
  <si>
    <t>Salfkovsky hat-trick in OT</t>
  </si>
  <si>
    <t>Controversial allowed goal in OT for the ducks. Is just hard to see conclusively, although it was likely the right call</t>
  </si>
  <si>
    <t>Ottawa's Ridley Greig suspended for sucker punch to Carolina's Scott Laughton</t>
  </si>
  <si>
    <t>3rd consecutive OT game in series</t>
  </si>
  <si>
    <t>King's Anze Kopitar's last professional NHL game</t>
  </si>
  <si>
    <t>Buffalo scores 6 unanswered until the dying minutes of the game when Boston breaks the shutout. Boston's Nikita Zadorov fined for cross-check to Buffalo's Rasmus Dahlin</t>
  </si>
  <si>
    <t>Goal is scored from Utah's Mackenzie Weegar off of a deflection on Vegas' Rasmus Anderson. Both players were recent members of the Calgary Flames, and traded this season.</t>
  </si>
  <si>
    <t>TimeInSeconds</t>
  </si>
  <si>
    <t>Periods</t>
  </si>
  <si>
    <t>DiffAwayGoals</t>
  </si>
  <si>
    <t>DiffHomeGoals</t>
  </si>
  <si>
    <t>AwayWon</t>
  </si>
  <si>
    <t>HomeWon</t>
  </si>
  <si>
    <t>HasOT</t>
  </si>
  <si>
    <t>AwayWasShutout</t>
  </si>
  <si>
    <t>HomeWasShutout</t>
  </si>
  <si>
    <t>LastCup</t>
  </si>
  <si>
    <t>PeriodsPlayed</t>
  </si>
  <si>
    <t>SecondsPlayed</t>
  </si>
  <si>
    <t>HoursPlayed</t>
  </si>
  <si>
    <t>GameID</t>
  </si>
  <si>
    <t>SeriesID</t>
  </si>
  <si>
    <t>SeriesCode</t>
  </si>
  <si>
    <t>DaysPast</t>
  </si>
  <si>
    <t>PeriodsPerDay</t>
  </si>
  <si>
    <t>PeriodsPerGame</t>
  </si>
  <si>
    <t>Sidx</t>
  </si>
  <si>
    <t>Montreal scores 4 goals in the first period in &lt;12 minutes</t>
  </si>
  <si>
    <t>Alex Newhook scores in OT making his second game winning and series winning game 7 goals. GWG against TBL these playoffs.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</si>
</sst>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0EBD2"/>
      <name val="Calibri"/>
      <family val="2"/>
      <scheme val="minor"/>
    </font>
    <font>
      <b/>
      <sz val="11"/>
      <color rgb="FFFFB81C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11"/>
      <color rgb="FFFF4F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rgb="FF006847"/>
        <bgColor indexed="64"/>
      </patternFill>
    </fill>
    <fill>
      <patternFill patternType="solid">
        <fgColor rgb="FF154734"/>
        <bgColor indexed="64"/>
      </patternFill>
    </fill>
    <fill>
      <patternFill patternType="solid">
        <fgColor rgb="FFFCB514"/>
        <bgColor indexed="64"/>
      </patternFill>
    </fill>
    <fill>
      <patternFill patternType="solid">
        <fgColor rgb="FFF74902"/>
        <bgColor indexed="64"/>
      </patternFill>
    </fill>
    <fill>
      <patternFill patternType="solid">
        <fgColor rgb="FF041E42"/>
        <bgColor indexed="64"/>
      </patternFill>
    </fill>
    <fill>
      <patternFill patternType="solid">
        <fgColor rgb="FFAF1E2D"/>
        <bgColor indexed="64"/>
      </patternFill>
    </fill>
    <fill>
      <patternFill patternType="solid">
        <fgColor rgb="FF00539B"/>
        <bgColor indexed="64"/>
      </patternFill>
    </fill>
    <fill>
      <patternFill patternType="solid">
        <fgColor rgb="FF6F263D"/>
        <bgColor indexed="64"/>
      </patternFill>
    </fill>
    <fill>
      <patternFill patternType="solid">
        <fgColor rgb="FFB9975B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654"/>
        <bgColor indexed="64"/>
      </patternFill>
    </fill>
    <fill>
      <patternFill patternType="solid">
        <fgColor rgb="FFFFB81C"/>
        <bgColor indexed="64"/>
      </patternFill>
    </fill>
    <fill>
      <patternFill patternType="solid">
        <fgColor rgb="FF714C9F"/>
        <bgColor indexed="64"/>
      </patternFill>
    </fill>
    <fill>
      <patternFill patternType="solid">
        <fgColor rgb="FFFC4C02"/>
        <bgColor indexed="64"/>
      </patternFill>
    </fill>
  </fills>
  <borders count="41">
    <border>
      <left/>
      <right/>
      <top/>
      <bottom/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/>
      <bottom/>
      <diagonal/>
    </border>
    <border>
      <left style="thin">
        <color rgb="FFC8C8C8"/>
      </left>
      <right/>
      <top style="thin">
        <color rgb="FFC8C8C8"/>
      </top>
      <bottom/>
      <diagonal/>
    </border>
    <border>
      <left style="thin">
        <color rgb="FF231F20"/>
      </left>
      <right/>
      <top style="thin">
        <color rgb="FF231F20"/>
      </top>
      <bottom/>
      <diagonal/>
    </border>
    <border>
      <left style="thin">
        <color rgb="FFC69214"/>
      </left>
      <right/>
      <top style="thin">
        <color rgb="FFC69214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  <border>
      <left style="thin">
        <color rgb="FF8A8D8F"/>
      </left>
      <right/>
      <top style="thin">
        <color rgb="FF8A8D8F"/>
      </top>
      <bottom/>
      <diagonal/>
    </border>
    <border>
      <left style="thin">
        <color rgb="FFA6192E"/>
      </left>
      <right/>
      <top style="thin">
        <color rgb="FFA6192E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92168"/>
      </left>
      <right/>
      <top style="thin">
        <color rgb="FF192168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B81C"/>
      </left>
      <right/>
      <top style="thin">
        <color rgb="FFFFB81C"/>
      </top>
      <bottom/>
      <diagonal/>
    </border>
    <border>
      <left style="thin">
        <color rgb="FF236192"/>
      </left>
      <right/>
      <top style="thin">
        <color rgb="FF236192"/>
      </top>
      <bottom/>
      <diagonal/>
    </border>
    <border>
      <left style="thin">
        <color rgb="FF236192"/>
      </left>
      <right/>
      <top style="thin">
        <color rgb="FF236192"/>
      </top>
      <bottom style="thin">
        <color rgb="FF236192"/>
      </bottom>
      <diagonal/>
    </border>
    <border>
      <left style="thin">
        <color rgb="FF333F48"/>
      </left>
      <right/>
      <top style="thin">
        <color rgb="FF333F48"/>
      </top>
      <bottom/>
      <diagonal/>
    </border>
    <border>
      <left style="thin">
        <color rgb="FFA2AAAD"/>
      </left>
      <right/>
      <top style="thin">
        <color rgb="FFA2AAAD"/>
      </top>
      <bottom/>
      <diagonal/>
    </border>
    <border>
      <left style="thin">
        <color rgb="FFA2AAAD"/>
      </left>
      <right/>
      <top style="thin">
        <color rgb="FFA2AAAD"/>
      </top>
      <bottom style="thin">
        <color rgb="FFA2AAAD"/>
      </bottom>
      <diagonal/>
    </border>
    <border>
      <left style="thin">
        <color rgb="FFFF4F00"/>
      </left>
      <right/>
      <top style="thin">
        <color rgb="FFFF4F00"/>
      </top>
      <bottom/>
      <diagonal/>
    </border>
    <border>
      <left/>
      <right/>
      <top style="thin">
        <color rgb="FFC8C8C8"/>
      </top>
      <bottom/>
      <diagonal/>
    </border>
    <border>
      <left style="thin">
        <color rgb="FFC8C8C8"/>
      </left>
      <right style="thin">
        <color rgb="FFC8C8C8"/>
      </right>
      <top/>
      <bottom/>
      <diagonal/>
    </border>
    <border>
      <left style="thin">
        <color rgb="FF111111"/>
      </left>
      <right/>
      <top style="thin">
        <color rgb="FF111111"/>
      </top>
      <bottom/>
      <diagonal/>
    </border>
    <border>
      <left style="thin">
        <color rgb="FF585858"/>
      </left>
      <right/>
      <top style="thin">
        <color rgb="FF585858"/>
      </top>
      <bottom/>
      <diagonal/>
    </border>
    <border>
      <left style="thin">
        <color rgb="FF585858"/>
      </left>
      <right/>
      <top style="thin">
        <color rgb="FF585858"/>
      </top>
      <bottom style="thin">
        <color rgb="FF585858"/>
      </bottom>
      <diagonal/>
    </border>
    <border>
      <left style="thin">
        <color rgb="FFC8C8C8"/>
      </left>
      <right/>
      <top/>
      <bottom style="thin">
        <color rgb="FFC8C8C8"/>
      </bottom>
      <diagonal/>
    </border>
    <border>
      <left style="thin">
        <color rgb="FF8A8D8F"/>
      </left>
      <right/>
      <top style="thin">
        <color rgb="FF8A8D8F"/>
      </top>
      <bottom style="thin">
        <color theme="4" tint="0.39997558519241921"/>
      </bottom>
      <diagonal/>
    </border>
    <border>
      <left style="thin">
        <color rgb="FF231F20"/>
      </left>
      <right/>
      <top style="thin">
        <color rgb="FF231F20"/>
      </top>
      <bottom style="thin">
        <color theme="4" tint="0.39997558519241921"/>
      </bottom>
      <diagonal/>
    </border>
    <border>
      <left style="thin">
        <color rgb="FFA6192E"/>
      </left>
      <right/>
      <top style="thin">
        <color rgb="FFA6192E"/>
      </top>
      <bottom style="thin">
        <color theme="4" tint="0.39997558519241921"/>
      </bottom>
      <diagonal/>
    </border>
    <border>
      <left style="thin">
        <color rgb="FFC69214"/>
      </left>
      <right/>
      <top style="thin">
        <color rgb="FFC69214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rgb="FF236192"/>
      </left>
      <right/>
      <top style="thin">
        <color rgb="FF236192"/>
      </top>
      <bottom style="thin">
        <color theme="4" tint="0.39997558519241921"/>
      </bottom>
      <diagonal/>
    </border>
    <border>
      <left style="thin">
        <color rgb="FFA2AAAD"/>
      </left>
      <right/>
      <top style="thin">
        <color rgb="FFA2AAAD"/>
      </top>
      <bottom style="thin">
        <color theme="4" tint="0.39997558519241921"/>
      </bottom>
      <diagonal/>
    </border>
    <border>
      <left style="thin">
        <color rgb="FFFFFFFF"/>
      </left>
      <right/>
      <top style="thin">
        <color rgb="FFFFFFFF"/>
      </top>
      <bottom style="thin">
        <color theme="4" tint="0.39997558519241921"/>
      </bottom>
      <diagonal/>
    </border>
    <border>
      <left style="thin">
        <color rgb="FF192168"/>
      </left>
      <right/>
      <top style="thin">
        <color rgb="FF192168"/>
      </top>
      <bottom style="thin">
        <color theme="4" tint="0.39997558519241921"/>
      </bottom>
      <diagonal/>
    </border>
    <border>
      <left style="thin">
        <color rgb="FFFFB81C"/>
      </left>
      <right/>
      <top style="thin">
        <color rgb="FFFFB81C"/>
      </top>
      <bottom style="thin">
        <color theme="4" tint="0.39997558519241921"/>
      </bottom>
      <diagonal/>
    </border>
    <border>
      <left style="thin">
        <color rgb="FF111111"/>
      </left>
      <right/>
      <top style="thin">
        <color rgb="FF111111"/>
      </top>
      <bottom style="thin">
        <color theme="4" tint="0.39997558519241921"/>
      </bottom>
      <diagonal/>
    </border>
    <border>
      <left style="thin">
        <color rgb="FF333F48"/>
      </left>
      <right/>
      <top style="thin">
        <color rgb="FF333F48"/>
      </top>
      <bottom style="thin">
        <color theme="4" tint="0.39997558519241921"/>
      </bottom>
      <diagonal/>
    </border>
    <border>
      <left style="thin">
        <color rgb="FFFF4F00"/>
      </left>
      <right/>
      <top style="thin">
        <color rgb="FFFF4F00"/>
      </top>
      <bottom style="thin">
        <color theme="4" tint="0.39997558519241921"/>
      </bottom>
      <diagonal/>
    </border>
    <border>
      <left style="thin">
        <color rgb="FF585858"/>
      </left>
      <right/>
      <top style="thin">
        <color rgb="FF585858"/>
      </top>
      <bottom style="thin">
        <color rgb="FFC8C8C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/>
    <xf numFmtId="0" fontId="0" fillId="0" borderId="0" xfId="0" applyAlignment="1">
      <alignment textRotation="90"/>
    </xf>
    <xf numFmtId="0" fontId="3" fillId="2" borderId="4" xfId="0" applyFont="1" applyFill="1" applyBorder="1" applyAlignment="1">
      <alignment horizontal="center" textRotation="90"/>
    </xf>
    <xf numFmtId="0" fontId="3" fillId="2" borderId="4" xfId="0" applyFont="1" applyFill="1" applyBorder="1" applyAlignment="1">
      <alignment textRotation="90"/>
    </xf>
    <xf numFmtId="0" fontId="3" fillId="2" borderId="4" xfId="0" applyFont="1" applyFill="1" applyBorder="1" applyAlignment="1">
      <alignment horizontal="left" textRotation="90"/>
    </xf>
    <xf numFmtId="0" fontId="3" fillId="2" borderId="4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14" fontId="3" fillId="2" borderId="4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textRotation="90"/>
    </xf>
    <xf numFmtId="0" fontId="3" fillId="2" borderId="0" xfId="0" applyFont="1" applyFill="1"/>
    <xf numFmtId="0" fontId="5" fillId="5" borderId="8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2" borderId="7" xfId="0" applyFont="1" applyFill="1" applyBorder="1"/>
    <xf numFmtId="0" fontId="4" fillId="7" borderId="10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1" fontId="3" fillId="2" borderId="7" xfId="0" applyNumberFormat="1" applyFont="1" applyFill="1" applyBorder="1" applyAlignment="1">
      <alignment horizontal="center"/>
    </xf>
    <xf numFmtId="1" fontId="4" fillId="7" borderId="10" xfId="0" applyNumberFormat="1" applyFont="1" applyFill="1" applyBorder="1"/>
    <xf numFmtId="1" fontId="4" fillId="8" borderId="10" xfId="0" applyNumberFormat="1" applyFont="1" applyFill="1" applyBorder="1"/>
    <xf numFmtId="0" fontId="3" fillId="2" borderId="3" xfId="0" applyFont="1" applyFill="1" applyBorder="1"/>
    <xf numFmtId="1" fontId="5" fillId="3" borderId="5" xfId="0" applyNumberFormat="1" applyFont="1" applyFill="1" applyBorder="1"/>
    <xf numFmtId="1" fontId="5" fillId="4" borderId="6" xfId="0" applyNumberFormat="1" applyFont="1" applyFill="1" applyBorder="1"/>
    <xf numFmtId="49" fontId="3" fillId="2" borderId="3" xfId="0" applyNumberFormat="1" applyFont="1" applyFill="1" applyBorder="1" applyAlignment="1">
      <alignment horizontal="center"/>
    </xf>
    <xf numFmtId="1" fontId="5" fillId="5" borderId="8" xfId="0" applyNumberFormat="1" applyFont="1" applyFill="1" applyBorder="1"/>
    <xf numFmtId="1" fontId="6" fillId="6" borderId="9" xfId="0" applyNumberFormat="1" applyFont="1" applyFill="1" applyBorder="1"/>
    <xf numFmtId="0" fontId="3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5" fillId="10" borderId="11" xfId="0" applyFont="1" applyFill="1" applyBorder="1"/>
    <xf numFmtId="0" fontId="5" fillId="3" borderId="5" xfId="0" applyFont="1" applyFill="1" applyBorder="1"/>
    <xf numFmtId="0" fontId="5" fillId="4" borderId="6" xfId="0" applyFont="1" applyFill="1" applyBorder="1"/>
    <xf numFmtId="0" fontId="5" fillId="11" borderId="12" xfId="0" applyFont="1" applyFill="1" applyBorder="1"/>
    <xf numFmtId="0" fontId="5" fillId="5" borderId="8" xfId="0" applyFont="1" applyFill="1" applyBorder="1"/>
    <xf numFmtId="0" fontId="5" fillId="12" borderId="14" xfId="0" applyFont="1" applyFill="1" applyBorder="1"/>
    <xf numFmtId="0" fontId="8" fillId="13" borderId="16" xfId="0" applyFont="1" applyFill="1" applyBorder="1"/>
    <xf numFmtId="0" fontId="6" fillId="6" borderId="9" xfId="0" applyFont="1" applyFill="1" applyBorder="1"/>
    <xf numFmtId="0" fontId="5" fillId="14" borderId="17" xfId="0" applyFont="1" applyFill="1" applyBorder="1"/>
    <xf numFmtId="0" fontId="9" fillId="9" borderId="19" xfId="0" applyFont="1" applyFill="1" applyBorder="1"/>
    <xf numFmtId="1" fontId="3" fillId="2" borderId="3" xfId="0" applyNumberFormat="1" applyFont="1" applyFill="1" applyBorder="1"/>
    <xf numFmtId="1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14" fontId="3" fillId="2" borderId="3" xfId="0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0" xfId="0" applyFont="1" applyFill="1" applyBorder="1"/>
    <xf numFmtId="49" fontId="2" fillId="0" borderId="0" xfId="0" applyNumberFormat="1" applyFont="1" applyAlignment="1">
      <alignment horizontal="center"/>
    </xf>
    <xf numFmtId="0" fontId="9" fillId="9" borderId="19" xfId="0" applyFont="1" applyFill="1" applyBorder="1" applyAlignment="1">
      <alignment horizontal="center"/>
    </xf>
    <xf numFmtId="0" fontId="3" fillId="15" borderId="4" xfId="0" applyFont="1" applyFill="1" applyBorder="1" applyAlignment="1">
      <alignment textRotation="90"/>
    </xf>
    <xf numFmtId="0" fontId="3" fillId="15" borderId="4" xfId="0" applyFont="1" applyFill="1" applyBorder="1" applyAlignment="1">
      <alignment horizontal="center" textRotation="90"/>
    </xf>
    <xf numFmtId="1" fontId="3" fillId="15" borderId="4" xfId="0" applyNumberFormat="1" applyFont="1" applyFill="1" applyBorder="1" applyAlignment="1">
      <alignment horizontal="center" textRotation="90"/>
    </xf>
    <xf numFmtId="49" fontId="3" fillId="15" borderId="4" xfId="0" applyNumberFormat="1" applyFont="1" applyFill="1" applyBorder="1" applyAlignment="1">
      <alignment horizontal="center" textRotation="90"/>
    </xf>
    <xf numFmtId="0" fontId="5" fillId="12" borderId="14" xfId="0" applyFont="1" applyFill="1" applyBorder="1" applyAlignment="1">
      <alignment horizontal="center"/>
    </xf>
    <xf numFmtId="0" fontId="7" fillId="16" borderId="13" xfId="0" applyFont="1" applyFill="1" applyBorder="1" applyAlignment="1">
      <alignment horizontal="center"/>
    </xf>
    <xf numFmtId="0" fontId="5" fillId="14" borderId="17" xfId="0" applyFont="1" applyFill="1" applyBorder="1" applyAlignment="1">
      <alignment horizontal="center"/>
    </xf>
    <xf numFmtId="0" fontId="4" fillId="17" borderId="22" xfId="0" applyFont="1" applyFill="1" applyBorder="1" applyAlignment="1">
      <alignment horizontal="center"/>
    </xf>
    <xf numFmtId="0" fontId="3" fillId="2" borderId="21" xfId="0" applyFont="1" applyFill="1" applyBorder="1"/>
    <xf numFmtId="0" fontId="5" fillId="11" borderId="12" xfId="0" applyFont="1" applyFill="1" applyBorder="1" applyAlignment="1">
      <alignment horizontal="center"/>
    </xf>
    <xf numFmtId="1" fontId="7" fillId="16" borderId="13" xfId="0" applyNumberFormat="1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1" fontId="4" fillId="17" borderId="22" xfId="0" applyNumberFormat="1" applyFont="1" applyFill="1" applyBorder="1" applyAlignment="1">
      <alignment horizontal="center"/>
    </xf>
    <xf numFmtId="1" fontId="8" fillId="13" borderId="16" xfId="0" applyNumberFormat="1" applyFont="1" applyFill="1" applyBorder="1" applyAlignment="1">
      <alignment horizontal="center"/>
    </xf>
    <xf numFmtId="1" fontId="5" fillId="18" borderId="23" xfId="0" applyNumberFormat="1" applyFont="1" applyFill="1" applyBorder="1" applyAlignment="1">
      <alignment horizontal="center"/>
    </xf>
    <xf numFmtId="0" fontId="5" fillId="18" borderId="23" xfId="0" applyFont="1" applyFill="1" applyBorder="1" applyAlignment="1">
      <alignment horizontal="center"/>
    </xf>
    <xf numFmtId="0" fontId="8" fillId="13" borderId="16" xfId="0" applyFont="1" applyFill="1" applyBorder="1" applyAlignment="1">
      <alignment horizontal="center"/>
    </xf>
    <xf numFmtId="1" fontId="9" fillId="9" borderId="19" xfId="0" applyNumberFormat="1" applyFont="1" applyFill="1" applyBorder="1" applyAlignment="1">
      <alignment horizontal="center"/>
    </xf>
    <xf numFmtId="1" fontId="5" fillId="19" borderId="10" xfId="0" applyNumberFormat="1" applyFont="1" applyFill="1" applyBorder="1" applyAlignment="1">
      <alignment horizontal="center"/>
    </xf>
    <xf numFmtId="0" fontId="5" fillId="19" borderId="10" xfId="0" applyFont="1" applyFill="1" applyBorder="1" applyAlignment="1">
      <alignment horizontal="center"/>
    </xf>
    <xf numFmtId="0" fontId="4" fillId="7" borderId="10" xfId="0" applyFont="1" applyFill="1" applyBorder="1"/>
    <xf numFmtId="0" fontId="4" fillId="8" borderId="10" xfId="0" applyFont="1" applyFill="1" applyBorder="1"/>
    <xf numFmtId="1" fontId="5" fillId="3" borderId="5" xfId="0" applyNumberFormat="1" applyFont="1" applyFill="1" applyBorder="1" applyAlignment="1">
      <alignment horizontal="center"/>
    </xf>
    <xf numFmtId="1" fontId="5" fillId="4" borderId="6" xfId="0" applyNumberFormat="1" applyFont="1" applyFill="1" applyBorder="1" applyAlignment="1">
      <alignment horizontal="center"/>
    </xf>
    <xf numFmtId="1" fontId="4" fillId="8" borderId="10" xfId="0" applyNumberFormat="1" applyFont="1" applyFill="1" applyBorder="1" applyAlignment="1">
      <alignment horizontal="center"/>
    </xf>
    <xf numFmtId="1" fontId="4" fillId="7" borderId="10" xfId="0" applyNumberFormat="1" applyFont="1" applyFill="1" applyBorder="1" applyAlignment="1">
      <alignment horizontal="center"/>
    </xf>
    <xf numFmtId="1" fontId="5" fillId="5" borderId="8" xfId="0" applyNumberFormat="1" applyFont="1" applyFill="1" applyBorder="1" applyAlignment="1">
      <alignment horizontal="center"/>
    </xf>
    <xf numFmtId="1" fontId="6" fillId="6" borderId="9" xfId="0" applyNumberFormat="1" applyFont="1" applyFill="1" applyBorder="1" applyAlignment="1">
      <alignment horizontal="center"/>
    </xf>
    <xf numFmtId="1" fontId="5" fillId="11" borderId="12" xfId="0" applyNumberFormat="1" applyFont="1" applyFill="1" applyBorder="1" applyAlignment="1">
      <alignment horizontal="center"/>
    </xf>
    <xf numFmtId="1" fontId="5" fillId="10" borderId="11" xfId="0" applyNumberFormat="1" applyFont="1" applyFill="1" applyBorder="1" applyAlignment="1">
      <alignment horizontal="center"/>
    </xf>
    <xf numFmtId="1" fontId="5" fillId="12" borderId="14" xfId="0" applyNumberFormat="1" applyFont="1" applyFill="1" applyBorder="1" applyAlignment="1">
      <alignment horizontal="center"/>
    </xf>
    <xf numFmtId="1" fontId="5" fillId="14" borderId="17" xfId="0" applyNumberFormat="1" applyFont="1" applyFill="1" applyBorder="1" applyAlignment="1">
      <alignment horizontal="center"/>
    </xf>
    <xf numFmtId="1" fontId="3" fillId="2" borderId="0" xfId="0" applyNumberFormat="1" applyFont="1" applyFill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25" xfId="0" applyFont="1" applyFill="1" applyBorder="1"/>
    <xf numFmtId="1" fontId="2" fillId="0" borderId="0" xfId="0" applyNumberFormat="1" applyFont="1" applyAlignment="1">
      <alignment horizontal="left"/>
    </xf>
    <xf numFmtId="1" fontId="7" fillId="16" borderId="13" xfId="0" applyNumberFormat="1" applyFont="1" applyFill="1" applyBorder="1"/>
    <xf numFmtId="1" fontId="4" fillId="17" borderId="22" xfId="0" applyNumberFormat="1" applyFont="1" applyFill="1" applyBorder="1"/>
    <xf numFmtId="1" fontId="5" fillId="11" borderId="12" xfId="0" applyNumberFormat="1" applyFont="1" applyFill="1" applyBorder="1"/>
    <xf numFmtId="1" fontId="5" fillId="10" borderId="11" xfId="0" applyNumberFormat="1" applyFont="1" applyFill="1" applyBorder="1"/>
    <xf numFmtId="1" fontId="8" fillId="13" borderId="16" xfId="0" applyNumberFormat="1" applyFont="1" applyFill="1" applyBorder="1"/>
    <xf numFmtId="1" fontId="5" fillId="18" borderId="23" xfId="0" applyNumberFormat="1" applyFont="1" applyFill="1" applyBorder="1"/>
    <xf numFmtId="1" fontId="9" fillId="9" borderId="19" xfId="0" applyNumberFormat="1" applyFont="1" applyFill="1" applyBorder="1"/>
    <xf numFmtId="1" fontId="5" fillId="19" borderId="10" xfId="0" applyNumberFormat="1" applyFont="1" applyFill="1" applyBorder="1"/>
    <xf numFmtId="1" fontId="5" fillId="12" borderId="15" xfId="0" applyNumberFormat="1" applyFont="1" applyFill="1" applyBorder="1"/>
    <xf numFmtId="1" fontId="5" fillId="14" borderId="18" xfId="0" applyNumberFormat="1" applyFont="1" applyFill="1" applyBorder="1"/>
    <xf numFmtId="0" fontId="2" fillId="0" borderId="0" xfId="0" applyFont="1" applyAlignment="1">
      <alignment horizontal="left"/>
    </xf>
    <xf numFmtId="0" fontId="7" fillId="16" borderId="13" xfId="0" applyFont="1" applyFill="1" applyBorder="1"/>
    <xf numFmtId="0" fontId="4" fillId="17" borderId="22" xfId="0" applyFont="1" applyFill="1" applyBorder="1"/>
    <xf numFmtId="0" fontId="5" fillId="19" borderId="10" xfId="0" applyFont="1" applyFill="1" applyBorder="1"/>
    <xf numFmtId="0" fontId="5" fillId="18" borderId="24" xfId="0" applyFont="1" applyFill="1" applyBorder="1"/>
    <xf numFmtId="0" fontId="5" fillId="3" borderId="27" xfId="0" applyFont="1" applyFill="1" applyBorder="1"/>
    <xf numFmtId="0" fontId="5" fillId="4" borderId="29" xfId="0" applyFont="1" applyFill="1" applyBorder="1"/>
    <xf numFmtId="0" fontId="4" fillId="7" borderId="30" xfId="0" applyFont="1" applyFill="1" applyBorder="1"/>
    <xf numFmtId="0" fontId="4" fillId="8" borderId="30" xfId="0" applyFont="1" applyFill="1" applyBorder="1"/>
    <xf numFmtId="0" fontId="5" fillId="11" borderId="33" xfId="0" applyFont="1" applyFill="1" applyBorder="1"/>
    <xf numFmtId="0" fontId="5" fillId="10" borderId="34" xfId="0" applyFont="1" applyFill="1" applyBorder="1"/>
    <xf numFmtId="0" fontId="7" fillId="16" borderId="35" xfId="0" applyFont="1" applyFill="1" applyBorder="1"/>
    <xf numFmtId="0" fontId="4" fillId="17" borderId="36" xfId="0" applyFont="1" applyFill="1" applyBorder="1"/>
    <xf numFmtId="0" fontId="5" fillId="12" borderId="31" xfId="0" applyFont="1" applyFill="1" applyBorder="1"/>
    <xf numFmtId="0" fontId="5" fillId="14" borderId="32" xfId="0" applyFont="1" applyFill="1" applyBorder="1"/>
    <xf numFmtId="0" fontId="5" fillId="5" borderId="26" xfId="0" applyFont="1" applyFill="1" applyBorder="1"/>
    <xf numFmtId="0" fontId="6" fillId="6" borderId="28" xfId="0" applyFont="1" applyFill="1" applyBorder="1"/>
    <xf numFmtId="0" fontId="9" fillId="9" borderId="38" xfId="0" applyFont="1" applyFill="1" applyBorder="1"/>
    <xf numFmtId="0" fontId="5" fillId="19" borderId="30" xfId="0" applyFont="1" applyFill="1" applyBorder="1"/>
    <xf numFmtId="0" fontId="8" fillId="13" borderId="37" xfId="0" applyFont="1" applyFill="1" applyBorder="1"/>
    <xf numFmtId="0" fontId="5" fillId="18" borderId="39" xfId="0" applyFont="1" applyFill="1" applyBorder="1"/>
    <xf numFmtId="0" fontId="5" fillId="12" borderId="14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2" fontId="2" fillId="0" borderId="0" xfId="0" applyNumberFormat="1" applyFont="1"/>
    <xf numFmtId="2" fontId="0" fillId="0" borderId="0" xfId="0" applyNumberFormat="1"/>
    <xf numFmtId="164" fontId="2" fillId="0" borderId="40" xfId="0" applyNumberFormat="1" applyFont="1" applyBorder="1"/>
    <xf numFmtId="1" fontId="5" fillId="3" borderId="0" xfId="0" applyNumberFormat="1" applyFont="1" applyFill="1"/>
    <xf numFmtId="1" fontId="5" fillId="4" borderId="0" xfId="0" applyNumberFormat="1" applyFont="1" applyFill="1"/>
    <xf numFmtId="1" fontId="4" fillId="7" borderId="0" xfId="0" applyNumberFormat="1" applyFont="1" applyFill="1"/>
    <xf numFmtId="1" fontId="4" fillId="8" borderId="0" xfId="0" applyNumberFormat="1" applyFont="1" applyFill="1"/>
    <xf numFmtId="1" fontId="5" fillId="11" borderId="0" xfId="0" applyNumberFormat="1" applyFont="1" applyFill="1"/>
    <xf numFmtId="1" fontId="5" fillId="10" borderId="0" xfId="0" applyNumberFormat="1" applyFont="1" applyFill="1"/>
    <xf numFmtId="1" fontId="7" fillId="16" borderId="0" xfId="0" applyNumberFormat="1" applyFont="1" applyFill="1"/>
    <xf numFmtId="1" fontId="4" fillId="17" borderId="0" xfId="0" applyNumberFormat="1" applyFont="1" applyFill="1"/>
    <xf numFmtId="1" fontId="5" fillId="12" borderId="0" xfId="0" applyNumberFormat="1" applyFont="1" applyFill="1"/>
    <xf numFmtId="1" fontId="5" fillId="14" borderId="0" xfId="0" applyNumberFormat="1" applyFont="1" applyFill="1"/>
    <xf numFmtId="1" fontId="5" fillId="5" borderId="0" xfId="0" applyNumberFormat="1" applyFont="1" applyFill="1"/>
    <xf numFmtId="1" fontId="6" fillId="6" borderId="0" xfId="0" applyNumberFormat="1" applyFont="1" applyFill="1"/>
    <xf numFmtId="1" fontId="9" fillId="9" borderId="0" xfId="0" applyNumberFormat="1" applyFont="1" applyFill="1"/>
    <xf numFmtId="1" fontId="5" fillId="19" borderId="0" xfId="0" applyNumberFormat="1" applyFont="1" applyFill="1"/>
    <xf numFmtId="1" fontId="8" fillId="13" borderId="0" xfId="0" applyNumberFormat="1" applyFont="1" applyFill="1"/>
    <xf numFmtId="1" fontId="5" fillId="18" borderId="0" xfId="0" applyNumberFormat="1" applyFont="1" applyFill="1"/>
  </cellXfs>
  <cellStyles count="1">
    <cellStyle name="Normal" xfId="0" builtinId="0"/>
  </cellStyles>
  <dxfs count="2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/>
        <right/>
        <top style="thin">
          <color rgb="FFC8C8C8"/>
        </top>
        <bottom/>
        <vertical/>
        <horizontal/>
      </border>
    </dxf>
    <dxf>
      <border outline="0">
        <left style="thin">
          <color rgb="FFC8C8C8"/>
        </left>
        <right style="thin">
          <color rgb="FFC8C8C8"/>
        </right>
        <top style="thin">
          <color rgb="FFC8C8C8"/>
        </top>
        <bottom style="thin">
          <color rgb="FFC8C8C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border outline="0">
        <right style="thin">
          <color rgb="FFC8C8C8"/>
        </right>
        <top style="thin">
          <color rgb="FFC8C8C8"/>
        </top>
        <bottom style="thin">
          <color rgb="FFC8C8C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/>
        <right/>
        <top style="thin">
          <color rgb="FFC8C8C8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right style="thin">
          <color rgb="FFC8C8C8"/>
        </right>
        <top style="thin">
          <color rgb="FFC8C8C8"/>
        </top>
        <bottom style="thin">
          <color rgb="FFC8C8C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solid">
          <fgColor indexed="64"/>
          <bgColor rgb="FFF2F2F2"/>
        </patternFill>
      </fill>
      <border diagonalUp="0" diagonalDown="0">
        <left/>
        <right/>
        <top style="thin">
          <color rgb="FFC8C8C8"/>
        </top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border outline="0">
        <right style="thin">
          <color rgb="FFC8C8C8"/>
        </right>
        <top style="thin">
          <color rgb="FFC8C8C8"/>
        </top>
        <bottom style="thin">
          <color rgb="FFC8C8C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/>
        <top style="thin">
          <color rgb="FFC8C8C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border diagonalUp="0" diagonalDown="0">
        <left style="thin">
          <color rgb="FFC8C8C8"/>
        </left>
        <right style="thin">
          <color rgb="FFC8C8C8"/>
        </right>
        <top style="thin">
          <color rgb="FFC8C8C8"/>
        </top>
        <bottom/>
        <vertical/>
        <horizontal/>
      </border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C8C8C8"/>
        </right>
        <top style="thin">
          <color rgb="FFC8C8C8"/>
        </top>
        <bottom/>
        <vertical/>
        <horizontal/>
      </border>
    </dxf>
    <dxf>
      <border outline="0">
        <left style="thin">
          <color rgb="FFC8C8C8"/>
        </left>
        <right style="thin">
          <color rgb="FFC8C8C8"/>
        </right>
        <top style="thin">
          <color rgb="FFC8C8C8"/>
        </top>
        <bottom style="thin">
          <color rgb="FFC8C8C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fill>
        <patternFill patternType="solid">
          <fgColor indexed="64"/>
          <bgColor rgb="FFF2F2F2"/>
        </patternFill>
      </fill>
      <border diagonalUp="0" diagonalDown="0" outline="0">
        <left style="thin">
          <color rgb="FFC8C8C8"/>
        </left>
        <right style="thin">
          <color rgb="FFC8C8C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25" formatCode="h:mm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numFmt numFmtId="19" formatCode="yyyy/mm/dd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-0.249977111117893"/>
        </patternFill>
      </fill>
      <alignment horizontal="center" vertical="bottom" textRotation="90" wrapText="0" indent="0" justifyLastLine="0" shrinkToFit="0" readingOrder="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</dxf>
    <dxf>
      <numFmt numFmtId="1" formatCode="0"/>
    </dxf>
  </dxfs>
  <tableStyles count="0" defaultTableStyle="TableStyleMedium2" defaultPivotStyle="PivotStyleLight16"/>
  <colors>
    <mruColors>
      <color rgb="FFF8696B"/>
      <color rgb="FFFF0000"/>
      <color rgb="FFD11515"/>
      <color rgb="FFA71111"/>
      <color rgb="FF3F6228"/>
      <color rgb="FF003DB8"/>
      <color rgb="FFFF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CA4EF-A189-4A56-BEED-A829B529A5E3}" name="Table1" displayName="Table1" ref="CB21:DH37" totalsRowShown="0">
  <autoFilter ref="CB21:DH37" xr:uid="{F13CA4EF-A189-4A56-BEED-A829B529A5E3}"/>
  <sortState xmlns:xlrd2="http://schemas.microsoft.com/office/spreadsheetml/2017/richdata2" ref="CB22:DH37">
    <sortCondition ref="CB21:CB37"/>
  </sortState>
  <tableColumns count="33">
    <tableColumn id="34" xr3:uid="{86428B36-E2D6-4F6B-9B4B-EF1A8B2E94D0}" name="Sidx" dataDxfId="207"/>
    <tableColumn id="1" xr3:uid="{35E4500A-DA09-4BF2-A9DD-981973613A2E}" name="Team">
      <calculatedColumnFormula>AR22</calculatedColumnFormula>
    </tableColumn>
    <tableColumn id="26" xr3:uid="{F7C2E72E-9503-4089-9EC2-524548F51B76}" name="PeriodsPlayed" dataDxfId="206">
      <calculatedColumnFormula>SUMIFS(Table2[Periods], Table2[TOPSEED], Table1[[#This Row],[Team]])+SUMIFS(Table2[Periods], Table2[LOWSEED], Table1[[#This Row],[Team]])</calculatedColumnFormula>
    </tableColumn>
    <tableColumn id="28" xr3:uid="{4BB593B2-9B74-42E3-B7BB-B69084991E70}" name="SecondsPlayed" dataDxfId="205">
      <calculatedColumnFormula>SUMIFS(Table2[TimeInSeconds], Table2[TOPSEED], Table1[[#This Row],[Team]])+SUMIFS(Table2[TimeInSeconds], Table2[LOWSEED], Table1[[#This Row],[Team]])</calculatedColumnFormula>
    </tableColumn>
    <tableColumn id="27" xr3:uid="{1A4CFEB4-DEE0-42DB-8342-3622F5975766}" name="HoursPlayed" dataDxfId="204">
      <calculatedColumnFormula>Table1[[#This Row],[SecondsPlayed]]/3600</calculatedColumnFormula>
    </tableColumn>
    <tableColumn id="30" xr3:uid="{7FD70386-A83F-44CE-8910-4309119C2C49}" name="DaysPast" dataDxfId="203">
      <calculatedColumnFormula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calculatedColumnFormula>
    </tableColumn>
    <tableColumn id="31" xr3:uid="{B9822A55-2F75-4FF7-B7D3-D5CC4B08738F}" name="PeriodsPerDay" dataDxfId="202">
      <calculatedColumnFormula>Table1[[#This Row],[PeriodsPlayed]]/Table1[[#This Row],[DaysPast]]</calculatedColumnFormula>
    </tableColumn>
    <tableColumn id="32" xr3:uid="{2CDF948C-3407-4F59-93B3-8EA057681CB8}" name="PeriodsPerGame" dataDxfId="201">
      <calculatedColumnFormula>Table1[[#This Row],[PeriodsPlayed]]/Table1[[#This Row],[GP TOT]]</calculatedColumnFormula>
    </tableColumn>
    <tableColumn id="29" xr3:uid="{6D6C2B6E-F656-48FC-8627-A5BC5536E6E9}" name="LastCup" dataDxfId="200"/>
    <tableColumn id="2" xr3:uid="{A33C8BB1-51F1-4EE0-BAF3-79A0072A877D}" name="GP TOT" dataDxfId="199">
      <calculatedColumnFormula>BA22</calculatedColumnFormula>
    </tableColumn>
    <tableColumn id="3" xr3:uid="{B7BD47C3-C6CD-433B-8763-2E7BF28F91A9}" name="GP H" dataDxfId="198">
      <calculatedColumnFormula>BB22</calculatedColumnFormula>
    </tableColumn>
    <tableColumn id="4" xr3:uid="{A7C2CDB8-1006-4E42-85C9-739B917E0E3B}" name="GP A" dataDxfId="197">
      <calculatedColumnFormula>BC22</calculatedColumnFormula>
    </tableColumn>
    <tableColumn id="5" xr3:uid="{FBF9C9A1-A231-4AC5-98EC-8575F964E9E7}" name="W TOT" dataDxfId="196">
      <calculatedColumnFormula>BD22</calculatedColumnFormula>
    </tableColumn>
    <tableColumn id="6" xr3:uid="{4F1AF376-3B42-4A7B-88AE-2AEB54C684FD}" name="L TOT" dataDxfId="195">
      <calculatedColumnFormula>BE22</calculatedColumnFormula>
    </tableColumn>
    <tableColumn id="7" xr3:uid="{CD4CF37C-B565-4072-A8DF-97ABD75AC2BE}" name="W H" dataDxfId="194">
      <calculatedColumnFormula>BF22</calculatedColumnFormula>
    </tableColumn>
    <tableColumn id="8" xr3:uid="{1F359623-5047-4AA5-8DFE-2A1235BD0244}" name="L H" dataDxfId="193">
      <calculatedColumnFormula>BG22</calculatedColumnFormula>
    </tableColumn>
    <tableColumn id="9" xr3:uid="{F8112AD4-AB28-4E89-97C1-D0AD9007C7A5}" name="W A" dataDxfId="192">
      <calculatedColumnFormula>BH22</calculatedColumnFormula>
    </tableColumn>
    <tableColumn id="10" xr3:uid="{E0BC1C3D-B833-4A33-A2F7-C67BE06DEDA1}" name="L A" dataDxfId="191">
      <calculatedColumnFormula>BI22</calculatedColumnFormula>
    </tableColumn>
    <tableColumn id="11" xr3:uid="{B9A986DF-FE9E-415D-924B-8EB61CBE5CC3}" name="GF H" dataDxfId="190">
      <calculatedColumnFormula>SUMIFS($W$2:$W$107,$P$2:$P$107,AR22,$G$2:$G$107,1)+SUMIFS($W$2:$W$107,$P$2:$P$107,AR22,$G$2:$G$107,2)+SUMIFS($W$2:$W$107,$P$2:$P$107,AR22,$G$2:$G$107,3)+SUMIFS($W$2:$W$107,$P$2:$P$107,AR22,$G$2:$G$107,4)</calculatedColumnFormula>
    </tableColumn>
    <tableColumn id="12" xr3:uid="{83BAED9D-BBE1-4C76-BBCA-313CCD921E11}" name="GF A" dataDxfId="189">
      <calculatedColumnFormula>SUMIFS($V$2:$V$107,$O$2:$O$107,AR22,$G$2:$G$107,1) + SUMIFS($V$2:$V$107,$O$2:$O$107,AR22,$G$2:$G$107,2)+SUMIFS($V$2:$V$107,$O$2:$O$107,AR22,$G$2:$G$107,3)+SUMIFS($V$2:$V$107,$O$2:$O$107,AR22,$G$2:$G$107,4)</calculatedColumnFormula>
    </tableColumn>
    <tableColumn id="13" xr3:uid="{9D239E38-642E-49BB-AFCC-7F4B50408CD9}" name="GA H" dataDxfId="188">
      <calculatedColumnFormula>SUMIFS($V$2:$V$107,$P$2:$P$107,AR22,$G$2:$G$107,1)+SUMIFS($V$2:$V$107,$P$2:$P$107,AR22,$G$2:$G$107,2)+SUMIFS($V$2:$V$107,$P$2:$P$107,AR22,$G$2:$G$107,3)+SUMIFS($V$2:$V$107,$P$2:$P$107,AR22,$G$2:$G$107,4)</calculatedColumnFormula>
    </tableColumn>
    <tableColumn id="14" xr3:uid="{C28D4692-8893-4399-B12F-0EFEC4ACE55F}" name="GA A" dataDxfId="187">
      <calculatedColumnFormula>SUMIFS($W$2:$W$107,$O$2:$O$107,AR22,$G$2:$G$107,1)+(SUMIFS($W$2:$W$107,$O$2:$O$107,AR22,$G$2:$G$107,2)+SUMIFS($W$2:$W$107,$O$2:$O$107,AR22,$G$2:$G$107,3)+SUMIFS($W$2:$W$107,$O$2:$O$107,AR22,$G$2:$G$107,4))</calculatedColumnFormula>
    </tableColumn>
    <tableColumn id="15" xr3:uid="{EFE9EFE5-C5A6-4D37-BAFD-4A00F7B02584}" name="DIFF H" dataDxfId="186">
      <calculatedColumnFormula>CT22-CV22</calculatedColumnFormula>
    </tableColumn>
    <tableColumn id="16" xr3:uid="{B9AF8DC9-F982-4D02-B43F-486449573036}" name="DIFF A" dataDxfId="185">
      <calculatedColumnFormula>CU22-CW22</calculatedColumnFormula>
    </tableColumn>
    <tableColumn id="17" xr3:uid="{E94B86FE-AA74-466B-A7F6-2C43B9EEA68A}" name="GF T" dataDxfId="184">
      <calculatedColumnFormula>CT22+CU22</calculatedColumnFormula>
    </tableColumn>
    <tableColumn id="18" xr3:uid="{437A09FB-7E7B-457E-AD72-B615E2FEC992}" name="GA T" dataDxfId="183">
      <calculatedColumnFormula>CV22+CW22</calculatedColumnFormula>
    </tableColumn>
    <tableColumn id="19" xr3:uid="{D83A9D62-4017-4FF7-BA18-93B627CB0BEF}" name="DIFF T" dataDxfId="182">
      <calculatedColumnFormula>(CT22+CU22)-(CV22+CW22)</calculatedColumnFormula>
    </tableColumn>
    <tableColumn id="20" xr3:uid="{139C299F-4896-455D-A9B3-7CA4FF9ECE1D}" name="GFPG H" dataDxfId="181">
      <calculatedColumnFormula>CT22/CL22</calculatedColumnFormula>
    </tableColumn>
    <tableColumn id="21" xr3:uid="{5ED7F4F1-4524-4204-90BC-07DFE35665ED}" name="GFPG A" dataDxfId="180">
      <calculatedColumnFormula>CU22/CM22</calculatedColumnFormula>
    </tableColumn>
    <tableColumn id="22" xr3:uid="{3BAC0D7E-D609-46FC-BB96-6327BEC9045F}" name="GAPG H" dataDxfId="179">
      <calculatedColumnFormula>CV22/CL22</calculatedColumnFormula>
    </tableColumn>
    <tableColumn id="23" xr3:uid="{894AF6A4-2FD4-468F-8740-6E39104F12C5}" name="GAPG A" dataDxfId="178">
      <calculatedColumnFormula>CW22/CM22</calculatedColumnFormula>
    </tableColumn>
    <tableColumn id="24" xr3:uid="{CFA1DE8E-0094-499E-B287-EEFFFC39239B}" name="GFPG " dataDxfId="177">
      <calculatedColumnFormula>CZ22/CK22</calculatedColumnFormula>
    </tableColumn>
    <tableColumn id="25" xr3:uid="{5723B53A-51E1-40DB-A91D-49D133C87D25}" name="GAPG " dataDxfId="176">
      <calculatedColumnFormula>DA22/CK22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F60155-77BE-48E5-AA58-5D8F46940651}" name="Table2" displayName="Table2" ref="A1:AJ81" totalsRowShown="0" headerRowDxfId="175" headerRowBorderDxfId="174">
  <autoFilter ref="A1:AJ81" xr:uid="{CAF60155-77BE-48E5-AA58-5D8F46940651}"/>
  <tableColumns count="36">
    <tableColumn id="36" xr3:uid="{BC11025D-D209-4F2E-893B-337557A56C2F}" name="GameID" dataDxfId="173">
      <calculatedColumnFormula>IF(ISBLANK(Table2[[#This Row],[GAMENUM]]), "", _xlfn.TEXTJOIN("", 1, "2025030", Table2[[#This Row],[ROUNDNUM]], Table2[[#This Row],[SeriesID]], Table2[[#This Row],[GAMENUM]]))</calculatedColumnFormula>
    </tableColumn>
    <tableColumn id="37" xr3:uid="{92E02A6A-B527-4354-83B9-6B34AAD900AC}" name="SeriesID" dataDxfId="172">
      <calculatedColumnFormula>IF(ISBLANK(Table2[[#This Row],[GAMENUM]]), "", INDEX(Table3[SeriesID], MATCH(Table2[[#This Row],[SERIESCODE]],Table3[SeriesCode],0)))</calculatedColumnFormula>
    </tableColumn>
    <tableColumn id="35" xr3:uid="{EB39DD08-63F4-458B-BC1D-333B8DE55D30}" name="WEEKDATE" dataDxfId="171">
      <calculatedColumnFormula>TEXT($D2,"dddd")</calculatedColumnFormula>
    </tableColumn>
    <tableColumn id="2" xr3:uid="{D87BCC97-C12B-42BA-ACD3-847AD72294EC}" name="DATE" dataDxfId="170"/>
    <tableColumn id="3" xr3:uid="{6E19CA59-B6A3-4131-B285-CE1F7BAF3D31}" name="TIME" dataDxfId="169"/>
    <tableColumn id="4" xr3:uid="{02F4D888-3BD5-4016-BA9A-EC8A0CBEA44E}" name="CONF" dataDxfId="168"/>
    <tableColumn id="5" xr3:uid="{DEBF2CDE-9CD3-427B-90BB-33C4A230FDB2}" name="ROUNDNUM" dataDxfId="167"/>
    <tableColumn id="6" xr3:uid="{0B2FA3E5-A739-4507-920E-FD6BD73D06FC}" name="SERIESCODE" dataDxfId="166"/>
    <tableColumn id="7" xr3:uid="{E0FB355A-FF65-48EA-9A64-1208BDA18DEA}" name="GAMENUM" dataDxfId="165"/>
    <tableColumn id="8" xr3:uid="{48075340-6AD4-4735-8D81-DCE8BDEA7894}" name="TOPSEED" dataDxfId="164"/>
    <tableColumn id="9" xr3:uid="{47D97FCE-3C11-4B03-A932-BB3CCC5294A3}" name="LOWSEED" dataDxfId="163"/>
    <tableColumn id="10" xr3:uid="{2657E2A1-FA3E-4247-AB77-0882735B5D98}" name="TOPSEEDWINS" dataDxfId="162"/>
    <tableColumn id="11" xr3:uid="{F857D9CD-319A-4A1F-8A87-5B89AB0E3AE4}" name="LOWSEEDWINS" dataDxfId="161"/>
    <tableColumn id="12" xr3:uid="{F49B8205-50A8-4D22-BDFA-A8C59906257D}" name="AWAYTEAM" dataDxfId="160"/>
    <tableColumn id="13" xr3:uid="{10A989E8-E464-444A-B995-FE5CD8D50A3E}" name="HOMETEAM" dataDxfId="159"/>
    <tableColumn id="14" xr3:uid="{BEBB472F-C00C-43D1-BA57-177EECF3D1A4}" name="MYCHOICE" dataDxfId="158">
      <calculatedColumnFormula>IF(OR(ISBLANK(Q2), ISBLANK($R2)), "", IF($Q2&gt;$R2, $N2,$O2))</calculatedColumnFormula>
    </tableColumn>
    <tableColumn id="15" xr3:uid="{3265132F-9519-4D83-9071-5A806C9B66A7}" name="PAWAYSCORE" dataDxfId="157"/>
    <tableColumn id="16" xr3:uid="{61D192BF-2F44-45CA-B41E-2E154B58B73C}" name="PHOMESCORE" dataDxfId="156"/>
    <tableColumn id="17" xr3:uid="{4FBCD938-E47F-4A71-B757-19409794237B}" name="PResult" dataDxfId="155"/>
    <tableColumn id="18" xr3:uid="{910345CE-2F3B-453D-B129-551EEF8A2ED1}" name="LOCKEDIN" dataDxfId="154"/>
    <tableColumn id="19" xr3:uid="{B5B3650D-B08F-4959-92AE-19041FF77E90}" name="AAWAYSCORE" dataDxfId="153"/>
    <tableColumn id="20" xr3:uid="{335FAADC-EF48-4918-8FC4-59E64D4FF575}" name="AHOMESCORE" dataDxfId="152"/>
    <tableColumn id="21" xr3:uid="{D0C1DED2-3AB8-4A82-B413-410B2E943C31}" name="OTROUNDNUM" dataDxfId="151"/>
    <tableColumn id="28" xr3:uid="{8CEC7A2B-BB1F-4321-9210-9BB0998B079D}" name="TimeInSeconds" dataDxfId="150"/>
    <tableColumn id="29" xr3:uid="{10E6524A-A99E-4AF0-8D29-4FCFCFB34999}" name="Periods" dataDxfId="149">
      <calculatedColumnFormula>Table2[[#This Row],[TimeInSeconds]]/1200</calculatedColumnFormula>
    </tableColumn>
    <tableColumn id="22" xr3:uid="{13F2CA6A-0805-4608-99D8-D82B730F1411}" name="CORRECT" dataDxfId="148">
      <calculatedColumnFormula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calculatedColumnFormula>
    </tableColumn>
    <tableColumn id="23" xr3:uid="{C52B97FA-25BE-428D-BE11-A51A7A6F4023}" name="WINNER" dataDxfId="147">
      <calculatedColumnFormula>IF(OR(ISBLANK($U2), ISBLANK($V2), ISBLANK($W2)), "", IF(U2&gt;V2,N2,O2))</calculatedColumnFormula>
    </tableColumn>
    <tableColumn id="26" xr3:uid="{5D5BFFE0-4374-4A91-BEA2-4CDF401FCD34}" name="DiffAwayGoals" dataDxfId="146">
      <calculatedColumnFormula>IF(ISBLANK(Table2[[#This Row],[OTROUNDNUM]]), "", Table2[[#This Row],[PAWAYSCORE]]-Table2[[#This Row],[AAWAYSCORE]])</calculatedColumnFormula>
    </tableColumn>
    <tableColumn id="25" xr3:uid="{ACD0F41D-B80B-4A4E-9591-78757C8DFA9E}" name="DiffHomeGoals" dataDxfId="145">
      <calculatedColumnFormula>IF(ISBLANK(Table2[[#This Row],[OTROUNDNUM]]), "", Table2[[#This Row],[PHOMESCORE]]-Table2[[#This Row],[AHOMESCORE]])</calculatedColumnFormula>
    </tableColumn>
    <tableColumn id="27" xr3:uid="{41738826-E2E1-4FB3-9F83-D387B1662DD1}" name="GameOver" dataDxfId="144">
      <calculatedColumnFormula>_xlfn.IFS(ISBLANK(Table2[[#This Row],[GAMENUM]]), " ", 1, IF((Table2[[#This Row],[TOPSEEDWINS]]+Table2[[#This Row],[LOWSEEDWINS]]) &lt;&gt; Table2[[#This Row],[GAMENUM]], 0, 1))</calculatedColumnFormula>
    </tableColumn>
    <tableColumn id="30" xr3:uid="{01182D9C-9114-43C1-9556-1EB6D3E5B5F6}" name="AwayWon" dataDxfId="143">
      <calculatedColumnFormula>_xlfn.IFS(ISBLANK(Table2[[#This Row],[GAMENUM]]),"", Table2[[#This Row],[GameOver]]=0,"",Table2[[#This Row],[AAWAYSCORE]]&gt;Table2[[#This Row],[AHOMESCORE]], 1,1,0)</calculatedColumnFormula>
    </tableColumn>
    <tableColumn id="31" xr3:uid="{EFE3113E-B9F9-47DD-94D8-324229B98A67}" name="HomeWon" dataDxfId="142">
      <calculatedColumnFormula>_xlfn.IFS(ISBLANK(Table2[[#This Row],[GAMENUM]]),"",Table2[[#This Row],[GameOver]]=0,"",Table2[[#This Row],[AAWAYSCORE]]&lt;Table2[[#This Row],[AHOMESCORE]], 1,1,0)</calculatedColumnFormula>
    </tableColumn>
    <tableColumn id="32" xr3:uid="{5AE7548F-E1CA-46B5-816F-9F06B71437AB}" name="HasOT" dataDxfId="141">
      <calculatedColumnFormula>_xlfn.IFS(ISBLANK(Table2[[#This Row],[GAMENUM]]),"",Table2[[#This Row],[GameOver]]=0,"",Table2[[#This Row],[OTROUNDNUM]]&gt;0,1,1,0)</calculatedColumnFormula>
    </tableColumn>
    <tableColumn id="33" xr3:uid="{C741BF5F-1ECB-4D80-A5DB-30AB8C2A1187}" name="AwayWasShutout" dataDxfId="140">
      <calculatedColumnFormula>_xlfn.IFS(ISBLANK(Table2[[#This Row],[GAMENUM]]),"",Table2[[#This Row],[GameOver]]=0,"",Table2[[#This Row],[AAWAYSCORE]]=0,1,1,0)</calculatedColumnFormula>
    </tableColumn>
    <tableColumn id="34" xr3:uid="{0486996A-D5FD-4282-92A3-10353E9FA451}" name="HomeWasShutout" dataDxfId="139">
      <calculatedColumnFormula>_xlfn.IFS(ISBLANK(Table2[[#This Row],[GAMENUM]]),"", Table2[[#This Row],[GameOver]]=0,"",Table2[[#This Row],[AHOMESCORE]]=0,1,1,0)</calculatedColumnFormula>
    </tableColumn>
    <tableColumn id="24" xr3:uid="{4CBA132A-C7C7-46A0-A3B6-3B6E14F287C5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A506F8-102D-4009-9A44-0E34EE260A58}" name="Table3" displayName="Table3" ref="AQ2:BG17" totalsRowShown="0" headerRowDxfId="138" dataDxfId="137" tableBorderDxfId="136">
  <autoFilter ref="AQ2:BG17" xr:uid="{58A506F8-102D-4009-9A44-0E34EE260A58}"/>
  <tableColumns count="17">
    <tableColumn id="1" xr3:uid="{D468CCD5-D29D-4522-BA7A-316A768E65D3}" name="SeriesCode" dataDxfId="135"/>
    <tableColumn id="17" xr3:uid="{FE7FEBE8-A28D-4BD8-A1EB-4357CBF04B8D}" name="SeriesID" dataDxfId="134"/>
    <tableColumn id="2" xr3:uid="{B266CB34-73DB-41F5-B365-699ED3711C22}" name="TopSeed" dataDxfId="133">
      <calculatedColumnFormula>INDEX(J:J, MATCH(2, 1/(H:H=AQ3)))</calculatedColumnFormula>
    </tableColumn>
    <tableColumn id="3" xr3:uid="{666DD31C-47B9-45EC-B19F-C56369F42666}" name="LowSeed" dataDxfId="132">
      <calculatedColumnFormula array="1">INDEX(L:L, MATCH(2, 1/(H:H=AQ3)))</calculatedColumnFormula>
    </tableColumn>
    <tableColumn id="14" xr3:uid="{4E841F1C-23C1-4043-B89E-A766E1D8677E}" name="PeriodsPlayed" dataDxfId="131">
      <calculatedColumnFormula>SUMIFS(Table2[Periods], Table2[SERIESCODE], Table3[[#This Row],[SeriesCode]])</calculatedColumnFormula>
    </tableColumn>
    <tableColumn id="16" xr3:uid="{5D7F0A98-7AF8-4A83-BF78-60D2ECC82752}" name="SecondsPlayed" dataDxfId="130">
      <calculatedColumnFormula>SUMIFS(Table2[TimeInSeconds], Table2[SERIESCODE], Table3[[#This Row],[SeriesCode]])</calculatedColumnFormula>
    </tableColumn>
    <tableColumn id="15" xr3:uid="{0BE87169-0DB4-47E9-BF9B-40CDDA0A45F9}" name="HoursPlayed" dataDxfId="129">
      <calculatedColumnFormula>Table3[[#This Row],[SecondsPlayed]]/3600</calculatedColumnFormula>
    </tableColumn>
    <tableColumn id="4" xr3:uid="{77911862-4F73-46A2-9983-CC8F636C19F4}" name="GP In Series">
      <calculatedColumnFormula array="1">INDEX(J:J, MATCH(2, 1/(H:H=AQ3)))</calculatedColumnFormula>
    </tableColumn>
    <tableColumn id="5" xr3:uid="{2E2D16AE-C26E-47BF-9B60-565C2BD9CDFF}" name="Guessed Right" dataDxfId="128">
      <calculatedColumnFormula>SUMIFS($AA$2:$AA$107,$H$2:$H$107,AQ3)</calculatedColumnFormula>
    </tableColumn>
    <tableColumn id="6" xr3:uid="{913B7B07-0C80-429E-A163-129D7A9C6A03}" name="Pct Right">
      <calculatedColumnFormula>AY3/AX3</calculatedColumnFormula>
    </tableColumn>
    <tableColumn id="7" xr3:uid="{A475C990-CE92-445D-A053-1FF5B4589799}" name="TopSeedGoals" dataDxfId="127"/>
    <tableColumn id="8" xr3:uid="{758A504B-BB33-4B28-99B5-1AB09F763DEF}" name="LowSeedGoals" dataDxfId="126"/>
    <tableColumn id="9" xr3:uid="{974E9C85-4814-40AF-A61B-CE659B08DDE2}" name="HomeGoals" dataDxfId="125"/>
    <tableColumn id="10" xr3:uid="{DA9CA8EB-5C70-4C06-9E24-5C795B4AD429}" name="AwayGoals" dataDxfId="124"/>
    <tableColumn id="11" xr3:uid="{8589C1DF-456A-4957-9D32-8FD47EEE8397}" name="HomeWins" dataDxfId="123"/>
    <tableColumn id="12" xr3:uid="{6C49D1D8-A92C-446A-B136-7E271DEF8C26}" name="AwayWins" dataDxfId="122"/>
    <tableColumn id="13" xr3:uid="{5C54AC64-197B-4AE1-9826-2004781AF12C}" name="Num Ots" dataDxfId="1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16568C-EC68-4B9F-A850-6C137FBE2CC0}" name="Table4" displayName="Table4" ref="AR21:BZ37" totalsRowShown="0" headerRowDxfId="120" tableBorderDxfId="119">
  <autoFilter ref="AR21:BZ37" xr:uid="{0F16568C-EC68-4B9F-A850-6C137FBE2CC0}"/>
  <tableColumns count="35">
    <tableColumn id="1" xr3:uid="{6C63FBF3-41B9-413A-92D2-3032995F4C15}" name="Team"/>
    <tableColumn id="33" xr3:uid="{06089788-3C66-4DEF-8ED6-A75F35EA5E4B}" name="PeriodsPlayed" dataDxfId="118">
      <calculatedColumnFormula>SUMIFS(Table2[Periods], Table2[TOPSEED], Table4[[#This Row],[Team]], Table2[ROUNDNUM], 1)+SUMIFS(Table2[Periods], Table2[LOWSEED], Table4[[#This Row],[Team]], Table2[ROUNDNUM],1)</calculatedColumnFormula>
    </tableColumn>
    <tableColumn id="35" xr3:uid="{CABF5BB8-E905-4BA5-B315-C91C5723DB53}" name="SecondsPlayed" dataDxfId="117">
      <calculatedColumnFormula>SUMIFS(Table2[TimeInSeconds], Table2[TOPSEED], Table4[[#This Row],[Team]], Table2[ROUNDNUM], 1)+SUMIFS(Table2[TimeInSeconds], Table2[LOWSEED], Table4[[#This Row],[Team]], Table2[ROUNDNUM],1)</calculatedColumnFormula>
    </tableColumn>
    <tableColumn id="34" xr3:uid="{42A52C35-16CD-4C4C-9C0D-870D21C583CB}" name="HoursPlayed" dataDxfId="116">
      <calculatedColumnFormula>Table4[[#This Row],[SecondsPlayed]]/3600</calculatedColumnFormula>
    </tableColumn>
    <tableColumn id="32" xr3:uid="{D1ECB760-6654-4DC4-9BBA-0C52F011B7D9}" name="LastCup" dataDxfId="115"/>
    <tableColumn id="2" xr3:uid="{38E7B4E6-4556-4A9F-A862-5EB68A0E72E2}" name="GP R1" dataDxfId="114">
      <calculatedColumnFormula>COUNTIFS(Table2[LOWSEED], AR22, Table2[ROUNDNUM], 1, Table2[GameOver], 1) + COUNTIFS(Table2[TOPSEED], AR22, Table2[ROUNDNUM], 1, Table2[GameOver], 1)</calculatedColumnFormula>
    </tableColumn>
    <tableColumn id="3" xr3:uid="{B938AEBA-E96A-4424-88F4-1EC1CBAC48A5}" name="GP R2" dataDxfId="113">
      <calculatedColumnFormula>COUNTIFS(Table2[LOWSEED], AR22, Table2[ROUNDNUM], 2, Table2[GameOver], 1) + COUNTIFS(Table2[TOPSEED], AR22, Table2[ROUNDNUM], 2, Table2[GameOver], 1)</calculatedColumnFormula>
    </tableColumn>
    <tableColumn id="4" xr3:uid="{03847761-2B9C-4CB1-BF26-4EBB32C33FF1}" name="GP R3" dataDxfId="112">
      <calculatedColumnFormula>COUNTIFS(Table2[LOWSEED], AR22, Table2[ROUNDNUM], 3, Table2[GameOver], 1) + COUNTIFS(Table2[TOPSEED], AR22, Table2[ROUNDNUM], 3, Table2[GameOver], 1)</calculatedColumnFormula>
    </tableColumn>
    <tableColumn id="5" xr3:uid="{131C98AA-15C3-407B-B250-CCA15DEBEB3C}" name="GP R4" dataDxfId="111">
      <calculatedColumnFormula>COUNTIFS(Table2[LOWSEED], AR22, Table2[ROUNDNUM], 4, Table2[GameOver], 1) + COUNTIFS(Table2[TOPSEED], AR22, Table2[ROUNDNUM], 4, Table2[GameOver], 1)</calculatedColumnFormula>
    </tableColumn>
    <tableColumn id="6" xr3:uid="{8425B82D-0F62-429D-A19D-9CC1EB9E4D63}" name="GP TOT" dataDxfId="110">
      <calculatedColumnFormula>AW22+AX22+AY22+AZ22</calculatedColumnFormula>
    </tableColumn>
    <tableColumn id="7" xr3:uid="{E3248817-1DD2-433A-847E-DF7E87A5A70F}" name="GP H" dataDxfId="109">
      <calculatedColumnFormula>COUNTIF($P$2:$P$107, AR22)</calculatedColumnFormula>
    </tableColumn>
    <tableColumn id="8" xr3:uid="{21BE588F-0B8B-4C60-8162-430946CA1DF4}" name="GP A" dataDxfId="108">
      <calculatedColumnFormula>COUNTIF($O$2:$O$107, AR22)</calculatedColumnFormula>
    </tableColumn>
    <tableColumn id="9" xr3:uid="{7188E37B-D969-48A9-A186-E2467EF99CBE}" name="W TOT" dataDxfId="107">
      <calculatedColumnFormula>BF22+BH22</calculatedColumnFormula>
    </tableColumn>
    <tableColumn id="10" xr3:uid="{EAAE8CB4-76FC-45AA-A419-BB180E431DA1}" name="L TOT" dataDxfId="106">
      <calculatedColumnFormula>BA22-BD22</calculatedColumnFormula>
    </tableColumn>
    <tableColumn id="11" xr3:uid="{2D986444-D505-4899-AA8D-EA43A8A2056D}" name="W H" dataDxfId="105">
      <calculatedColumnFormula>SUMPRODUCT(($P$2:$P$107=AR22)*($W$2:$W$107&gt;$V$2:$V$107))</calculatedColumnFormula>
    </tableColumn>
    <tableColumn id="12" xr3:uid="{B4BBDDB8-3F4E-4330-A142-C87DEB3F625B}" name="L H" dataDxfId="104">
      <calculatedColumnFormula>SUMPRODUCT(($P$2:$P$107=AR22)*($W$2:$W$107&lt;$V$2:$V$107))</calculatedColumnFormula>
    </tableColumn>
    <tableColumn id="13" xr3:uid="{56966DEE-5A38-45FF-B6F9-E685FB5A761C}" name="W A" dataDxfId="103">
      <calculatedColumnFormula>SUMPRODUCT(($O$2:$O$107=AR22)*($W$2:$W$107&lt;$V$2:$V$107))</calculatedColumnFormula>
    </tableColumn>
    <tableColumn id="14" xr3:uid="{55AB34C7-276C-426E-BA67-895B6D9397B2}" name="L A" dataDxfId="102">
      <calculatedColumnFormula>SUMPRODUCT(($O$2:$O$107=AR22)*($W$2:$W$107&gt;$V$2:$V$107))</calculatedColumnFormula>
    </tableColumn>
    <tableColumn id="15" xr3:uid="{3995A638-FF63-4AF0-84FA-ABD2F50B9871}" name="GP R1 H" dataDxfId="101">
      <calculatedColumnFormula>COUNTIFS($P$2:$P$107,AR22,$G$2:$G$107,1)</calculatedColumnFormula>
    </tableColumn>
    <tableColumn id="16" xr3:uid="{6E9F9920-0EA2-4848-94EE-E1CD133026C9}" name="GP R1 A" dataDxfId="100">
      <calculatedColumnFormula>COUNTIFS($O$2:$O$107,AR22,$G$2:$G$107,1)</calculatedColumnFormula>
    </tableColumn>
    <tableColumn id="17" xr3:uid="{5962CF08-0644-4EBD-B2E8-59BEDC866D62}" name="GF R1 H" dataDxfId="99">
      <calculatedColumnFormula>SUMIFS($W$2:$W$107, $P$2:$P$107, AR22,$G$2:$G$107, 1)</calculatedColumnFormula>
    </tableColumn>
    <tableColumn id="18" xr3:uid="{021C27B4-5232-47A9-B6B1-BBA5C2A4D3FD}" name="GF R1 A" dataDxfId="98">
      <calculatedColumnFormula>SUMIFS($V$2:$V$107, $O$2:$O$107, AR22,$G$2:$G$107, 1)</calculatedColumnFormula>
    </tableColumn>
    <tableColumn id="19" xr3:uid="{053DE985-E326-462B-9C3F-CF26DAD907DC}" name="GA R1 H" dataDxfId="97">
      <calculatedColumnFormula>SUMIFS($V$2:$V$107, $P$2:$P$107, AR22,$G$2:$G$107, 1)</calculatedColumnFormula>
    </tableColumn>
    <tableColumn id="20" xr3:uid="{A80C2A60-ABFA-45DA-A845-A96CBD63614E}" name="GA R1 A" dataDxfId="96">
      <calculatedColumnFormula>SUMIFS($W$2:$W$107, $O$2:$O$107, AR22,$G$2:$G$107, 1)</calculatedColumnFormula>
    </tableColumn>
    <tableColumn id="21" xr3:uid="{85E4F0CD-48C5-48F1-AB37-BB08C52F7B0F}" name="DIFF R1 H" dataDxfId="95">
      <calculatedColumnFormula>BL22-BN22</calculatedColumnFormula>
    </tableColumn>
    <tableColumn id="22" xr3:uid="{55383639-730A-4BD1-A02E-B8DB1016C683}" name="DIFF R1 A" dataDxfId="94">
      <calculatedColumnFormula>BM22-BO22</calculatedColumnFormula>
    </tableColumn>
    <tableColumn id="23" xr3:uid="{BFE4F1A2-81FA-4013-BDD3-FA931EC8C0B4}" name="GF R1 T" dataDxfId="93">
      <calculatedColumnFormula>BL22+BM22</calculatedColumnFormula>
    </tableColumn>
    <tableColumn id="24" xr3:uid="{43404683-FCE6-4696-9CE0-C1B7AD7C7919}" name="GA R1 T" dataDxfId="92">
      <calculatedColumnFormula>BN22+BO22</calculatedColumnFormula>
    </tableColumn>
    <tableColumn id="25" xr3:uid="{A05161CF-7253-42DE-BB8A-EA6269A3450F}" name="DIFF R1 T" dataDxfId="91">
      <calculatedColumnFormula>(BL22+BM22)-(BN22+BO22)</calculatedColumnFormula>
    </tableColumn>
    <tableColumn id="26" xr3:uid="{CE0EB994-A01F-414A-8563-C5C4F163B1E2}" name="GFPG R1 H">
      <calculatedColumnFormula>BL22/BJ22</calculatedColumnFormula>
    </tableColumn>
    <tableColumn id="27" xr3:uid="{4EEAF6E5-EC06-477F-83BA-D96B36BB55BA}" name="GFPG R1 A">
      <calculatedColumnFormula>BM22/BK22</calculatedColumnFormula>
    </tableColumn>
    <tableColumn id="28" xr3:uid="{EDDA0B01-AA4B-428C-86C6-BAFEE71A763F}" name="GAPG R1 H">
      <calculatedColumnFormula>BN22/BJ22</calculatedColumnFormula>
    </tableColumn>
    <tableColumn id="29" xr3:uid="{B288B2F2-9884-462B-B8BA-8F5AFED2D9C4}" name="GAPG R1 A">
      <calculatedColumnFormula>BO22/BK22</calculatedColumnFormula>
    </tableColumn>
    <tableColumn id="30" xr3:uid="{C0DDEEF4-6B35-4301-A2B0-234174E11D1C}" name="GFPG R1">
      <calculatedColumnFormula>BR22/AW22</calculatedColumnFormula>
    </tableColumn>
    <tableColumn id="31" xr3:uid="{2D50129F-C1F5-4362-8C3A-627ABC565BF1}" name="GAPG R1">
      <calculatedColumnFormula>BS22/AW22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5AC943-AE18-48D9-8D6C-24C92E91FE01}" name="Table5" displayName="Table5" ref="AR40:BZ48" totalsRowShown="0" headerRowDxfId="90" tableBorderDxfId="89">
  <autoFilter ref="AR40:BZ48" xr:uid="{1F5AC943-AE18-48D9-8D6C-24C92E91FE01}"/>
  <tableColumns count="35">
    <tableColumn id="1" xr3:uid="{C897594E-7BBC-493B-8340-40E491EC0FA1}" name="Team"/>
    <tableColumn id="33" xr3:uid="{D50DA757-6CFB-4C70-BF00-2A22D3A49577}" name="PeriodsPlayed" dataDxfId="88">
      <calculatedColumnFormula>SUMIFS(Table2[Periods], Table2[TOPSEED], Table5[[#This Row],[Team]], Table2[ROUNDNUM], 2)+SUMIFS(Table2[Periods], Table2[LOWSEED], Table5[[#This Row],[Team]], Table2[ROUNDNUM],2)</calculatedColumnFormula>
    </tableColumn>
    <tableColumn id="34" xr3:uid="{B9D31689-03D3-4F9C-9FB3-0C5FCD84CCF1}" name="SecondsPlayed" dataDxfId="87">
      <calculatedColumnFormula>SUMIFS(Table2[TimeInSeconds], Table2[TOPSEED], Table5[[#This Row],[Team]], Table2[ROUNDNUM], 2)+SUMIFS(Table2[TimeInSeconds], Table2[LOWSEED], Table5[[#This Row],[Team]], Table2[ROUNDNUM],2)</calculatedColumnFormula>
    </tableColumn>
    <tableColumn id="35" xr3:uid="{7B374769-E334-48C7-8F2A-EF33844B283A}" name="HoursPlayed" dataDxfId="86">
      <calculatedColumnFormula>Table5[[#This Row],[SecondsPlayed]]/3600</calculatedColumnFormula>
    </tableColumn>
    <tableColumn id="32" xr3:uid="{A23FA2C3-261B-4D7F-AE6D-8629BCFADEF0}" name="LastCup" dataDxfId="85"/>
    <tableColumn id="2" xr3:uid="{0307687D-C2A5-4D1A-9F71-2AF95DEF478E}" name="GP R1" dataDxfId="84">
      <calculatedColumnFormula>COUNTIFS(Table2[TOPSEED], AR41, Table2[ROUNDNUM], 1, Table2[GameOver], 1) + COUNTIFS(Table2[LOWSEED], AR41,  Table2[ROUNDNUM], 1, Table2[GameOver], 1)</calculatedColumnFormula>
    </tableColumn>
    <tableColumn id="3" xr3:uid="{AD965B24-9AE8-4741-BFDE-4FC729E3D236}" name="GP R2" dataDxfId="83">
      <calculatedColumnFormula>COUNTIFS(Table2[LOWSEED], AR41, Table2[ROUNDNUM], 2, Table2[GameOver], 1) + COUNTIFS(Table2[TOPSEED], AR41, Table2[ROUNDNUM], 2, Table2[GameOver], 1)</calculatedColumnFormula>
    </tableColumn>
    <tableColumn id="4" xr3:uid="{09D6319D-C40E-4A4A-B791-3E0A8FA57879}" name="GP R3" dataDxfId="82">
      <calculatedColumnFormula>COUNTIFS(Table2[LOWSEED], AR41, Table2[ROUNDNUM], 3, Table2[GameOver], 1) + COUNTIFS(Table2[TOPSEED], AR41, Table2[ROUNDNUM], 3, Table2[GameOver], 1)</calculatedColumnFormula>
    </tableColumn>
    <tableColumn id="5" xr3:uid="{3979FECF-D19B-4C8D-9948-38B44A559FD7}" name="GP R4" dataDxfId="81">
      <calculatedColumnFormula>COUNTIFS(Table2[LOWSEED], AR41, Table2[ROUNDNUM], 4, Table2[GameOver], 1) + COUNTIFS(Table2[TOPSEED], AR41, Table2[ROUNDNUM], 4, Table2[GameOver], 1)</calculatedColumnFormula>
    </tableColumn>
    <tableColumn id="6" xr3:uid="{52858AF7-868E-4D7B-9576-8222FCEF2914}" name="GP TOT" dataDxfId="80">
      <calculatedColumnFormula>AW41+AX41+AY41+AZ41</calculatedColumnFormula>
    </tableColumn>
    <tableColumn id="7" xr3:uid="{152EF45C-202E-448C-875E-F7738E1B4C64}" name="GP H" dataDxfId="79">
      <calculatedColumnFormula>COUNTIF($P$2:$P$107, AR41)</calculatedColumnFormula>
    </tableColumn>
    <tableColumn id="8" xr3:uid="{16BA92E1-F25B-4619-8DDB-D0151212E814}" name="GP A" dataDxfId="78">
      <calculatedColumnFormula>COUNTIF($O$2:$O$107, AR41)</calculatedColumnFormula>
    </tableColumn>
    <tableColumn id="9" xr3:uid="{748C294E-8834-4577-A47E-304A1BE01161}" name="W TOT" dataDxfId="77">
      <calculatedColumnFormula>BF41+BH41</calculatedColumnFormula>
    </tableColumn>
    <tableColumn id="10" xr3:uid="{4646E7BA-CD77-4A55-A3EA-751630443B83}" name="L TOT" dataDxfId="76">
      <calculatedColumnFormula>BA41-BD41</calculatedColumnFormula>
    </tableColumn>
    <tableColumn id="11" xr3:uid="{82581A10-7D02-4B3C-BA3F-1502C2E483A7}" name="W H" dataDxfId="75">
      <calculatedColumnFormula>SUMPRODUCT(($P$2:$P$107=AR41)*($W$2:$W$107&gt;$V$2:$V$107))</calculatedColumnFormula>
    </tableColumn>
    <tableColumn id="12" xr3:uid="{6C5A50F5-CB4B-4B8F-B71C-60E8A4A3E301}" name="L H" dataDxfId="74">
      <calculatedColumnFormula>SUMPRODUCT(($P$2:$P$107=AR22)*($W$2:$W$107&lt;$V$2:$V$107))</calculatedColumnFormula>
    </tableColumn>
    <tableColumn id="13" xr3:uid="{7ED35571-6FA6-4321-A71C-DE3F8D5AE006}" name="W A" dataDxfId="73">
      <calculatedColumnFormula>SUMPRODUCT(($O$2:$O$107=AR41)*($W$2:$W$107&lt;$V$2:$V$107))</calculatedColumnFormula>
    </tableColumn>
    <tableColumn id="14" xr3:uid="{45278594-9F96-4D33-9EDD-42C42348CE9A}" name="L A" dataDxfId="72">
      <calculatedColumnFormula>SUMPRODUCT(($O$2:$O$107=AR41)*($W$2:$W$107&gt;$V$2:$V$107))</calculatedColumnFormula>
    </tableColumn>
    <tableColumn id="15" xr3:uid="{0571BEB6-A1FE-418F-9447-F8DCDFBE8F48}" name="GP R2 H" dataDxfId="71">
      <calculatedColumnFormula>COUNTIFS($P$2:$P$107,AR41,$G$2:$G$107,2)</calculatedColumnFormula>
    </tableColumn>
    <tableColumn id="16" xr3:uid="{2A17DA0E-65B3-417B-8F5F-5472C34D552B}" name="GP R2 A" dataDxfId="70">
      <calculatedColumnFormula>COUNTIFS($O$2:$O$107,AR41,$G$2:$G$107,2)</calculatedColumnFormula>
    </tableColumn>
    <tableColumn id="17" xr3:uid="{53EB2985-F69D-4C93-ADC6-963778958E38}" name="GF R2 H" dataDxfId="69">
      <calculatedColumnFormula>SUMIFS($W$2:$W$107, $P$2:$P$107, AR41,$G$2:$G$107, 2)</calculatedColumnFormula>
    </tableColumn>
    <tableColumn id="18" xr3:uid="{C5219C84-A014-498E-A99D-FC89B729F715}" name="GF R2 A" dataDxfId="68">
      <calculatedColumnFormula>SUMIFS($V$2:$V$107, $O$2:$O$107, AR41,$G$2:$G$107, 2)</calculatedColumnFormula>
    </tableColumn>
    <tableColumn id="19" xr3:uid="{77B7D895-7BBE-47D4-80B3-B2C58DD42A8E}" name="GA R2 H" dataDxfId="67">
      <calculatedColumnFormula>SUMIFS($V$2:$V$107, $P$2:$P$107, AR41,$G$2:$G$107, 2)</calculatedColumnFormula>
    </tableColumn>
    <tableColumn id="20" xr3:uid="{DBEAA07C-E4C0-4D1D-A181-10C1E908ADD0}" name="GA R2 A" dataDxfId="66">
      <calculatedColumnFormula>SUMIFS($W$2:$W$107, $O$2:$O$107, AR41,$G$2:$G$107, 2)</calculatedColumnFormula>
    </tableColumn>
    <tableColumn id="21" xr3:uid="{6DCC9535-4BE8-4393-81DE-CCA77545BB9B}" name="DIFF R2 H" dataDxfId="65">
      <calculatedColumnFormula>BL41-BN41</calculatedColumnFormula>
    </tableColumn>
    <tableColumn id="22" xr3:uid="{41D35C80-F179-440B-BEC9-57704A49659C}" name="DIFF R2 A" dataDxfId="64">
      <calculatedColumnFormula>BM41-BO41</calculatedColumnFormula>
    </tableColumn>
    <tableColumn id="23" xr3:uid="{0C08B6D6-AB8C-45C0-94C0-C8C243037C9D}" name="GF R2 T" dataDxfId="63">
      <calculatedColumnFormula>BL41+BM41</calculatedColumnFormula>
    </tableColumn>
    <tableColumn id="24" xr3:uid="{6691D177-117E-4A3A-893A-5652FC23B6DD}" name="GA R2 T" dataDxfId="62">
      <calculatedColumnFormula>BN41+BO41</calculatedColumnFormula>
    </tableColumn>
    <tableColumn id="25" xr3:uid="{4511B502-DB4D-48F5-A880-995373D654E3}" name="DIFF R2 T" dataDxfId="61">
      <calculatedColumnFormula>(BL41+BM41)-(BN41+BO41)</calculatedColumnFormula>
    </tableColumn>
    <tableColumn id="26" xr3:uid="{81BB25C8-5958-46D7-87F6-7113872B299E}" name="GFPG R2 H">
      <calculatedColumnFormula>BL41/BJ41</calculatedColumnFormula>
    </tableColumn>
    <tableColumn id="27" xr3:uid="{7024014E-5A62-4015-9867-8CECA98526FC}" name="GFPG R2 A">
      <calculatedColumnFormula>BM41/BK41</calculatedColumnFormula>
    </tableColumn>
    <tableColumn id="28" xr3:uid="{1DAFC713-2356-4473-B379-BEFD678780A5}" name="GAPG R2 H">
      <calculatedColumnFormula>BN41/BJ41</calculatedColumnFormula>
    </tableColumn>
    <tableColumn id="29" xr3:uid="{F05DEB18-490E-479B-B774-1B4AF9DEBE14}" name="GAPG R2 A">
      <calculatedColumnFormula>BO41/BK41</calculatedColumnFormula>
    </tableColumn>
    <tableColumn id="30" xr3:uid="{0C87C897-65B8-4249-A844-4A5D25826A7B}" name="GFPG R2">
      <calculatedColumnFormula>BR41/AW41</calculatedColumnFormula>
    </tableColumn>
    <tableColumn id="31" xr3:uid="{0F030B6F-AA48-4233-8F03-4285537AE4E7}" name="GAPG R2">
      <calculatedColumnFormula>BS41/AW41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18FD5F-FFC8-4850-88A8-573E24855D6D}" name="Table6" displayName="Table6" ref="AR51:BZ55" totalsRowShown="0" headerRowDxfId="60" tableBorderDxfId="59">
  <autoFilter ref="AR51:BZ55" xr:uid="{F818FD5F-FFC8-4850-88A8-573E24855D6D}"/>
  <tableColumns count="35">
    <tableColumn id="1" xr3:uid="{1EE23D7E-A6EA-4308-A0B1-BB6C74F70DCB}" name="Team"/>
    <tableColumn id="33" xr3:uid="{4E4971B6-4F68-4237-90E0-F2D446AB11C0}" name="PeriodsPlayed" dataDxfId="58">
      <calculatedColumnFormula>SUMIFS(Table2[Periods], Table2[TOPSEED], Table6[[#This Row],[Team]], Table2[ROUNDNUM], 3)+SUMIFS(Table2[Periods], Table2[LOWSEED], Table6[[#This Row],[Team]], Table2[ROUNDNUM],3)</calculatedColumnFormula>
    </tableColumn>
    <tableColumn id="34" xr3:uid="{C34455E3-EE92-411C-9B03-B9BF5E2629E2}" name="SecondsPlayed" dataDxfId="57">
      <calculatedColumnFormula>SUMIFS(Table2[TimeInSeconds], Table2[TOPSEED], Table6[[#This Row],[Team]], Table2[ROUNDNUM], 3)+SUMIFS(Table2[TimeInSeconds], Table2[LOWSEED], Table6[[#This Row],[Team]], Table2[ROUNDNUM],3)</calculatedColumnFormula>
    </tableColumn>
    <tableColumn id="35" xr3:uid="{DD7D7AE2-63E1-4CB1-87E2-10D5829AF819}" name="HoursPlayed" dataDxfId="56">
      <calculatedColumnFormula>Table6[[#This Row],[SecondsPlayed]]/3600</calculatedColumnFormula>
    </tableColumn>
    <tableColumn id="32" xr3:uid="{8D8347CB-E7D8-4B56-99FC-75EF9E54143C}" name="LastCup" dataDxfId="55"/>
    <tableColumn id="2" xr3:uid="{05394ED4-3839-43DC-8E9F-189411CEC3A9}" name="GP R1" dataDxfId="54">
      <calculatedColumnFormula>COUNTIFS(Table2[LOWSEED], AR52, Table2[ROUNDNUM], 1, Table2[GameOver], 1) + COUNTIFS(Table2[TOPSEED], AR52, Table2[ROUNDNUM], 1, Table2[GameOver], 1)</calculatedColumnFormula>
    </tableColumn>
    <tableColumn id="3" xr3:uid="{4D3B41B6-9D1F-453A-8CED-8C9515EEEF6D}" name="GP R2" dataDxfId="53">
      <calculatedColumnFormula>COUNTIFS(Table2[LOWSEED], AR52, Table2[ROUNDNUM], 2, Table2[GameOver], 1) + COUNTIFS(Table2[TOPSEED], AR52, Table2[ROUNDNUM], 2, Table2[GameOver], 1)</calculatedColumnFormula>
    </tableColumn>
    <tableColumn id="4" xr3:uid="{CD8247D8-D1F1-4126-A160-8E99AC224C0D}" name="GP R3" dataDxfId="52">
      <calculatedColumnFormula>COUNTIFS(Table2[LOWSEED], AR52, Table2[ROUNDNUM], 3, Table2[GameOver], 1) + COUNTIFS(Table2[TOPSEED], AR52, Table2[ROUNDNUM], 3, Table2[GameOver], 1)</calculatedColumnFormula>
    </tableColumn>
    <tableColumn id="5" xr3:uid="{079E3FD4-26E8-4790-99FC-A863C8DBF2B1}" name="GP R4" dataDxfId="51">
      <calculatedColumnFormula>COUNTIFS(Table2[LOWSEED], AR52, Table2[ROUNDNUM], 4, Table2[GameOver], 1) + COUNTIFS(Table2[TOPSEED], AR52, Table2[ROUNDNUM], 4, Table2[GameOver], 1)</calculatedColumnFormula>
    </tableColumn>
    <tableColumn id="6" xr3:uid="{2D99BBDD-2731-4BDC-8E05-55C203963927}" name="GP TOT" dataDxfId="50">
      <calculatedColumnFormula>AW52+AX52+AY52+AZ52</calculatedColumnFormula>
    </tableColumn>
    <tableColumn id="7" xr3:uid="{0E072649-849E-4250-A9AF-7AE575B417F2}" name="GP H" dataDxfId="49">
      <calculatedColumnFormula>COUNTIF($P$2:$P$107, AR52)</calculatedColumnFormula>
    </tableColumn>
    <tableColumn id="8" xr3:uid="{455D66C2-0F7B-4237-B0A2-675CAD79D31C}" name="GP A" dataDxfId="48">
      <calculatedColumnFormula>COUNTIF($O$2:$O$107, AR52)</calculatedColumnFormula>
    </tableColumn>
    <tableColumn id="9" xr3:uid="{C67360EA-0994-4365-9F89-5F440F8CF4F1}" name="W TOT" dataDxfId="47">
      <calculatedColumnFormula>BF52+BH52</calculatedColumnFormula>
    </tableColumn>
    <tableColumn id="10" xr3:uid="{D1A97259-9E42-4382-8013-62656E502BF8}" name="L TOT" dataDxfId="46">
      <calculatedColumnFormula>BA52-BD52</calculatedColumnFormula>
    </tableColumn>
    <tableColumn id="11" xr3:uid="{908216BE-EE39-47C8-9E0A-A0303FB50629}" name="W H" dataDxfId="45">
      <calculatedColumnFormula>SUMPRODUCT(($P$2:$P$107=AR52)*($W$2:$W$107&gt;$V$2:$V$107))</calculatedColumnFormula>
    </tableColumn>
    <tableColumn id="12" xr3:uid="{4D597EDC-EF9F-44A1-B936-4D8FEDB45F20}" name="L H" dataDxfId="44">
      <calculatedColumnFormula>SUMPRODUCT(($P$2:$P$107=AR52)*($W$2:$W$107&lt;$V$2:$V$107))</calculatedColumnFormula>
    </tableColumn>
    <tableColumn id="13" xr3:uid="{C8740D25-B871-4CF4-A320-6BFFBF68C80D}" name="W A" dataDxfId="43">
      <calculatedColumnFormula>SUMPRODUCT(($O$2:$O$107=AR52)*($W$2:$W$107&lt;$V$2:$V$107))</calculatedColumnFormula>
    </tableColumn>
    <tableColumn id="14" xr3:uid="{D9B1E5A0-E214-4F22-B2AD-45E2FAA07689}" name="L A" dataDxfId="42">
      <calculatedColumnFormula>SUMPRODUCT(($O$2:$O$107=AR52)*($W$2:$W$107&gt;$V$2:$V$107))</calculatedColumnFormula>
    </tableColumn>
    <tableColumn id="15" xr3:uid="{7C930A4F-B9C4-47A5-8CB4-16A62DDACFAA}" name="GP R3 H" dataDxfId="41">
      <calculatedColumnFormula>COUNTIFS($P$2:$P$107,AR52,$G$2:$G$107,3)</calculatedColumnFormula>
    </tableColumn>
    <tableColumn id="16" xr3:uid="{B6B44FF1-18F5-4A20-95C9-E9FE38B87DA8}" name="GP R3 A" dataDxfId="40">
      <calculatedColumnFormula>COUNTIFS($O$2:$O$107,AR52,$G$2:$G$107,3)</calculatedColumnFormula>
    </tableColumn>
    <tableColumn id="17" xr3:uid="{79956EB0-3E70-4DC6-A2C1-2F177A1DD7B2}" name="GF R3 H" dataDxfId="39">
      <calculatedColumnFormula>SUMIFS($W$2:$W$107, $P$2:$P$107, AR52,$G$2:$G$107, 3)</calculatedColumnFormula>
    </tableColumn>
    <tableColumn id="18" xr3:uid="{0CEAA56A-A06C-4277-A3A4-4DC32A59E3E9}" name="GF R3 A" dataDxfId="38">
      <calculatedColumnFormula>SUMIFS($V$2:$V$107, $O$2:$O$107, AR52,$G$2:$G$107, 3)</calculatedColumnFormula>
    </tableColumn>
    <tableColumn id="19" xr3:uid="{7564C788-8E98-49B6-94F3-3B33474504E8}" name="GA R3 H" dataDxfId="37">
      <calculatedColumnFormula>SUMIFS($V$2:$V$107, $P$2:$P$107, AR52,$G$2:$G$107, 3)</calculatedColumnFormula>
    </tableColumn>
    <tableColumn id="20" xr3:uid="{7406D04A-83C4-4D75-82F5-BAE7D748A2AB}" name="GA R3 A" dataDxfId="36">
      <calculatedColumnFormula>SUMIFS($W$2:$W$107, $O$2:$O$107, AR52,$G$2:$G$107, 3)</calculatedColumnFormula>
    </tableColumn>
    <tableColumn id="21" xr3:uid="{B0233094-6657-420E-AC79-DE4F9A4A00F4}" name="DIFF R3 H" dataDxfId="35">
      <calculatedColumnFormula>BL52-BN52</calculatedColumnFormula>
    </tableColumn>
    <tableColumn id="22" xr3:uid="{B14C8782-912F-42F9-B962-6ECF584ECA96}" name="DIFF R3 A" dataDxfId="34">
      <calculatedColumnFormula>BM52-BO52</calculatedColumnFormula>
    </tableColumn>
    <tableColumn id="23" xr3:uid="{A30E3216-DDC2-47ED-B072-6607B8783188}" name="GF R3 T" dataDxfId="33">
      <calculatedColumnFormula>BL52+BM52</calculatedColumnFormula>
    </tableColumn>
    <tableColumn id="24" xr3:uid="{1A714D7B-F3FA-485B-BEC9-B6CB88B4D62F}" name="GA R3 T" dataDxfId="32">
      <calculatedColumnFormula>BN52+BO52</calculatedColumnFormula>
    </tableColumn>
    <tableColumn id="25" xr3:uid="{3665A96B-9312-4F56-87F2-711984180513}" name="DIFF R3 T" dataDxfId="31">
      <calculatedColumnFormula>(BL52+BM52)-(BN52+BO52)</calculatedColumnFormula>
    </tableColumn>
    <tableColumn id="26" xr3:uid="{9FF9A0D7-D936-469C-B05E-428142D325A8}" name="GFPG R3 H">
      <calculatedColumnFormula>BL52/BJ52</calculatedColumnFormula>
    </tableColumn>
    <tableColumn id="27" xr3:uid="{A002BAD5-3081-4324-BE04-A7465C2A1CD0}" name="GFPG R3 A">
      <calculatedColumnFormula>BM52/BK52</calculatedColumnFormula>
    </tableColumn>
    <tableColumn id="28" xr3:uid="{A4722FCD-C966-4B64-9AFE-8BE14A890768}" name="GAPG R3 H">
      <calculatedColumnFormula>BN52/BJ52</calculatedColumnFormula>
    </tableColumn>
    <tableColumn id="29" xr3:uid="{87B9BF27-33A7-4F1E-8544-8C92A3B58544}" name="GAPG R3 A">
      <calculatedColumnFormula>BO52/BK52</calculatedColumnFormula>
    </tableColumn>
    <tableColumn id="30" xr3:uid="{9857FBCB-4BD7-4F91-AE7E-58F15EE2E8B9}" name="GFPG R3">
      <calculatedColumnFormula>BR52/AW52</calculatedColumnFormula>
    </tableColumn>
    <tableColumn id="31" xr3:uid="{AB5D2EB8-9F87-433C-B5E8-33549B39ACEB}" name="GAPG R3">
      <calculatedColumnFormula>BS52/AW52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B4C0E4-79DC-4AAA-A6D0-498DC58B7877}" name="Table7" displayName="Table7" ref="AR58:BZ60" totalsRowShown="0" headerRowDxfId="30" tableBorderDxfId="29">
  <autoFilter ref="AR58:BZ60" xr:uid="{A0B4C0E4-79DC-4AAA-A6D0-498DC58B7877}"/>
  <tableColumns count="35">
    <tableColumn id="1" xr3:uid="{5014BD7C-CA07-475E-9408-7C147F58554C}" name="Team" dataDxfId="28"/>
    <tableColumn id="33" xr3:uid="{4A82C9F2-48FB-4663-8F57-DCA695307D86}" name="PeriodsPlayed" dataDxfId="27">
      <calculatedColumnFormula>SUMIFS(Table2[Periods], Table2[TOPSEED], Table7[[#This Row],[Team]], Table2[ROUNDNUM], 4)+SUMIFS(Table2[Periods], Table2[LOWSEED], Table7[[#This Row],[Team]], Table2[ROUNDNUM],4)</calculatedColumnFormula>
    </tableColumn>
    <tableColumn id="34" xr3:uid="{A7AEC249-33D7-46D4-BAB6-77B1F5EC15F1}" name="SecondsPlayed" dataDxfId="26">
      <calculatedColumnFormula>SUMIFS(Table2[TimeInSeconds], Table2[TOPSEED], Table7[[#This Row],[Team]], Table2[ROUNDNUM], 4)+SUMIFS(Table2[TimeInSeconds], Table2[LOWSEED], Table7[[#This Row],[Team]], Table2[ROUNDNUM],4)</calculatedColumnFormula>
    </tableColumn>
    <tableColumn id="35" xr3:uid="{CF0EE7C1-B4BE-412F-8D30-1C779F179F88}" name="HoursPlayed" dataDxfId="25">
      <calculatedColumnFormula>Table7[[#This Row],[SecondsPlayed]]/3600</calculatedColumnFormula>
    </tableColumn>
    <tableColumn id="32" xr3:uid="{F7975D44-2DAD-4624-8F6B-3DC86C1C36A6}" name="LastCup" dataDxfId="24"/>
    <tableColumn id="2" xr3:uid="{405C7397-1EBC-4D6C-BA1A-D801CF7A851A}" name="GP R1" dataDxfId="23">
      <calculatedColumnFormula>COUNTIFS(Table2[LOWSEED], AR59, Table2[ROUNDNUM], 1, Table2[GameOver], 1) + COUNTIFS(Table2[TOPSEED], AR59, Table2[ROUNDNUM], 1, Table2[GameOver], 1)</calculatedColumnFormula>
    </tableColumn>
    <tableColumn id="3" xr3:uid="{7952EF0F-4515-42B9-8D9A-8AF6EF0A7C15}" name="GP R2" dataDxfId="22">
      <calculatedColumnFormula>COUNTIFS(Table2[LOWSEED], AR59, Table2[ROUNDNUM], 2, Table2[GameOver], 1) + COUNTIFS(Table2[TOPSEED], AR59, Table2[ROUNDNUM], 2, Table2[GameOver], 1)</calculatedColumnFormula>
    </tableColumn>
    <tableColumn id="4" xr3:uid="{C800C27E-252C-4A43-B554-DBF2D185CEA6}" name="GP R3" dataDxfId="21">
      <calculatedColumnFormula>COUNTIFS(Table2[LOWSEED], AR59, Table2[ROUNDNUM], 3, Table2[GameOver], 1) + COUNTIFS(Table2[TOPSEED], AR59, Table2[ROUNDNUM], 3, Table2[GameOver], 1)</calculatedColumnFormula>
    </tableColumn>
    <tableColumn id="5" xr3:uid="{EFC62695-B5F6-4202-9237-7C58C3CCD210}" name="GP R4" dataDxfId="20">
      <calculatedColumnFormula>COUNTIFS(Table2[LOWSEED], AR59, Table2[ROUNDNUM], 4, Table2[GameOver], 1) + COUNTIFS(Table2[TOPSEED], AR59, Table2[ROUNDNUM], 4, Table2[GameOver], 1)</calculatedColumnFormula>
    </tableColumn>
    <tableColumn id="6" xr3:uid="{295B7DA1-1428-48C1-816F-F382210D078E}" name="GP TOT" dataDxfId="19">
      <calculatedColumnFormula>AW59+AX59+AY59+AZ59</calculatedColumnFormula>
    </tableColumn>
    <tableColumn id="7" xr3:uid="{0F39706E-2024-4BD5-BAF3-AEDCA4F5F013}" name="GP H" dataDxfId="18">
      <calculatedColumnFormula>COUNTIF($P$2:$P$107, AR59)</calculatedColumnFormula>
    </tableColumn>
    <tableColumn id="8" xr3:uid="{13F8C16C-FC96-470C-9A1F-2EB59A118857}" name="GP A" dataDxfId="17">
      <calculatedColumnFormula>COUNTIF($O$2:$O$107, AR59)</calculatedColumnFormula>
    </tableColumn>
    <tableColumn id="9" xr3:uid="{3C80D8F4-9831-4AE6-B94F-1E7220DF2339}" name="W TOT" dataDxfId="16">
      <calculatedColumnFormula>BF59+BH59</calculatedColumnFormula>
    </tableColumn>
    <tableColumn id="10" xr3:uid="{D4DA2EBB-8E66-4383-9CEC-3CA0E054EEB1}" name="L TOT" dataDxfId="15">
      <calculatedColumnFormula>BA59-BD59</calculatedColumnFormula>
    </tableColumn>
    <tableColumn id="11" xr3:uid="{84F02F92-1E05-4BA5-8F1C-5291F1818D00}" name="W H" dataDxfId="14">
      <calculatedColumnFormula>SUMPRODUCT(($P$2:$P$107=AR59)*($W$2:$W$107&gt;$V$2:$V$107))</calculatedColumnFormula>
    </tableColumn>
    <tableColumn id="12" xr3:uid="{0DF4E0B5-73ED-4D81-9E5C-E82F470ECFBE}" name="L H" dataDxfId="13">
      <calculatedColumnFormula>SUMPRODUCT(($P$2:$P$107=AR59)*($W$2:$W$107&lt;$V$2:$V$107))</calculatedColumnFormula>
    </tableColumn>
    <tableColumn id="13" xr3:uid="{85FB9863-46F4-4A47-8904-DF879B523680}" name="W A" dataDxfId="12">
      <calculatedColumnFormula>SUMPRODUCT(($O$2:$O$107=AR59)*($W$2:$W$107&lt;$V$2:$V$107))</calculatedColumnFormula>
    </tableColumn>
    <tableColumn id="14" xr3:uid="{7E90A707-DFDF-4738-ABBE-EBE3FF7D2B23}" name="L A" dataDxfId="11">
      <calculatedColumnFormula>SUMPRODUCT(($O$2:$O$107=AR59)*($W$2:$W$107&gt;$V$2:$V$107))</calculatedColumnFormula>
    </tableColumn>
    <tableColumn id="15" xr3:uid="{44240F89-470A-47B4-8B02-0C04B5CD2364}" name="GP R4 H" dataDxfId="10">
      <calculatedColumnFormula>COUNTIFS($P$2:$P$107,AR59,$G$2:$G$107,4)</calculatedColumnFormula>
    </tableColumn>
    <tableColumn id="16" xr3:uid="{7BCBE0AD-F654-4BF9-A33A-CDA512EA157A}" name="GP R4 A" dataDxfId="9">
      <calculatedColumnFormula>COUNTIFS($O$2:$O$107,AR59,$G$2:$G$107,4)</calculatedColumnFormula>
    </tableColumn>
    <tableColumn id="17" xr3:uid="{CD542EA6-0316-4F75-B05D-868D3FF44EC7}" name="GF R4 H" dataDxfId="8">
      <calculatedColumnFormula>SUMIFS($W$2:$W$107, $P$2:$P$107, AR59,$G$2:$G$107, 4)</calculatedColumnFormula>
    </tableColumn>
    <tableColumn id="18" xr3:uid="{09FEDD08-55CC-4808-8318-2F3070B37B7D}" name="GF R4 A" dataDxfId="7">
      <calculatedColumnFormula>SUMIFS($V$2:$V$107, $O$2:$O$107, AR59,$G$2:$G$107, 4)</calculatedColumnFormula>
    </tableColumn>
    <tableColumn id="19" xr3:uid="{3D5CABEB-A233-4566-8413-167BA2A1019B}" name="GA R4 H" dataDxfId="6">
      <calculatedColumnFormula>SUMIFS($V$2:$V$107, $P$2:$P$107, AR59,$G$2:$G$107, 4)</calculatedColumnFormula>
    </tableColumn>
    <tableColumn id="20" xr3:uid="{623E9295-D322-4A3E-B80B-1BCB1E3BA7AD}" name="GA R4 A" dataDxfId="5">
      <calculatedColumnFormula>SUMIFS($W$2:$W$107, $O$2:$O$107, AR59,$G$2:$G$107, 4)</calculatedColumnFormula>
    </tableColumn>
    <tableColumn id="21" xr3:uid="{2621535A-BEA4-40CF-A7BD-20A0C94341EA}" name="DIFF R4 H" dataDxfId="4">
      <calculatedColumnFormula>BL59-BN59</calculatedColumnFormula>
    </tableColumn>
    <tableColumn id="22" xr3:uid="{E16C9A0C-B8B2-4AFE-AC24-1C8E88CD3C4D}" name="DIFF R4 A" dataDxfId="3">
      <calculatedColumnFormula>BM59-BO59</calculatedColumnFormula>
    </tableColumn>
    <tableColumn id="23" xr3:uid="{3CBAA2EE-AE8A-4EA7-AF58-2E0779740470}" name="GF R4 T" dataDxfId="2">
      <calculatedColumnFormula>BL59+BM59</calculatedColumnFormula>
    </tableColumn>
    <tableColumn id="24" xr3:uid="{EE52D31E-96F3-4115-850D-23D57D0AD386}" name="GA R4 T" dataDxfId="1">
      <calculatedColumnFormula>BN59+BO59</calculatedColumnFormula>
    </tableColumn>
    <tableColumn id="25" xr3:uid="{05ECB1B1-EFC4-4FDE-925A-FB5C53EAB7BE}" name="DIFF R4 T" dataDxfId="0">
      <calculatedColumnFormula>(BL59+BM59)-(BN59+BO59)</calculatedColumnFormula>
    </tableColumn>
    <tableColumn id="26" xr3:uid="{48FBD921-AF87-4EBA-9960-4A7BE4C47F48}" name="GFPG R4 H">
      <calculatedColumnFormula>BL59/BJ59</calculatedColumnFormula>
    </tableColumn>
    <tableColumn id="27" xr3:uid="{47E57331-673A-4C18-8D35-9DECB2AF4A57}" name="GFPG R4 A">
      <calculatedColumnFormula>BM59/BK59</calculatedColumnFormula>
    </tableColumn>
    <tableColumn id="28" xr3:uid="{6FF12EF2-F207-44B7-A80B-8F5DAC354481}" name="GAPG R4 H">
      <calculatedColumnFormula>BN59/BJ59</calculatedColumnFormula>
    </tableColumn>
    <tableColumn id="29" xr3:uid="{E56EFE7B-BDB9-4DE6-9F02-712822243318}" name="GAPG R4 A">
      <calculatedColumnFormula>BO59/BK59</calculatedColumnFormula>
    </tableColumn>
    <tableColumn id="30" xr3:uid="{D42B447B-6659-42D3-AB19-A263422EA9AD}" name="GFPG R4">
      <calculatedColumnFormula>BR59/AW59</calculatedColumnFormula>
    </tableColumn>
    <tableColumn id="31" xr3:uid="{8598FA58-2228-4F5F-B9BC-A780BA656BCF}" name="GAPG R4">
      <calculatedColumnFormula>BS59/AW59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CA58-DCD7-4A09-9052-0851D3ECB0FF}">
  <sheetPr codeName="Sheet1"/>
  <dimension ref="A1:DH96"/>
  <sheetViews>
    <sheetView tabSelected="1" topLeftCell="A49" zoomScaleNormal="100" workbookViewId="0">
      <selection activeCell="AF75" sqref="AF75"/>
    </sheetView>
  </sheetViews>
  <sheetFormatPr defaultRowHeight="15" x14ac:dyDescent="0.25"/>
  <cols>
    <col min="1" max="1" width="13" customWidth="1"/>
    <col min="2" max="2" width="4" style="4" customWidth="1"/>
    <col min="3" max="3" width="13" customWidth="1"/>
    <col min="4" max="4" width="10.42578125" bestFit="1" customWidth="1"/>
    <col min="5" max="5" width="6.85546875" customWidth="1"/>
    <col min="6" max="6" width="7.28515625" style="1" customWidth="1"/>
    <col min="7" max="7" width="3.85546875" style="3" customWidth="1"/>
    <col min="8" max="8" width="13.7109375" style="4" customWidth="1"/>
    <col min="9" max="9" width="4.7109375" customWidth="1"/>
    <col min="10" max="10" width="8.42578125" style="3" customWidth="1"/>
    <col min="11" max="11" width="8.7109375" style="6" customWidth="1"/>
    <col min="12" max="12" width="4.42578125" style="6" customWidth="1"/>
    <col min="13" max="13" width="4.7109375" style="6" customWidth="1"/>
    <col min="14" max="14" width="9.5703125" style="6" customWidth="1"/>
    <col min="15" max="17" width="8.7109375" customWidth="1"/>
    <col min="18" max="18" width="4.7109375" customWidth="1"/>
    <col min="19" max="19" width="6" customWidth="1"/>
    <col min="20" max="20" width="10.42578125" bestFit="1" customWidth="1"/>
    <col min="21" max="21" width="5" style="1" customWidth="1"/>
    <col min="22" max="23" width="4.7109375" customWidth="1"/>
    <col min="24" max="24" width="6" customWidth="1"/>
    <col min="25" max="25" width="7.5703125" customWidth="1"/>
    <col min="26" max="26" width="4.85546875" customWidth="1"/>
    <col min="27" max="27" width="8.42578125" customWidth="1"/>
    <col min="28" max="30" width="8.7109375" style="1" customWidth="1"/>
    <col min="31" max="31" width="2.7109375" style="1" customWidth="1"/>
    <col min="32" max="32" width="5.28515625" style="1" customWidth="1"/>
    <col min="33" max="35" width="2.7109375" style="1" customWidth="1"/>
    <col min="36" max="36" width="46.140625" style="1" customWidth="1"/>
    <col min="37" max="37" width="31" customWidth="1"/>
    <col min="38" max="38" width="17.5703125" customWidth="1"/>
    <col min="39" max="39" width="22" bestFit="1" customWidth="1"/>
    <col min="42" max="42" width="12" bestFit="1" customWidth="1"/>
    <col min="44" max="44" width="11.140625" style="2" bestFit="1" customWidth="1"/>
    <col min="45" max="45" width="11" customWidth="1"/>
    <col min="46" max="46" width="11.28515625" bestFit="1" customWidth="1"/>
    <col min="47" max="47" width="16.140625" customWidth="1"/>
    <col min="48" max="48" width="16.7109375" bestFit="1" customWidth="1"/>
    <col min="49" max="49" width="14.42578125" bestFit="1" customWidth="1"/>
    <col min="50" max="50" width="13.85546875" bestFit="1" customWidth="1"/>
    <col min="51" max="51" width="16.140625" customWidth="1"/>
    <col min="52" max="52" width="12" bestFit="1" customWidth="1"/>
    <col min="53" max="53" width="16.140625" bestFit="1" customWidth="1"/>
    <col min="54" max="54" width="16.42578125" bestFit="1" customWidth="1"/>
    <col min="55" max="55" width="13.5703125" bestFit="1" customWidth="1"/>
    <col min="56" max="57" width="13.140625" bestFit="1" customWidth="1"/>
    <col min="58" max="58" width="12.7109375" bestFit="1" customWidth="1"/>
    <col min="59" max="59" width="11" bestFit="1" customWidth="1"/>
    <col min="60" max="60" width="10" customWidth="1"/>
    <col min="61" max="62" width="9.85546875" customWidth="1"/>
    <col min="63" max="64" width="10.140625" customWidth="1"/>
    <col min="65" max="66" width="11.28515625" customWidth="1"/>
    <col min="67" max="67" width="9.5703125" customWidth="1"/>
    <col min="68" max="68" width="9.85546875" customWidth="1"/>
    <col min="69" max="69" width="11" customWidth="1"/>
    <col min="70" max="71" width="12.42578125" customWidth="1"/>
    <col min="72" max="73" width="12.7109375" customWidth="1"/>
    <col min="74" max="75" width="12" bestFit="1" customWidth="1"/>
    <col min="77" max="77" width="11" customWidth="1"/>
    <col min="78" max="78" width="9.5703125" customWidth="1"/>
    <col min="79" max="79" width="7.42578125" bestFit="1" customWidth="1"/>
    <col min="80" max="80" width="8.7109375" bestFit="1" customWidth="1"/>
    <col min="81" max="81" width="16.140625" bestFit="1" customWidth="1"/>
    <col min="82" max="82" width="16.7109375" bestFit="1" customWidth="1"/>
    <col min="83" max="83" width="14.42578125" bestFit="1" customWidth="1"/>
    <col min="84" max="84" width="11.140625" bestFit="1" customWidth="1"/>
    <col min="85" max="85" width="16.42578125" bestFit="1" customWidth="1"/>
    <col min="86" max="87" width="18.42578125" bestFit="1" customWidth="1"/>
    <col min="96" max="97" width="9.85546875" customWidth="1"/>
    <col min="98" max="99" width="10.140625" customWidth="1"/>
  </cols>
  <sheetData>
    <row r="1" spans="1:104" s="7" customFormat="1" ht="75" customHeight="1" x14ac:dyDescent="0.25">
      <c r="A1" s="68" t="s">
        <v>197</v>
      </c>
      <c r="B1" s="71" t="s">
        <v>198</v>
      </c>
      <c r="C1" s="68" t="s">
        <v>162</v>
      </c>
      <c r="D1" s="69" t="s">
        <v>0</v>
      </c>
      <c r="E1" s="69" t="s">
        <v>163</v>
      </c>
      <c r="F1" s="69" t="s">
        <v>1</v>
      </c>
      <c r="G1" s="70" t="s">
        <v>2</v>
      </c>
      <c r="H1" s="71" t="s">
        <v>3</v>
      </c>
      <c r="I1" s="70" t="s">
        <v>4</v>
      </c>
      <c r="J1" s="70" t="s">
        <v>5</v>
      </c>
      <c r="K1" s="70" t="s">
        <v>6</v>
      </c>
      <c r="L1" s="70" t="s">
        <v>7</v>
      </c>
      <c r="M1" s="70" t="s">
        <v>8</v>
      </c>
      <c r="N1" s="69" t="s">
        <v>9</v>
      </c>
      <c r="O1" s="69" t="s">
        <v>10</v>
      </c>
      <c r="P1" s="69" t="s">
        <v>11</v>
      </c>
      <c r="Q1" s="69" t="s">
        <v>160</v>
      </c>
      <c r="R1" s="69" t="s">
        <v>159</v>
      </c>
      <c r="S1" s="69" t="s">
        <v>164</v>
      </c>
      <c r="T1" s="69" t="s">
        <v>12</v>
      </c>
      <c r="U1" s="69" t="s">
        <v>165</v>
      </c>
      <c r="V1" s="69" t="s">
        <v>166</v>
      </c>
      <c r="W1" s="69" t="s">
        <v>13</v>
      </c>
      <c r="X1" s="69" t="s">
        <v>184</v>
      </c>
      <c r="Y1" s="69" t="s">
        <v>185</v>
      </c>
      <c r="Z1" s="69" t="s">
        <v>14</v>
      </c>
      <c r="AA1" s="69" t="s">
        <v>15</v>
      </c>
      <c r="AB1" s="69" t="s">
        <v>186</v>
      </c>
      <c r="AC1" s="69" t="s">
        <v>187</v>
      </c>
      <c r="AD1" s="69" t="s">
        <v>167</v>
      </c>
      <c r="AE1" s="69" t="s">
        <v>188</v>
      </c>
      <c r="AF1" s="69" t="s">
        <v>189</v>
      </c>
      <c r="AG1" s="69" t="s">
        <v>190</v>
      </c>
      <c r="AH1" s="69" t="s">
        <v>191</v>
      </c>
      <c r="AI1" s="69" t="s">
        <v>192</v>
      </c>
      <c r="AJ1" s="69" t="s">
        <v>161</v>
      </c>
      <c r="AK1" s="8"/>
      <c r="AL1" s="9"/>
      <c r="AM1" s="9"/>
      <c r="AN1" s="9"/>
      <c r="AO1" s="9"/>
      <c r="AP1" s="9"/>
      <c r="AQ1" s="10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24"/>
    </row>
    <row r="2" spans="1:104" x14ac:dyDescent="0.25">
      <c r="A2" s="55" t="str">
        <f>IF(ISBLANK(Table2[[#This Row],[GAMENUM]]), "", _xlfn.TEXTJOIN("", 1, "2025030", Table2[[#This Row],[ROUNDNUM]], Table2[[#This Row],[SeriesID]], Table2[[#This Row],[GAMENUM]]))</f>
        <v>2025030131</v>
      </c>
      <c r="B2" s="63">
        <f>IF(ISBLANK(Table2[[#This Row],[GAMENUM]]), "", INDEX(Table3[SeriesID], MATCH(Table2[[#This Row],[SERIESCODE]],Table3[SeriesCode],0)))</f>
        <v>3</v>
      </c>
      <c r="C2" s="57" t="str">
        <f t="shared" ref="C2:C33" si="0">TEXT($D2,"dddd")</f>
        <v>Saturday</v>
      </c>
      <c r="D2" s="59">
        <v>46130</v>
      </c>
      <c r="E2" s="60">
        <v>0.66666666666666663</v>
      </c>
      <c r="F2" s="59" t="s">
        <v>16</v>
      </c>
      <c r="G2" s="62">
        <v>1</v>
      </c>
      <c r="H2" s="63" t="s">
        <v>36</v>
      </c>
      <c r="I2" s="62">
        <v>1</v>
      </c>
      <c r="J2" s="20" t="str">
        <f>INDEX(Table3[TopSeed],MATCH(Table2[[#This Row],[SERIESCODE]], Table3[SeriesCode]))</f>
        <v>CAR</v>
      </c>
      <c r="K2" s="21" t="str">
        <f>INDEX(Table3[LowSeed],MATCH(Table2[[#This Row],[SERIESCODE]], Table3[SeriesCode], 0))</f>
        <v>OTT</v>
      </c>
      <c r="L2" s="62">
        <v>1</v>
      </c>
      <c r="M2" s="62">
        <v>0</v>
      </c>
      <c r="N2" s="21" t="str">
        <f>IF(Table2[[#This Row],[GAMENUM]] = 6, Table2[[#This Row],[TOPSEED]], IF(Table2[[#This Row],[GAMENUM]] = 4, Table2[[#This Row],[TOPSEED]], IF(Table2[[#This Row],[GAMENUM]] = 3, Table2[[#This Row],[TOPSEED]], Table2[LOWSEED])))</f>
        <v>OTT</v>
      </c>
      <c r="O2" s="20" t="str">
        <f>IF(Table2[[#This Row],[GAMENUM]] = 6, Table2[[#This Row],[LOWSEED]], IF(Table2[[#This Row],[GAMENUM]] = 4, Table2[[#This Row],[LOWSEED]], IF(Table2[[#This Row],[GAMENUM]] = 3, Table2[[#This Row],[LOWSEED]], Table2[TOPSEED])))</f>
        <v>CAR</v>
      </c>
      <c r="P2" s="20" t="str">
        <f t="shared" ref="P2:P33" si="1">IF(OR(ISBLANK(Q2), ISBLANK($R2)), "", IF($Q2&gt;$R2, $N2,$O2))</f>
        <v>CAR</v>
      </c>
      <c r="Q2" s="62">
        <v>1</v>
      </c>
      <c r="R2" s="62">
        <v>2</v>
      </c>
      <c r="S2" s="63" t="s">
        <v>155</v>
      </c>
      <c r="T2" s="59">
        <v>46130</v>
      </c>
      <c r="U2" s="62">
        <v>0</v>
      </c>
      <c r="V2" s="62">
        <v>2</v>
      </c>
      <c r="W2" s="62">
        <v>0</v>
      </c>
      <c r="X2" s="62">
        <v>3600</v>
      </c>
      <c r="Y2" s="63">
        <f>Table2[[#This Row],[TimeInSeconds]]/1200</f>
        <v>3</v>
      </c>
      <c r="Z2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2" s="20" t="str">
        <f t="shared" ref="AA2:AA33" si="2">IF(OR(ISBLANK($U2), ISBLANK($V2), ISBLANK($W2)), "", IF(U2&gt;V2,N2,O2))</f>
        <v>CAR</v>
      </c>
      <c r="AB2" s="63">
        <f>IF(ISBLANK(Table2[[#This Row],[OTROUNDNUM]]), "", Table2[[#This Row],[PAWAYSCORE]]-Table2[[#This Row],[AAWAYSCORE]])</f>
        <v>1</v>
      </c>
      <c r="AC2" s="63">
        <f>IF(ISBLANK(Table2[[#This Row],[OTROUNDNUM]]), "", Table2[[#This Row],[PHOMESCORE]]-Table2[[#This Row],[AHOMESCORE]])</f>
        <v>0</v>
      </c>
      <c r="AD2" s="63">
        <f>_xlfn.IFS(ISBLANK(Table2[[#This Row],[GAMENUM]]), " ", 1, IF((Table2[[#This Row],[TOPSEEDWINS]]+Table2[[#This Row],[LOWSEEDWINS]]) &lt;&gt; Table2[[#This Row],[GAMENUM]], 0, 1))</f>
        <v>1</v>
      </c>
      <c r="AE2" s="63">
        <f>_xlfn.IFS(ISBLANK(Table2[[#This Row],[GAMENUM]]),"", Table2[[#This Row],[GameOver]]=0,"",Table2[[#This Row],[AAWAYSCORE]]&gt;Table2[[#This Row],[AHOMESCORE]], 1,1,0)</f>
        <v>0</v>
      </c>
      <c r="AF2" s="63">
        <f>_xlfn.IFS(ISBLANK(Table2[[#This Row],[GAMENUM]]),"",Table2[[#This Row],[GameOver]]=0,"",Table2[[#This Row],[AAWAYSCORE]]&lt;Table2[[#This Row],[AHOMESCORE]], 1,1,0)</f>
        <v>1</v>
      </c>
      <c r="AG2" s="63">
        <f>_xlfn.IFS(ISBLANK(Table2[[#This Row],[GAMENUM]]),"",Table2[[#This Row],[GameOver]]=0,"",Table2[[#This Row],[OTROUNDNUM]]&gt;0,1,1,0)</f>
        <v>0</v>
      </c>
      <c r="AH2" s="63">
        <f>_xlfn.IFS(ISBLANK(Table2[[#This Row],[GAMENUM]]),"",Table2[[#This Row],[GameOver]]=0,"",Table2[[#This Row],[AAWAYSCORE]]=0,1,1,0)</f>
        <v>1</v>
      </c>
      <c r="AI2" s="63">
        <f>_xlfn.IFS(ISBLANK(Table2[[#This Row],[GAMENUM]]),"", Table2[[#This Row],[GameOver]]=0,"",Table2[[#This Row],[AHOMESCORE]]=0,1,1,0)</f>
        <v>0</v>
      </c>
      <c r="AJ2" s="57"/>
      <c r="AK2" s="65"/>
      <c r="AL2" s="11"/>
      <c r="AM2" s="18"/>
      <c r="AN2" s="16"/>
      <c r="AO2" s="22"/>
      <c r="AP2" s="16"/>
      <c r="AQ2" s="100" t="s">
        <v>199</v>
      </c>
      <c r="AR2" s="100" t="s">
        <v>198</v>
      </c>
      <c r="AS2" s="54" t="s">
        <v>19</v>
      </c>
      <c r="AT2" s="54" t="s">
        <v>20</v>
      </c>
      <c r="AU2" s="54" t="s">
        <v>194</v>
      </c>
      <c r="AV2" s="54" t="s">
        <v>195</v>
      </c>
      <c r="AW2" s="54" t="s">
        <v>196</v>
      </c>
      <c r="AX2" s="54" t="s">
        <v>21</v>
      </c>
      <c r="AY2" s="54" t="s">
        <v>22</v>
      </c>
      <c r="AZ2" s="54" t="s">
        <v>23</v>
      </c>
      <c r="BA2" s="54" t="s">
        <v>24</v>
      </c>
      <c r="BB2" s="54" t="s">
        <v>25</v>
      </c>
      <c r="BC2" s="54" t="s">
        <v>26</v>
      </c>
      <c r="BD2" s="54" t="s">
        <v>27</v>
      </c>
      <c r="BE2" s="54" t="s">
        <v>28</v>
      </c>
      <c r="BF2" s="54" t="s">
        <v>29</v>
      </c>
      <c r="BG2" s="54" t="s">
        <v>30</v>
      </c>
      <c r="BH2" s="65"/>
      <c r="BI2" s="11"/>
      <c r="BJ2" s="119" t="s">
        <v>18</v>
      </c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30"/>
    </row>
    <row r="3" spans="1:104" x14ac:dyDescent="0.25">
      <c r="A3" s="55" t="str">
        <f>IF(ISBLANK(Table2[[#This Row],[GAMENUM]]), "", _xlfn.TEXTJOIN("", 1, "2025030", Table2[[#This Row],[ROUNDNUM]], Table2[[#This Row],[SeriesID]], Table2[[#This Row],[GAMENUM]]))</f>
        <v>2025030161</v>
      </c>
      <c r="B3" s="63">
        <f>IF(ISBLANK(Table2[[#This Row],[GAMENUM]]), "", INDEX(Table3[SeriesID], MATCH(Table2[[#This Row],[SERIESCODE]],Table3[SeriesCode],0)))</f>
        <v>6</v>
      </c>
      <c r="C3" s="57" t="str">
        <f t="shared" si="0"/>
        <v>Saturday</v>
      </c>
      <c r="D3" s="59">
        <v>46130</v>
      </c>
      <c r="E3" s="60">
        <v>0.6875</v>
      </c>
      <c r="F3" s="59" t="s">
        <v>38</v>
      </c>
      <c r="G3" s="62">
        <v>1</v>
      </c>
      <c r="H3" s="66" t="s">
        <v>39</v>
      </c>
      <c r="I3" s="62">
        <v>1</v>
      </c>
      <c r="J3" s="94" t="str">
        <f>INDEX(Table3[TopSeed],MATCH(Table2[[#This Row],[SERIESCODE]], Table3[SeriesCode], 0))</f>
        <v>DAL</v>
      </c>
      <c r="K3" s="27" t="str">
        <f>INDEX(Table3[LowSeed],MATCH(Table2[[#This Row],[SERIESCODE]], Table3[SeriesCode], 0))</f>
        <v>MIN</v>
      </c>
      <c r="L3" s="62">
        <v>0</v>
      </c>
      <c r="M3" s="62">
        <v>1</v>
      </c>
      <c r="N3" s="27" t="str">
        <f>IF(Table2[[#This Row],[GAMENUM]] = 6, Table2[[#This Row],[TOPSEED]], IF(Table2[[#This Row],[GAMENUM]] = 4, Table2[[#This Row],[TOPSEED]], IF(Table2[[#This Row],[GAMENUM]] = 3, Table2[[#This Row],[TOPSEED]], Table2[LOWSEED])))</f>
        <v>MIN</v>
      </c>
      <c r="O3" s="26" t="str">
        <f>IF(Table2[[#This Row],[GAMENUM]] = 6, Table2[[#This Row],[LOWSEED]], IF(Table2[[#This Row],[GAMENUM]] = 4, Table2[[#This Row],[LOWSEED]], IF(Table2[[#This Row],[GAMENUM]] = 3, Table2[[#This Row],[LOWSEED]], Table2[TOPSEED])))</f>
        <v>DAL</v>
      </c>
      <c r="P3" s="26" t="str">
        <f t="shared" si="1"/>
        <v>DAL</v>
      </c>
      <c r="Q3" s="62">
        <v>2</v>
      </c>
      <c r="R3" s="62">
        <v>3</v>
      </c>
      <c r="S3" s="63" t="s">
        <v>154</v>
      </c>
      <c r="T3" s="59">
        <v>46130</v>
      </c>
      <c r="U3" s="62">
        <v>6</v>
      </c>
      <c r="V3" s="62">
        <v>1</v>
      </c>
      <c r="W3" s="62">
        <v>0</v>
      </c>
      <c r="X3" s="62">
        <v>3600</v>
      </c>
      <c r="Y3" s="63">
        <f>Table2[[#This Row],[TimeInSeconds]]/1200</f>
        <v>3</v>
      </c>
      <c r="Z3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3" s="27" t="str">
        <f t="shared" si="2"/>
        <v>MIN</v>
      </c>
      <c r="AB3" s="63">
        <f>IF(ISBLANK(Table2[[#This Row],[OTROUNDNUM]]), "", Table2[[#This Row],[PAWAYSCORE]]-Table2[[#This Row],[AAWAYSCORE]])</f>
        <v>-4</v>
      </c>
      <c r="AC3" s="63">
        <f>IF(ISBLANK(Table2[[#This Row],[OTROUNDNUM]]), "", Table2[[#This Row],[PHOMESCORE]]-Table2[[#This Row],[AHOMESCORE]])</f>
        <v>2</v>
      </c>
      <c r="AD3" s="63">
        <f>_xlfn.IFS(ISBLANK(Table2[[#This Row],[GAMENUM]]), " ", 1, IF((Table2[[#This Row],[TOPSEEDWINS]]+Table2[[#This Row],[LOWSEEDWINS]]) &lt;&gt; Table2[[#This Row],[GAMENUM]], 0, 1))</f>
        <v>1</v>
      </c>
      <c r="AE3" s="63">
        <f>_xlfn.IFS(ISBLANK(Table2[[#This Row],[GAMENUM]]),"", Table2[[#This Row],[GameOver]]=0,"",Table2[[#This Row],[AAWAYSCORE]]&gt;Table2[[#This Row],[AHOMESCORE]], 1,1,0)</f>
        <v>1</v>
      </c>
      <c r="AF3" s="63">
        <f>_xlfn.IFS(ISBLANK(Table2[[#This Row],[GAMENUM]]),"",Table2[[#This Row],[GameOver]]=0,"",Table2[[#This Row],[AAWAYSCORE]]&lt;Table2[[#This Row],[AHOMESCORE]], 1,1,0)</f>
        <v>0</v>
      </c>
      <c r="AG3" s="63">
        <f>_xlfn.IFS(ISBLANK(Table2[[#This Row],[GAMENUM]]),"",Table2[[#This Row],[GameOver]]=0,"",Table2[[#This Row],[OTROUNDNUM]]&gt;0,1,1,0)</f>
        <v>0</v>
      </c>
      <c r="AH3" s="63">
        <f>_xlfn.IFS(ISBLANK(Table2[[#This Row],[GAMENUM]]),"",Table2[[#This Row],[GameOver]]=0,"",Table2[[#This Row],[AAWAYSCORE]]=0,1,1,0)</f>
        <v>0</v>
      </c>
      <c r="AI3" s="63">
        <f>_xlfn.IFS(ISBLANK(Table2[[#This Row],[GAMENUM]]),"", Table2[[#This Row],[GameOver]]=0,"",Table2[[#This Row],[AHOMESCORE]]=0,1,1,0)</f>
        <v>0</v>
      </c>
      <c r="AJ3" s="57" t="s">
        <v>175</v>
      </c>
      <c r="AK3" s="65"/>
      <c r="AL3" s="11" t="s">
        <v>32</v>
      </c>
      <c r="AM3" s="18"/>
      <c r="AN3" s="16"/>
      <c r="AO3" s="29">
        <f>8*7</f>
        <v>56</v>
      </c>
      <c r="AP3" s="16"/>
      <c r="AQ3" s="103" t="s">
        <v>33</v>
      </c>
      <c r="AR3" s="103">
        <v>1</v>
      </c>
      <c r="AS3" s="104" t="s">
        <v>170</v>
      </c>
      <c r="AT3" s="105" t="s">
        <v>171</v>
      </c>
      <c r="AU3" s="137">
        <f>SUMIFS(Table2[Periods], Table2[SERIESCODE], Table3[[#This Row],[SeriesCode]])</f>
        <v>18.461666666666666</v>
      </c>
      <c r="AV3" s="55">
        <f>SUMIFS(Table2[TimeInSeconds], Table2[SERIESCODE], Table3[[#This Row],[SeriesCode]])</f>
        <v>22154</v>
      </c>
      <c r="AW3" s="137">
        <f>Table3[[#This Row],[SecondsPlayed]]/3600</f>
        <v>6.153888888888889</v>
      </c>
      <c r="AX3" s="57" t="str">
        <f t="array" ref="AX3">INDEX(J:J, MATCH(2, 1/(H:H=AQ3)))</f>
        <v>BUF</v>
      </c>
      <c r="AY3" s="57">
        <f t="shared" ref="AY3:AY17" si="3">SUMIFS($AA$2:$AA$107,$H$2:$H$107,AQ3)</f>
        <v>0</v>
      </c>
      <c r="AZ3" s="57" t="e">
        <f t="shared" ref="AZ3:AZ17" si="4">AY3/AX3</f>
        <v>#VALUE!</v>
      </c>
      <c r="BA3" s="57">
        <f>SUMIFS($W$2:$W$107,$P$2:$P$107,AS3,$G$2:$G$107,1) + SUMIFS($V$2:$V$107,$O$2:$O$107,AS3,$G$2:$G$107,1)</f>
        <v>8</v>
      </c>
      <c r="BB3" s="57">
        <f t="shared" ref="BB3:BB10" si="5">SUMIFS($W$2:$W$106,$P$2:$P$106,AT3,$G$2:$G$106,1) + SUMIFS($V$2:$V$106,$O$2:$O$106,AT3,$G$2:$G$106,1)</f>
        <v>3</v>
      </c>
      <c r="BC3" s="57">
        <f>SUMIFS(W2:W86,H2:H86,AQ3)</f>
        <v>1</v>
      </c>
      <c r="BD3" s="57"/>
      <c r="BE3" s="57"/>
      <c r="BF3" s="57"/>
      <c r="BG3" s="57"/>
      <c r="BH3" s="65"/>
      <c r="BI3" s="11"/>
      <c r="BJ3" s="120" t="s">
        <v>156</v>
      </c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30"/>
    </row>
    <row r="4" spans="1:104" x14ac:dyDescent="0.25">
      <c r="A4" s="55" t="str">
        <f>IF(ISBLANK(Table2[[#This Row],[GAMENUM]]), "", _xlfn.TEXTJOIN("", 1, "2025030", Table2[[#This Row],[ROUNDNUM]], Table2[[#This Row],[SeriesID]], Table2[[#This Row],[GAMENUM]]))</f>
        <v>2025030141</v>
      </c>
      <c r="B4" s="63">
        <f>IF(ISBLANK(Table2[[#This Row],[GAMENUM]]), "", INDEX(Table3[SeriesID], MATCH(Table2[[#This Row],[SERIESCODE]],Table3[SeriesCode],0)))</f>
        <v>4</v>
      </c>
      <c r="C4" s="57" t="str">
        <f t="shared" si="0"/>
        <v>Saturday</v>
      </c>
      <c r="D4" s="59">
        <v>46130</v>
      </c>
      <c r="E4" s="60">
        <v>0.875</v>
      </c>
      <c r="F4" s="59" t="s">
        <v>16</v>
      </c>
      <c r="G4" s="62">
        <v>1</v>
      </c>
      <c r="H4" s="63" t="s">
        <v>17</v>
      </c>
      <c r="I4" s="62">
        <v>1</v>
      </c>
      <c r="J4" s="31" t="str">
        <f>INDEX(Table3[TopSeed],MATCH(Table2[[#This Row],[SERIESCODE]], Table3[SeriesCode], 0))</f>
        <v>PIT</v>
      </c>
      <c r="K4" s="32" t="str">
        <f>INDEX(Table3[LowSeed],MATCH(Table2[[#This Row],[SERIESCODE]], Table3[SeriesCode], 0))</f>
        <v>PHI</v>
      </c>
      <c r="L4" s="62">
        <v>0</v>
      </c>
      <c r="M4" s="62">
        <v>1</v>
      </c>
      <c r="N4" s="32" t="str">
        <f>IF(Table2[[#This Row],[GAMENUM]] = 6, Table2[[#This Row],[TOPSEED]], IF(Table2[[#This Row],[GAMENUM]] = 4, Table2[[#This Row],[TOPSEED]], IF(Table2[[#This Row],[GAMENUM]] = 3, Table2[[#This Row],[TOPSEED]], Table2[LOWSEED])))</f>
        <v>PHI</v>
      </c>
      <c r="O4" s="31" t="str">
        <f>IF(Table2[[#This Row],[GAMENUM]] = 6, Table2[[#This Row],[LOWSEED]], IF(Table2[[#This Row],[GAMENUM]] = 4, Table2[[#This Row],[LOWSEED]], IF(Table2[[#This Row],[GAMENUM]] = 3, Table2[[#This Row],[LOWSEED]], Table2[TOPSEED])))</f>
        <v>PIT</v>
      </c>
      <c r="P4" s="32" t="str">
        <f t="shared" si="1"/>
        <v>PHI</v>
      </c>
      <c r="Q4" s="62">
        <v>2</v>
      </c>
      <c r="R4" s="62">
        <v>1</v>
      </c>
      <c r="S4" s="63" t="s">
        <v>154</v>
      </c>
      <c r="T4" s="59">
        <v>46130</v>
      </c>
      <c r="U4" s="62">
        <v>3</v>
      </c>
      <c r="V4" s="62">
        <v>2</v>
      </c>
      <c r="W4" s="62">
        <v>0</v>
      </c>
      <c r="X4" s="62">
        <v>3600</v>
      </c>
      <c r="Y4" s="63">
        <f>Table2[[#This Row],[TimeInSeconds]]/1200</f>
        <v>3</v>
      </c>
      <c r="Z4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4" s="32" t="str">
        <f t="shared" si="2"/>
        <v>PHI</v>
      </c>
      <c r="AB4" s="63">
        <f>IF(ISBLANK(Table2[[#This Row],[OTROUNDNUM]]), "", Table2[[#This Row],[PAWAYSCORE]]-Table2[[#This Row],[AAWAYSCORE]])</f>
        <v>-1</v>
      </c>
      <c r="AC4" s="63">
        <f>IF(ISBLANK(Table2[[#This Row],[OTROUNDNUM]]), "", Table2[[#This Row],[PHOMESCORE]]-Table2[[#This Row],[AHOMESCORE]])</f>
        <v>-1</v>
      </c>
      <c r="AD4" s="63">
        <f>_xlfn.IFS(ISBLANK(Table2[[#This Row],[GAMENUM]]), " ", 1, IF((Table2[[#This Row],[TOPSEEDWINS]]+Table2[[#This Row],[LOWSEEDWINS]]) &lt;&gt; Table2[[#This Row],[GAMENUM]], 0, 1))</f>
        <v>1</v>
      </c>
      <c r="AE4" s="63">
        <f>_xlfn.IFS(ISBLANK(Table2[[#This Row],[GAMENUM]]),"", Table2[[#This Row],[GameOver]]=0,"",Table2[[#This Row],[AAWAYSCORE]]&gt;Table2[[#This Row],[AHOMESCORE]], 1,1,0)</f>
        <v>1</v>
      </c>
      <c r="AF4" s="63">
        <f>_xlfn.IFS(ISBLANK(Table2[[#This Row],[GAMENUM]]),"",Table2[[#This Row],[GameOver]]=0,"",Table2[[#This Row],[AAWAYSCORE]]&lt;Table2[[#This Row],[AHOMESCORE]], 1,1,0)</f>
        <v>0</v>
      </c>
      <c r="AG4" s="63">
        <f>_xlfn.IFS(ISBLANK(Table2[[#This Row],[GAMENUM]]),"",Table2[[#This Row],[GameOver]]=0,"",Table2[[#This Row],[OTROUNDNUM]]&gt;0,1,1,0)</f>
        <v>0</v>
      </c>
      <c r="AH4" s="63">
        <f>_xlfn.IFS(ISBLANK(Table2[[#This Row],[GAMENUM]]),"",Table2[[#This Row],[GameOver]]=0,"",Table2[[#This Row],[AAWAYSCORE]]=0,1,1,0)</f>
        <v>0</v>
      </c>
      <c r="AI4" s="63">
        <f>_xlfn.IFS(ISBLANK(Table2[[#This Row],[GAMENUM]]),"", Table2[[#This Row],[GameOver]]=0,"",Table2[[#This Row],[AHOMESCORE]]=0,1,1,0)</f>
        <v>0</v>
      </c>
      <c r="AJ4" s="57"/>
      <c r="AK4" s="65"/>
      <c r="AL4" s="11" t="s">
        <v>35</v>
      </c>
      <c r="AM4" s="18"/>
      <c r="AN4" s="33"/>
      <c r="AO4" s="5">
        <f>MAX(SUM(AX3:AX10), 32)</f>
        <v>32</v>
      </c>
      <c r="AP4" s="16"/>
      <c r="AQ4" s="103" t="s">
        <v>31</v>
      </c>
      <c r="AR4" s="103">
        <v>2</v>
      </c>
      <c r="AS4" s="106" t="s">
        <v>34</v>
      </c>
      <c r="AT4" s="107" t="s">
        <v>158</v>
      </c>
      <c r="AU4" s="137">
        <f>SUMIFS(Table2[Periods], Table2[SERIESCODE], Table3[[#This Row],[SeriesCode]])</f>
        <v>22.268333333333334</v>
      </c>
      <c r="AV4" s="55">
        <f>SUMIFS(Table2[TimeInSeconds], Table2[SERIESCODE], Table3[[#This Row],[SeriesCode]])</f>
        <v>26722</v>
      </c>
      <c r="AW4" s="137">
        <f>Table3[[#This Row],[SecondsPlayed]]/3600</f>
        <v>7.4227777777777781</v>
      </c>
      <c r="AX4" s="57" t="str">
        <f t="array" ref="AX4">INDEX(J:J, MATCH(2, 1/(H:H=AQ4)))</f>
        <v>TBL</v>
      </c>
      <c r="AY4" s="57">
        <f t="shared" si="3"/>
        <v>0</v>
      </c>
      <c r="AZ4" s="57" t="e">
        <f t="shared" si="4"/>
        <v>#VALUE!</v>
      </c>
      <c r="BA4" s="57">
        <f t="shared" ref="BA4:BA10" si="6">SUMIFS($W$2:$W$106,$P$2:$P$106,AS4,$G$2:$G$106,1) + SUMIFS($V$2:$V$106,$O$2:$O$106,AS4,$G$2:$G$106,1)</f>
        <v>11</v>
      </c>
      <c r="BB4" s="57">
        <f t="shared" si="5"/>
        <v>7</v>
      </c>
      <c r="BC4" s="57"/>
      <c r="BD4" s="57"/>
      <c r="BE4" s="57"/>
      <c r="BF4" s="57"/>
      <c r="BG4" s="57"/>
      <c r="BH4" s="65"/>
      <c r="BI4" s="11"/>
      <c r="BJ4" s="121" t="s">
        <v>168</v>
      </c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30"/>
    </row>
    <row r="5" spans="1:104" x14ac:dyDescent="0.25">
      <c r="A5" s="55" t="str">
        <f>IF(ISBLANK(Table2[[#This Row],[GAMENUM]]), "", _xlfn.TEXTJOIN("", 1, "2025030", Table2[[#This Row],[ROUNDNUM]], Table2[[#This Row],[SeriesID]], Table2[[#This Row],[GAMENUM]]))</f>
        <v>2025030151</v>
      </c>
      <c r="B5" s="63">
        <f>IF(ISBLANK(Table2[[#This Row],[GAMENUM]]), "", INDEX(Table3[SeriesID], MATCH(Table2[[#This Row],[SERIESCODE]],Table3[SeriesCode],0)))</f>
        <v>5</v>
      </c>
      <c r="C5" s="57" t="str">
        <f t="shared" si="0"/>
        <v>Sunday</v>
      </c>
      <c r="D5" s="59">
        <v>46131</v>
      </c>
      <c r="E5" s="60">
        <v>0.66666666666666663</v>
      </c>
      <c r="F5" s="59" t="s">
        <v>38</v>
      </c>
      <c r="G5" s="62">
        <v>1</v>
      </c>
      <c r="H5" s="63" t="s">
        <v>45</v>
      </c>
      <c r="I5" s="62">
        <v>1</v>
      </c>
      <c r="J5" s="72" t="str">
        <f>INDEX(Table3[TopSeed],MATCH(Table2[[#This Row],[SERIESCODE]], Table3[SeriesCode], 0))</f>
        <v>COL</v>
      </c>
      <c r="K5" s="74" t="str">
        <f>INDEX(Table3[LowSeed],MATCH(Table2[[#This Row],[SERIESCODE]], Table3[SeriesCode], 0))</f>
        <v>LAK</v>
      </c>
      <c r="L5" s="62">
        <v>1</v>
      </c>
      <c r="M5" s="62">
        <v>0</v>
      </c>
      <c r="N5" s="74" t="str">
        <f>IF(Table2[[#This Row],[GAMENUM]] = 6, Table2[[#This Row],[TOPSEED]], IF(Table2[[#This Row],[GAMENUM]] = 4, Table2[[#This Row],[TOPSEED]], IF(Table2[[#This Row],[GAMENUM]] = 3, Table2[[#This Row],[TOPSEED]], Table2[LOWSEED])))</f>
        <v>LAK</v>
      </c>
      <c r="O5" s="72" t="str">
        <f>IF(Table2[[#This Row],[GAMENUM]] = 6, Table2[[#This Row],[LOWSEED]], IF(Table2[[#This Row],[GAMENUM]] = 4, Table2[[#This Row],[LOWSEED]], IF(Table2[[#This Row],[GAMENUM]] = 3, Table2[[#This Row],[LOWSEED]], Table2[TOPSEED])))</f>
        <v>COL</v>
      </c>
      <c r="P5" s="72" t="str">
        <f t="shared" si="1"/>
        <v>COL</v>
      </c>
      <c r="Q5" s="62">
        <v>1</v>
      </c>
      <c r="R5" s="62">
        <v>3</v>
      </c>
      <c r="S5" s="63" t="s">
        <v>155</v>
      </c>
      <c r="T5" s="59">
        <v>46131</v>
      </c>
      <c r="U5" s="62">
        <v>1</v>
      </c>
      <c r="V5" s="62">
        <v>2</v>
      </c>
      <c r="W5" s="62">
        <v>0</v>
      </c>
      <c r="X5" s="62">
        <v>3600</v>
      </c>
      <c r="Y5" s="63">
        <f>Table2[[#This Row],[TimeInSeconds]]/1200</f>
        <v>3</v>
      </c>
      <c r="Z5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5" s="72" t="str">
        <f t="shared" si="2"/>
        <v>COL</v>
      </c>
      <c r="AB5" s="63">
        <f>IF(ISBLANK(Table2[[#This Row],[OTROUNDNUM]]), "", Table2[[#This Row],[PAWAYSCORE]]-Table2[[#This Row],[AAWAYSCORE]])</f>
        <v>0</v>
      </c>
      <c r="AC5" s="63">
        <f>IF(ISBLANK(Table2[[#This Row],[OTROUNDNUM]]), "", Table2[[#This Row],[PHOMESCORE]]-Table2[[#This Row],[AHOMESCORE]])</f>
        <v>1</v>
      </c>
      <c r="AD5" s="63">
        <f>_xlfn.IFS(ISBLANK(Table2[[#This Row],[GAMENUM]]), " ", 1, IF((Table2[[#This Row],[TOPSEEDWINS]]+Table2[[#This Row],[LOWSEEDWINS]]) &lt;&gt; Table2[[#This Row],[GAMENUM]], 0, 1))</f>
        <v>1</v>
      </c>
      <c r="AE5" s="63">
        <f>_xlfn.IFS(ISBLANK(Table2[[#This Row],[GAMENUM]]),"", Table2[[#This Row],[GameOver]]=0,"",Table2[[#This Row],[AAWAYSCORE]]&gt;Table2[[#This Row],[AHOMESCORE]], 1,1,0)</f>
        <v>0</v>
      </c>
      <c r="AF5" s="63">
        <f>_xlfn.IFS(ISBLANK(Table2[[#This Row],[GAMENUM]]),"",Table2[[#This Row],[GameOver]]=0,"",Table2[[#This Row],[AAWAYSCORE]]&lt;Table2[[#This Row],[AHOMESCORE]], 1,1,0)</f>
        <v>1</v>
      </c>
      <c r="AG5" s="63">
        <f>_xlfn.IFS(ISBLANK(Table2[[#This Row],[GAMENUM]]),"",Table2[[#This Row],[GameOver]]=0,"",Table2[[#This Row],[OTROUNDNUM]]&gt;0,1,1,0)</f>
        <v>0</v>
      </c>
      <c r="AH5" s="63">
        <f>_xlfn.IFS(ISBLANK(Table2[[#This Row],[GAMENUM]]),"",Table2[[#This Row],[GameOver]]=0,"",Table2[[#This Row],[AAWAYSCORE]]=0,1,1,0)</f>
        <v>0</v>
      </c>
      <c r="AI5" s="63">
        <f>_xlfn.IFS(ISBLANK(Table2[[#This Row],[GAMENUM]]),"", Table2[[#This Row],[GameOver]]=0,"",Table2[[#This Row],[AHOMESCORE]]=0,1,1,0)</f>
        <v>0</v>
      </c>
      <c r="AJ5" s="57"/>
      <c r="AK5" s="65"/>
      <c r="AL5" s="11" t="s">
        <v>37</v>
      </c>
      <c r="AM5" s="18"/>
      <c r="AN5" s="16"/>
      <c r="AO5" s="28">
        <f>COUNT(Table2[CORRECT])</f>
        <v>77</v>
      </c>
      <c r="AP5" s="16"/>
      <c r="AQ5" s="103" t="s">
        <v>17</v>
      </c>
      <c r="AR5" s="103">
        <v>4</v>
      </c>
      <c r="AS5" s="34" t="s">
        <v>168</v>
      </c>
      <c r="AT5" s="35" t="s">
        <v>169</v>
      </c>
      <c r="AU5" s="137">
        <f>SUMIFS(Table2[Periods], Table2[SERIESCODE], Table3[[#This Row],[SeriesCode]])</f>
        <v>18.876666666666665</v>
      </c>
      <c r="AV5" s="55">
        <f>SUMIFS(Table2[TimeInSeconds], Table2[SERIESCODE], Table3[[#This Row],[SeriesCode]])</f>
        <v>22652</v>
      </c>
      <c r="AW5" s="137">
        <f>Table3[[#This Row],[SecondsPlayed]]/3600</f>
        <v>6.2922222222222226</v>
      </c>
      <c r="AX5" s="57" t="str">
        <f t="array" ref="AX5">INDEX(J:J, MATCH(2, 1/(H:H=AQ5)))</f>
        <v>PIT</v>
      </c>
      <c r="AY5" s="57">
        <f t="shared" si="3"/>
        <v>0</v>
      </c>
      <c r="AZ5" s="57" t="e">
        <f t="shared" si="4"/>
        <v>#VALUE!</v>
      </c>
      <c r="BA5" s="57">
        <f t="shared" si="6"/>
        <v>6</v>
      </c>
      <c r="BB5" s="57">
        <f t="shared" si="5"/>
        <v>8</v>
      </c>
      <c r="BC5" s="57"/>
      <c r="BD5" s="57"/>
      <c r="BE5" s="57"/>
      <c r="BF5" s="57"/>
      <c r="BG5" s="57"/>
      <c r="BH5" s="65"/>
      <c r="BI5" s="11"/>
      <c r="BJ5" s="122" t="s">
        <v>169</v>
      </c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30"/>
    </row>
    <row r="6" spans="1:104" x14ac:dyDescent="0.25">
      <c r="A6" s="55" t="str">
        <f>IF(ISBLANK(Table2[[#This Row],[GAMENUM]]), "", _xlfn.TEXTJOIN("", 1, "2025030", Table2[[#This Row],[ROUNDNUM]], Table2[[#This Row],[SeriesID]], Table2[[#This Row],[GAMENUM]]))</f>
        <v>2025030121</v>
      </c>
      <c r="B6" s="63">
        <f>IF(ISBLANK(Table2[[#This Row],[GAMENUM]]), "", INDEX(Table3[SeriesID], MATCH(Table2[[#This Row],[SERIESCODE]],Table3[SeriesCode],0)))</f>
        <v>2</v>
      </c>
      <c r="C6" s="57" t="str">
        <f t="shared" si="0"/>
        <v>Sunday</v>
      </c>
      <c r="D6" s="59">
        <v>46131</v>
      </c>
      <c r="E6" s="60">
        <v>0.85416666666666663</v>
      </c>
      <c r="F6" s="59" t="s">
        <v>16</v>
      </c>
      <c r="G6" s="62">
        <v>1</v>
      </c>
      <c r="H6" s="66" t="s">
        <v>31</v>
      </c>
      <c r="I6" s="62">
        <v>1</v>
      </c>
      <c r="J6" s="77" t="str">
        <f>INDEX(Table3[TopSeed],MATCH(Table2[[#This Row],[SERIESCODE]], Table3[SeriesCode], 0))</f>
        <v>TBL</v>
      </c>
      <c r="K6" s="79" t="str">
        <f>INDEX(Table3[LowSeed],MATCH(Table2[[#This Row],[SERIESCODE]], Table3[SeriesCode], 0))</f>
        <v>MTL</v>
      </c>
      <c r="L6" s="62">
        <v>0</v>
      </c>
      <c r="M6" s="62">
        <v>1</v>
      </c>
      <c r="N6" s="79" t="str">
        <f>IF(Table2[[#This Row],[GAMENUM]] = 6, Table2[[#This Row],[TOPSEED]], IF(Table2[[#This Row],[GAMENUM]] = 4, Table2[[#This Row],[TOPSEED]], IF(Table2[[#This Row],[GAMENUM]] = 3, Table2[[#This Row],[TOPSEED]], Table2[LOWSEED])))</f>
        <v>MTL</v>
      </c>
      <c r="O6" s="77" t="str">
        <f>IF(Table2[[#This Row],[GAMENUM]] = 6, Table2[[#This Row],[LOWSEED]], IF(Table2[[#This Row],[GAMENUM]] = 4, Table2[[#This Row],[LOWSEED]], IF(Table2[[#This Row],[GAMENUM]] = 3, Table2[[#This Row],[LOWSEED]], Table2[TOPSEED])))</f>
        <v>TBL</v>
      </c>
      <c r="P6" s="77" t="str">
        <f t="shared" si="1"/>
        <v>TBL</v>
      </c>
      <c r="Q6" s="62">
        <v>2</v>
      </c>
      <c r="R6" s="62">
        <v>3</v>
      </c>
      <c r="S6" s="63" t="s">
        <v>154</v>
      </c>
      <c r="T6" s="59">
        <v>46131</v>
      </c>
      <c r="U6" s="62">
        <v>4</v>
      </c>
      <c r="V6" s="62">
        <v>3</v>
      </c>
      <c r="W6" s="62">
        <v>1</v>
      </c>
      <c r="X6" s="62">
        <v>3682</v>
      </c>
      <c r="Y6" s="63">
        <f>Table2[[#This Row],[TimeInSeconds]]/1200</f>
        <v>3.0683333333333334</v>
      </c>
      <c r="Z6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6" s="79" t="str">
        <f t="shared" si="2"/>
        <v>MTL</v>
      </c>
      <c r="AB6" s="63">
        <f>IF(ISBLANK(Table2[[#This Row],[OTROUNDNUM]]), "", Table2[[#This Row],[PAWAYSCORE]]-Table2[[#This Row],[AAWAYSCORE]])</f>
        <v>-2</v>
      </c>
      <c r="AC6" s="63">
        <f>IF(ISBLANK(Table2[[#This Row],[OTROUNDNUM]]), "", Table2[[#This Row],[PHOMESCORE]]-Table2[[#This Row],[AHOMESCORE]])</f>
        <v>0</v>
      </c>
      <c r="AD6" s="63">
        <f>_xlfn.IFS(ISBLANK(Table2[[#This Row],[GAMENUM]]), " ", 1, IF((Table2[[#This Row],[TOPSEEDWINS]]+Table2[[#This Row],[LOWSEEDWINS]]) &lt;&gt; Table2[[#This Row],[GAMENUM]], 0, 1))</f>
        <v>1</v>
      </c>
      <c r="AE6" s="63">
        <f>_xlfn.IFS(ISBLANK(Table2[[#This Row],[GAMENUM]]),"", Table2[[#This Row],[GameOver]]=0,"",Table2[[#This Row],[AAWAYSCORE]]&gt;Table2[[#This Row],[AHOMESCORE]], 1,1,0)</f>
        <v>1</v>
      </c>
      <c r="AF6" s="63">
        <f>_xlfn.IFS(ISBLANK(Table2[[#This Row],[GAMENUM]]),"",Table2[[#This Row],[GameOver]]=0,"",Table2[[#This Row],[AAWAYSCORE]]&lt;Table2[[#This Row],[AHOMESCORE]], 1,1,0)</f>
        <v>0</v>
      </c>
      <c r="AG6" s="63">
        <f>_xlfn.IFS(ISBLANK(Table2[[#This Row],[GAMENUM]]),"",Table2[[#This Row],[GameOver]]=0,"",Table2[[#This Row],[OTROUNDNUM]]&gt;0,1,1,0)</f>
        <v>1</v>
      </c>
      <c r="AH6" s="63">
        <f>_xlfn.IFS(ISBLANK(Table2[[#This Row],[GAMENUM]]),"",Table2[[#This Row],[GameOver]]=0,"",Table2[[#This Row],[AAWAYSCORE]]=0,1,1,0)</f>
        <v>0</v>
      </c>
      <c r="AI6" s="63">
        <f>_xlfn.IFS(ISBLANK(Table2[[#This Row],[GAMENUM]]),"", Table2[[#This Row],[GameOver]]=0,"",Table2[[#This Row],[AHOMESCORE]]=0,1,1,0)</f>
        <v>0</v>
      </c>
      <c r="AJ6" s="57" t="s">
        <v>177</v>
      </c>
      <c r="AK6" s="65"/>
      <c r="AL6" s="11" t="s">
        <v>41</v>
      </c>
      <c r="AM6" s="18"/>
      <c r="AN6" s="16"/>
      <c r="AO6" s="29">
        <f>SUM(Table2[CORRECT])</f>
        <v>41</v>
      </c>
      <c r="AP6" s="16"/>
      <c r="AQ6" s="103" t="s">
        <v>36</v>
      </c>
      <c r="AR6" s="103">
        <v>3</v>
      </c>
      <c r="AS6" s="37" t="s">
        <v>18</v>
      </c>
      <c r="AT6" s="38" t="s">
        <v>156</v>
      </c>
      <c r="AU6" s="137">
        <f>SUMIFS(Table2[Periods], Table2[SERIESCODE], Table3[[#This Row],[SeriesCode]])</f>
        <v>13.694166666666668</v>
      </c>
      <c r="AV6" s="55">
        <f>SUMIFS(Table2[TimeInSeconds], Table2[SERIESCODE], Table3[[#This Row],[SeriesCode]])</f>
        <v>16433</v>
      </c>
      <c r="AW6" s="137">
        <f>Table3[[#This Row],[SecondsPlayed]]/3600</f>
        <v>4.5647222222222226</v>
      </c>
      <c r="AX6" s="57" t="str">
        <f t="array" ref="AX6">INDEX(J:J, MATCH(2, 1/(H:H=AQ6)))</f>
        <v>CAR</v>
      </c>
      <c r="AY6" s="57">
        <f t="shared" si="3"/>
        <v>0</v>
      </c>
      <c r="AZ6" s="57" t="e">
        <f t="shared" si="4"/>
        <v>#VALUE!</v>
      </c>
      <c r="BA6" s="57">
        <f t="shared" si="6"/>
        <v>7</v>
      </c>
      <c r="BB6" s="57">
        <f t="shared" si="5"/>
        <v>3</v>
      </c>
      <c r="BC6" s="57"/>
      <c r="BD6" s="57"/>
      <c r="BE6" s="57"/>
      <c r="BF6" s="57"/>
      <c r="BG6" s="57"/>
      <c r="BH6" s="65"/>
      <c r="BI6" s="11"/>
      <c r="BJ6" s="123" t="s">
        <v>34</v>
      </c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30"/>
    </row>
    <row r="7" spans="1:104" x14ac:dyDescent="0.25">
      <c r="A7" s="55" t="str">
        <f>IF(ISBLANK(Table2[[#This Row],[GAMENUM]]), "", _xlfn.TEXTJOIN("", 1, "2025030", Table2[[#This Row],[ROUNDNUM]], Table2[[#This Row],[SeriesID]], Table2[[#This Row],[GAMENUM]]))</f>
        <v>2025030111</v>
      </c>
      <c r="B7" s="63">
        <f>IF(ISBLANK(Table2[[#This Row],[GAMENUM]]), "", INDEX(Table3[SeriesID], MATCH(Table2[[#This Row],[SERIESCODE]],Table3[SeriesCode],0)))</f>
        <v>1</v>
      </c>
      <c r="C7" s="57" t="str">
        <f t="shared" si="0"/>
        <v>Sunday</v>
      </c>
      <c r="D7" s="59">
        <v>46131</v>
      </c>
      <c r="E7" s="60">
        <v>0.78125</v>
      </c>
      <c r="F7" s="59" t="s">
        <v>16</v>
      </c>
      <c r="G7" s="62">
        <v>1</v>
      </c>
      <c r="H7" s="63" t="s">
        <v>33</v>
      </c>
      <c r="I7" s="62">
        <v>1</v>
      </c>
      <c r="J7" s="78" t="str">
        <f>INDEX(Table3[TopSeed],MATCH(Table2[[#This Row],[SERIESCODE]], Table3[SeriesCode], 0))</f>
        <v>BUF</v>
      </c>
      <c r="K7" s="80" t="str">
        <f>INDEX(Table3[LowSeed],MATCH(Table2[[#This Row],[SERIESCODE]], Table3[SeriesCode], 0))</f>
        <v>BOS</v>
      </c>
      <c r="L7" s="62">
        <v>1</v>
      </c>
      <c r="M7" s="62">
        <v>0</v>
      </c>
      <c r="N7" s="75" t="str">
        <f>IF(Table2[[#This Row],[GAMENUM]] = 6, Table2[[#This Row],[TOPSEED]], IF(Table2[[#This Row],[GAMENUM]] = 4, Table2[[#This Row],[TOPSEED]], IF(Table2[[#This Row],[GAMENUM]] = 3, Table2[[#This Row],[TOPSEED]], Table2[LOWSEED])))</f>
        <v>BOS</v>
      </c>
      <c r="O7" s="73" t="str">
        <f>IF(Table2[[#This Row],[GAMENUM]] = 6, Table2[[#This Row],[LOWSEED]], IF(Table2[[#This Row],[GAMENUM]] = 4, Table2[[#This Row],[LOWSEED]], IF(Table2[[#This Row],[GAMENUM]] = 3, Table2[[#This Row],[LOWSEED]], Table2[TOPSEED])))</f>
        <v>BUF</v>
      </c>
      <c r="P7" s="73" t="str">
        <f t="shared" si="1"/>
        <v>BUF</v>
      </c>
      <c r="Q7" s="62">
        <v>2</v>
      </c>
      <c r="R7" s="62">
        <v>3</v>
      </c>
      <c r="S7" s="63" t="s">
        <v>154</v>
      </c>
      <c r="T7" s="59">
        <v>46131</v>
      </c>
      <c r="U7" s="62">
        <v>3</v>
      </c>
      <c r="V7" s="62">
        <v>4</v>
      </c>
      <c r="W7" s="62">
        <v>0</v>
      </c>
      <c r="X7" s="62">
        <v>3600</v>
      </c>
      <c r="Y7" s="63">
        <f>Table2[[#This Row],[TimeInSeconds]]/1200</f>
        <v>3</v>
      </c>
      <c r="Z7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7" s="73" t="str">
        <f t="shared" si="2"/>
        <v>BUF</v>
      </c>
      <c r="AB7" s="63">
        <f>IF(ISBLANK(Table2[[#This Row],[OTROUNDNUM]]), "", Table2[[#This Row],[PAWAYSCORE]]-Table2[[#This Row],[AAWAYSCORE]])</f>
        <v>-1</v>
      </c>
      <c r="AC7" s="63">
        <f>IF(ISBLANK(Table2[[#This Row],[OTROUNDNUM]]), "", Table2[[#This Row],[PHOMESCORE]]-Table2[[#This Row],[AHOMESCORE]])</f>
        <v>-1</v>
      </c>
      <c r="AD7" s="63">
        <f>_xlfn.IFS(ISBLANK(Table2[[#This Row],[GAMENUM]]), " ", 1, IF((Table2[[#This Row],[TOPSEEDWINS]]+Table2[[#This Row],[LOWSEEDWINS]]) &lt;&gt; Table2[[#This Row],[GAMENUM]], 0, 1))</f>
        <v>1</v>
      </c>
      <c r="AE7" s="63">
        <f>_xlfn.IFS(ISBLANK(Table2[[#This Row],[GAMENUM]]),"", Table2[[#This Row],[GameOver]]=0,"",Table2[[#This Row],[AAWAYSCORE]]&gt;Table2[[#This Row],[AHOMESCORE]], 1,1,0)</f>
        <v>0</v>
      </c>
      <c r="AF7" s="63">
        <f>_xlfn.IFS(ISBLANK(Table2[[#This Row],[GAMENUM]]),"",Table2[[#This Row],[GameOver]]=0,"",Table2[[#This Row],[AAWAYSCORE]]&lt;Table2[[#This Row],[AHOMESCORE]], 1,1,0)</f>
        <v>1</v>
      </c>
      <c r="AG7" s="63">
        <f>_xlfn.IFS(ISBLANK(Table2[[#This Row],[GAMENUM]]),"",Table2[[#This Row],[GameOver]]=0,"",Table2[[#This Row],[OTROUNDNUM]]&gt;0,1,1,0)</f>
        <v>0</v>
      </c>
      <c r="AH7" s="63">
        <f>_xlfn.IFS(ISBLANK(Table2[[#This Row],[GAMENUM]]),"",Table2[[#This Row],[GameOver]]=0,"",Table2[[#This Row],[AAWAYSCORE]]=0,1,1,0)</f>
        <v>0</v>
      </c>
      <c r="AI7" s="63">
        <f>_xlfn.IFS(ISBLANK(Table2[[#This Row],[GAMENUM]]),"", Table2[[#This Row],[GameOver]]=0,"",Table2[[#This Row],[AHOMESCORE]]=0,1,1,0)</f>
        <v>0</v>
      </c>
      <c r="AJ7" s="57" t="s">
        <v>174</v>
      </c>
      <c r="AK7" s="65"/>
      <c r="AL7" s="11" t="s">
        <v>43</v>
      </c>
      <c r="AM7" s="18"/>
      <c r="AN7" s="33"/>
      <c r="AO7" s="5">
        <f>AO6/AO5</f>
        <v>0.53246753246753242</v>
      </c>
      <c r="AP7" s="16"/>
      <c r="AQ7" s="103" t="s">
        <v>42</v>
      </c>
      <c r="AR7" s="103">
        <v>7</v>
      </c>
      <c r="AS7" s="108" t="s">
        <v>47</v>
      </c>
      <c r="AT7" s="109" t="s">
        <v>172</v>
      </c>
      <c r="AU7" s="137">
        <f>SUMIFS(Table2[Periods], Table2[SERIESCODE], Table3[[#This Row],[SeriesCode]])</f>
        <v>20.23</v>
      </c>
      <c r="AV7" s="55">
        <f>SUMIFS(Table2[TimeInSeconds], Table2[SERIESCODE], Table3[[#This Row],[SeriesCode]])</f>
        <v>24276</v>
      </c>
      <c r="AW7" s="137">
        <f>Table3[[#This Row],[SecondsPlayed]]/3600</f>
        <v>6.7433333333333332</v>
      </c>
      <c r="AX7" s="57" t="str">
        <f t="array" ref="AX7">INDEX(J:J, MATCH(2, 1/(H:H=AQ7)))</f>
        <v>VGK</v>
      </c>
      <c r="AY7" s="57">
        <f t="shared" si="3"/>
        <v>0</v>
      </c>
      <c r="AZ7" s="57" t="e">
        <f t="shared" si="4"/>
        <v>#VALUE!</v>
      </c>
      <c r="BA7" s="57">
        <f t="shared" si="6"/>
        <v>13</v>
      </c>
      <c r="BB7" s="57">
        <f t="shared" si="5"/>
        <v>10</v>
      </c>
      <c r="BC7" s="57"/>
      <c r="BD7" s="57"/>
      <c r="BE7" s="57"/>
      <c r="BF7" s="57"/>
      <c r="BG7" s="57"/>
      <c r="BH7" s="65"/>
      <c r="BI7" s="11"/>
      <c r="BJ7" s="124" t="s">
        <v>158</v>
      </c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30"/>
    </row>
    <row r="8" spans="1:104" x14ac:dyDescent="0.25">
      <c r="A8" s="55" t="str">
        <f>IF(ISBLANK(Table2[[#This Row],[GAMENUM]]), "", _xlfn.TEXTJOIN("", 1, "2025030", Table2[[#This Row],[ROUNDNUM]], Table2[[#This Row],[SeriesID]], Table2[[#This Row],[GAMENUM]]))</f>
        <v>2025030171</v>
      </c>
      <c r="B8" s="63">
        <f>IF(ISBLANK(Table2[[#This Row],[GAMENUM]]), "", INDEX(Table3[SeriesID], MATCH(Table2[[#This Row],[SERIESCODE]],Table3[SeriesCode],0)))</f>
        <v>7</v>
      </c>
      <c r="C8" s="57" t="str">
        <f t="shared" si="0"/>
        <v>Sunday</v>
      </c>
      <c r="D8" s="59">
        <v>46131</v>
      </c>
      <c r="E8" s="60">
        <v>0.95833333333333337</v>
      </c>
      <c r="F8" s="59" t="s">
        <v>38</v>
      </c>
      <c r="G8" s="62">
        <v>1</v>
      </c>
      <c r="H8" s="66" t="s">
        <v>42</v>
      </c>
      <c r="I8" s="62">
        <v>1</v>
      </c>
      <c r="J8" s="81" t="str">
        <f>INDEX(Table3[TopSeed],MATCH(Table2[[#This Row],[SERIESCODE]], Table3[SeriesCode], 0))</f>
        <v>VGK</v>
      </c>
      <c r="K8" s="82" t="str">
        <f>INDEX(Table3[LowSeed],MATCH(Table2[[#This Row],[SERIESCODE]], Table3[SeriesCode], 0))</f>
        <v>UTA</v>
      </c>
      <c r="L8" s="62">
        <v>1</v>
      </c>
      <c r="M8" s="62">
        <v>0</v>
      </c>
      <c r="N8" s="83" t="str">
        <f>IF(Table2[[#This Row],[GAMENUM]] = 6, Table2[[#This Row],[TOPSEED]], IF(Table2[[#This Row],[GAMENUM]] = 4, Table2[[#This Row],[TOPSEED]], IF(Table2[[#This Row],[GAMENUM]] = 3, Table2[[#This Row],[TOPSEED]], Table2[LOWSEED])))</f>
        <v>UTA</v>
      </c>
      <c r="O8" s="84" t="str">
        <f>IF(Table2[[#This Row],[GAMENUM]] = 6, Table2[[#This Row],[LOWSEED]], IF(Table2[[#This Row],[GAMENUM]] = 4, Table2[[#This Row],[LOWSEED]], IF(Table2[[#This Row],[GAMENUM]] = 3, Table2[[#This Row],[LOWSEED]], Table2[TOPSEED])))</f>
        <v>VGK</v>
      </c>
      <c r="P8" s="83" t="str">
        <f t="shared" si="1"/>
        <v>UTA</v>
      </c>
      <c r="Q8" s="62">
        <v>4</v>
      </c>
      <c r="R8" s="62">
        <v>2</v>
      </c>
      <c r="S8" s="63" t="s">
        <v>155</v>
      </c>
      <c r="T8" s="59">
        <v>46131</v>
      </c>
      <c r="U8" s="62">
        <v>2</v>
      </c>
      <c r="V8" s="62">
        <v>4</v>
      </c>
      <c r="W8" s="62">
        <v>0</v>
      </c>
      <c r="X8" s="62">
        <v>3600</v>
      </c>
      <c r="Y8" s="63">
        <f>Table2[[#This Row],[TimeInSeconds]]/1200</f>
        <v>3</v>
      </c>
      <c r="Z8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8" s="84" t="str">
        <f t="shared" si="2"/>
        <v>VGK</v>
      </c>
      <c r="AB8" s="63">
        <f>IF(ISBLANK(Table2[[#This Row],[OTROUNDNUM]]), "", Table2[[#This Row],[PAWAYSCORE]]-Table2[[#This Row],[AAWAYSCORE]])</f>
        <v>2</v>
      </c>
      <c r="AC8" s="63">
        <f>IF(ISBLANK(Table2[[#This Row],[OTROUNDNUM]]), "", Table2[[#This Row],[PHOMESCORE]]-Table2[[#This Row],[AHOMESCORE]])</f>
        <v>-2</v>
      </c>
      <c r="AD8" s="63">
        <f>_xlfn.IFS(ISBLANK(Table2[[#This Row],[GAMENUM]]), " ", 1, IF((Table2[[#This Row],[TOPSEEDWINS]]+Table2[[#This Row],[LOWSEEDWINS]]) &lt;&gt; Table2[[#This Row],[GAMENUM]], 0, 1))</f>
        <v>1</v>
      </c>
      <c r="AE8" s="63">
        <f>_xlfn.IFS(ISBLANK(Table2[[#This Row],[GAMENUM]]),"", Table2[[#This Row],[GameOver]]=0,"",Table2[[#This Row],[AAWAYSCORE]]&gt;Table2[[#This Row],[AHOMESCORE]], 1,1,0)</f>
        <v>0</v>
      </c>
      <c r="AF8" s="63">
        <f>_xlfn.IFS(ISBLANK(Table2[[#This Row],[GAMENUM]]),"",Table2[[#This Row],[GameOver]]=0,"",Table2[[#This Row],[AAWAYSCORE]]&lt;Table2[[#This Row],[AHOMESCORE]], 1,1,0)</f>
        <v>1</v>
      </c>
      <c r="AG8" s="63">
        <f>_xlfn.IFS(ISBLANK(Table2[[#This Row],[GAMENUM]]),"",Table2[[#This Row],[GameOver]]=0,"",Table2[[#This Row],[OTROUNDNUM]]&gt;0,1,1,0)</f>
        <v>0</v>
      </c>
      <c r="AH8" s="63">
        <f>_xlfn.IFS(ISBLANK(Table2[[#This Row],[GAMENUM]]),"",Table2[[#This Row],[GameOver]]=0,"",Table2[[#This Row],[AAWAYSCORE]]=0,1,1,0)</f>
        <v>0</v>
      </c>
      <c r="AI8" s="63">
        <f>_xlfn.IFS(ISBLANK(Table2[[#This Row],[GAMENUM]]),"", Table2[[#This Row],[GameOver]]=0,"",Table2[[#This Row],[AHOMESCORE]]=0,1,1,0)</f>
        <v>0</v>
      </c>
      <c r="AJ8" s="57" t="s">
        <v>176</v>
      </c>
      <c r="AK8" s="65"/>
      <c r="AL8" s="11"/>
      <c r="AM8" s="18"/>
      <c r="AN8" s="16"/>
      <c r="AO8" s="22"/>
      <c r="AP8" s="16"/>
      <c r="AQ8" s="103" t="s">
        <v>44</v>
      </c>
      <c r="AR8" s="103">
        <v>8</v>
      </c>
      <c r="AS8" s="110" t="s">
        <v>48</v>
      </c>
      <c r="AT8" s="111" t="s">
        <v>173</v>
      </c>
      <c r="AU8" s="137">
        <f>SUMIFS(Table2[Periods], Table2[SERIESCODE], Table3[[#This Row],[SeriesCode]])</f>
        <v>18.124166666666667</v>
      </c>
      <c r="AV8" s="55">
        <f>SUMIFS(Table2[TimeInSeconds], Table2[SERIESCODE], Table3[[#This Row],[SeriesCode]])</f>
        <v>21749</v>
      </c>
      <c r="AW8" s="137">
        <f>Table3[[#This Row],[SecondsPlayed]]/3600</f>
        <v>6.0413888888888891</v>
      </c>
      <c r="AX8" s="57" t="str">
        <f t="array" ref="AX8">INDEX(J:J, MATCH(2, 1/(H:H=AQ8)))</f>
        <v>EDM</v>
      </c>
      <c r="AY8" s="57">
        <f t="shared" si="3"/>
        <v>0</v>
      </c>
      <c r="AZ8" s="57" t="e">
        <f t="shared" si="4"/>
        <v>#VALUE!</v>
      </c>
      <c r="BA8" s="57">
        <f t="shared" si="6"/>
        <v>13</v>
      </c>
      <c r="BB8" s="57">
        <f t="shared" si="5"/>
        <v>16</v>
      </c>
      <c r="BC8" s="57"/>
      <c r="BD8" s="57"/>
      <c r="BE8" s="57"/>
      <c r="BF8" s="57"/>
      <c r="BG8" s="57"/>
      <c r="BH8" s="65"/>
      <c r="BI8" s="11"/>
      <c r="BJ8" s="125" t="s">
        <v>170</v>
      </c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30"/>
    </row>
    <row r="9" spans="1:104" x14ac:dyDescent="0.25">
      <c r="A9" s="55" t="str">
        <f>IF(ISBLANK(Table2[[#This Row],[GAMENUM]]), "", _xlfn.TEXTJOIN("", 1, "2025030", Table2[[#This Row],[ROUNDNUM]], Table2[[#This Row],[SeriesID]], Table2[[#This Row],[GAMENUM]]))</f>
        <v>2025030142</v>
      </c>
      <c r="B9" s="63">
        <f>IF(ISBLANK(Table2[[#This Row],[GAMENUM]]), "", INDEX(Table3[SeriesID], MATCH(Table2[[#This Row],[SERIESCODE]],Table3[SeriesCode],0)))</f>
        <v>4</v>
      </c>
      <c r="C9" s="57" t="str">
        <f t="shared" si="0"/>
        <v>Monday</v>
      </c>
      <c r="D9" s="59">
        <v>46132</v>
      </c>
      <c r="E9" s="60">
        <v>0.83333333333333337</v>
      </c>
      <c r="F9" s="59" t="s">
        <v>16</v>
      </c>
      <c r="G9" s="62">
        <v>1</v>
      </c>
      <c r="H9" s="63" t="s">
        <v>17</v>
      </c>
      <c r="I9" s="62">
        <v>2</v>
      </c>
      <c r="J9" s="93" t="str">
        <f>INDEX(Table3[TopSeed],MATCH(Table2[[#This Row],[SERIESCODE]], Table3[SeriesCode], 0))</f>
        <v>PIT</v>
      </c>
      <c r="K9" s="92" t="str">
        <f>INDEX(Table3[LowSeed],MATCH(Table2[[#This Row],[SERIESCODE]], Table3[SeriesCode], 0))</f>
        <v>PHI</v>
      </c>
      <c r="L9" s="62">
        <v>0</v>
      </c>
      <c r="M9" s="62">
        <v>2</v>
      </c>
      <c r="N9" s="32" t="str">
        <f>IF(Table2[[#This Row],[GAMENUM]] = 6, Table2[[#This Row],[TOPSEED]], IF(Table2[[#This Row],[GAMENUM]] = 4, Table2[[#This Row],[TOPSEED]], IF(Table2[[#This Row],[GAMENUM]] = 3, Table2[[#This Row],[TOPSEED]], Table2[LOWSEED])))</f>
        <v>PHI</v>
      </c>
      <c r="O9" s="31" t="str">
        <f>IF(Table2[[#This Row],[GAMENUM]] = 6, Table2[[#This Row],[LOWSEED]], IF(Table2[[#This Row],[GAMENUM]] = 4, Table2[[#This Row],[LOWSEED]], IF(Table2[[#This Row],[GAMENUM]] = 3, Table2[[#This Row],[LOWSEED]], Table2[TOPSEED])))</f>
        <v>PIT</v>
      </c>
      <c r="P9" s="31" t="str">
        <f t="shared" si="1"/>
        <v>PIT</v>
      </c>
      <c r="Q9" s="62">
        <v>1</v>
      </c>
      <c r="R9" s="62">
        <v>2</v>
      </c>
      <c r="S9" s="63" t="s">
        <v>154</v>
      </c>
      <c r="T9" s="59">
        <v>46132</v>
      </c>
      <c r="U9" s="62">
        <v>3</v>
      </c>
      <c r="V9" s="62">
        <v>0</v>
      </c>
      <c r="W9" s="62">
        <v>0</v>
      </c>
      <c r="X9" s="62">
        <v>3600</v>
      </c>
      <c r="Y9" s="63">
        <f>Table2[[#This Row],[TimeInSeconds]]/1200</f>
        <v>3</v>
      </c>
      <c r="Z9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9" s="32" t="str">
        <f t="shared" si="2"/>
        <v>PHI</v>
      </c>
      <c r="AB9" s="63">
        <f>IF(ISBLANK(Table2[[#This Row],[OTROUNDNUM]]), "", Table2[[#This Row],[PAWAYSCORE]]-Table2[[#This Row],[AAWAYSCORE]])</f>
        <v>-2</v>
      </c>
      <c r="AC9" s="63">
        <f>IF(ISBLANK(Table2[[#This Row],[OTROUNDNUM]]), "", Table2[[#This Row],[PHOMESCORE]]-Table2[[#This Row],[AHOMESCORE]])</f>
        <v>2</v>
      </c>
      <c r="AD9" s="63">
        <f>_xlfn.IFS(ISBLANK(Table2[[#This Row],[GAMENUM]]), " ", 1, IF((Table2[[#This Row],[TOPSEEDWINS]]+Table2[[#This Row],[LOWSEEDWINS]]) &lt;&gt; Table2[[#This Row],[GAMENUM]], 0, 1))</f>
        <v>1</v>
      </c>
      <c r="AE9" s="63">
        <f>_xlfn.IFS(ISBLANK(Table2[[#This Row],[GAMENUM]]),"", Table2[[#This Row],[GameOver]]=0,"",Table2[[#This Row],[AAWAYSCORE]]&gt;Table2[[#This Row],[AHOMESCORE]], 1,1,0)</f>
        <v>1</v>
      </c>
      <c r="AF9" s="63">
        <f>_xlfn.IFS(ISBLANK(Table2[[#This Row],[GAMENUM]]),"",Table2[[#This Row],[GameOver]]=0,"",Table2[[#This Row],[AAWAYSCORE]]&lt;Table2[[#This Row],[AHOMESCORE]], 1,1,0)</f>
        <v>0</v>
      </c>
      <c r="AG9" s="63">
        <f>_xlfn.IFS(ISBLANK(Table2[[#This Row],[GAMENUM]]),"",Table2[[#This Row],[GameOver]]=0,"",Table2[[#This Row],[OTROUNDNUM]]&gt;0,1,1,0)</f>
        <v>0</v>
      </c>
      <c r="AH9" s="63">
        <f>_xlfn.IFS(ISBLANK(Table2[[#This Row],[GAMENUM]]),"",Table2[[#This Row],[GameOver]]=0,"",Table2[[#This Row],[AAWAYSCORE]]=0,1,1,0)</f>
        <v>0</v>
      </c>
      <c r="AI9" s="63">
        <f>_xlfn.IFS(ISBLANK(Table2[[#This Row],[GAMENUM]]),"", Table2[[#This Row],[GameOver]]=0,"",Table2[[#This Row],[AHOMESCORE]]=0,1,1,0)</f>
        <v>1</v>
      </c>
      <c r="AJ9" s="57"/>
      <c r="AK9" s="65"/>
      <c r="AL9" s="11"/>
      <c r="AM9" s="18"/>
      <c r="AN9" s="16"/>
      <c r="AO9" s="22"/>
      <c r="AP9" s="16"/>
      <c r="AQ9" s="103" t="s">
        <v>39</v>
      </c>
      <c r="AR9" s="103">
        <v>6</v>
      </c>
      <c r="AS9" s="40" t="s">
        <v>46</v>
      </c>
      <c r="AT9" s="41" t="s">
        <v>157</v>
      </c>
      <c r="AU9" s="137">
        <f>SUMIFS(Table2[Periods], Table2[SERIESCODE], Table3[[#This Row],[SeriesCode]])</f>
        <v>21.584166666666668</v>
      </c>
      <c r="AV9" s="55">
        <f>SUMIFS(Table2[TimeInSeconds], Table2[SERIESCODE], Table3[[#This Row],[SeriesCode]])</f>
        <v>25901</v>
      </c>
      <c r="AW9" s="137">
        <f>Table3[[#This Row],[SecondsPlayed]]/3600</f>
        <v>7.1947222222222225</v>
      </c>
      <c r="AX9" s="57" t="str">
        <f t="array" ref="AX9">INDEX(J:J, MATCH(2, 1/(H:H=AQ9)))</f>
        <v>DAL</v>
      </c>
      <c r="AY9" s="57">
        <f t="shared" si="3"/>
        <v>0</v>
      </c>
      <c r="AZ9" s="57" t="e">
        <f t="shared" si="4"/>
        <v>#VALUE!</v>
      </c>
      <c r="BA9" s="57">
        <f t="shared" si="6"/>
        <v>9</v>
      </c>
      <c r="BB9" s="57">
        <f t="shared" si="5"/>
        <v>12</v>
      </c>
      <c r="BC9" s="57"/>
      <c r="BD9" s="57"/>
      <c r="BE9" s="57"/>
      <c r="BF9" s="57"/>
      <c r="BG9" s="57"/>
      <c r="BH9" s="65"/>
      <c r="BI9" s="11"/>
      <c r="BJ9" s="126" t="s">
        <v>171</v>
      </c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30"/>
    </row>
    <row r="10" spans="1:104" x14ac:dyDescent="0.25">
      <c r="A10" s="55" t="str">
        <f>IF(ISBLANK(Table2[[#This Row],[GAMENUM]]), "", _xlfn.TEXTJOIN("", 1, "2025030", Table2[[#This Row],[ROUNDNUM]], Table2[[#This Row],[SeriesID]], Table2[[#This Row],[GAMENUM]]))</f>
        <v>2025030132</v>
      </c>
      <c r="B10" s="63">
        <f>IF(ISBLANK(Table2[[#This Row],[GAMENUM]]), "", INDEX(Table3[SeriesID], MATCH(Table2[[#This Row],[SERIESCODE]],Table3[SeriesCode],0)))</f>
        <v>3</v>
      </c>
      <c r="C10" s="57" t="str">
        <f t="shared" si="0"/>
        <v>Monday</v>
      </c>
      <c r="D10" s="59">
        <v>46132</v>
      </c>
      <c r="E10" s="60">
        <v>0.85416666666666663</v>
      </c>
      <c r="F10" s="59" t="s">
        <v>16</v>
      </c>
      <c r="G10" s="62">
        <v>1</v>
      </c>
      <c r="H10" s="63" t="s">
        <v>36</v>
      </c>
      <c r="I10" s="62">
        <v>2</v>
      </c>
      <c r="J10" s="90" t="str">
        <f>INDEX(Table3[TopSeed],MATCH(Table2[[#This Row],[SERIESCODE]], Table3[SeriesCode], 0))</f>
        <v>CAR</v>
      </c>
      <c r="K10" s="91" t="str">
        <f>INDEX(Table3[LowSeed],MATCH(Table2[[#This Row],[SERIESCODE]], Table3[SeriesCode], 0))</f>
        <v>OTT</v>
      </c>
      <c r="L10" s="62">
        <v>2</v>
      </c>
      <c r="M10" s="62">
        <v>0</v>
      </c>
      <c r="N10" s="21" t="str">
        <f>IF(Table2[[#This Row],[GAMENUM]] = 6, Table2[[#This Row],[TOPSEED]], IF(Table2[[#This Row],[GAMENUM]] = 4, Table2[[#This Row],[TOPSEED]], IF(Table2[[#This Row],[GAMENUM]] = 3, Table2[[#This Row],[TOPSEED]], Table2[LOWSEED])))</f>
        <v>OTT</v>
      </c>
      <c r="O10" s="20" t="str">
        <f>IF(Table2[[#This Row],[GAMENUM]] = 6, Table2[[#This Row],[LOWSEED]], IF(Table2[[#This Row],[GAMENUM]] = 4, Table2[[#This Row],[LOWSEED]], IF(Table2[[#This Row],[GAMENUM]] = 3, Table2[[#This Row],[LOWSEED]], Table2[TOPSEED])))</f>
        <v>CAR</v>
      </c>
      <c r="P10" s="20" t="str">
        <f t="shared" si="1"/>
        <v>CAR</v>
      </c>
      <c r="Q10" s="62">
        <v>1</v>
      </c>
      <c r="R10" s="62">
        <v>3</v>
      </c>
      <c r="S10" s="63" t="s">
        <v>155</v>
      </c>
      <c r="T10" s="59">
        <v>46132</v>
      </c>
      <c r="U10" s="62">
        <v>2</v>
      </c>
      <c r="V10" s="62">
        <v>3</v>
      </c>
      <c r="W10" s="62">
        <v>2</v>
      </c>
      <c r="X10" s="62">
        <v>5633</v>
      </c>
      <c r="Y10" s="63">
        <f>Table2[[#This Row],[TimeInSeconds]]/1200</f>
        <v>4.6941666666666668</v>
      </c>
      <c r="Z10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10" s="20" t="str">
        <f t="shared" si="2"/>
        <v>CAR</v>
      </c>
      <c r="AB10" s="63">
        <f>IF(ISBLANK(Table2[[#This Row],[OTROUNDNUM]]), "", Table2[[#This Row],[PAWAYSCORE]]-Table2[[#This Row],[AAWAYSCORE]])</f>
        <v>-1</v>
      </c>
      <c r="AC10" s="63">
        <f>IF(ISBLANK(Table2[[#This Row],[OTROUNDNUM]]), "", Table2[[#This Row],[PHOMESCORE]]-Table2[[#This Row],[AHOMESCORE]])</f>
        <v>0</v>
      </c>
      <c r="AD10" s="63">
        <f>_xlfn.IFS(ISBLANK(Table2[[#This Row],[GAMENUM]]), " ", 1, IF((Table2[[#This Row],[TOPSEEDWINS]]+Table2[[#This Row],[LOWSEEDWINS]]) &lt;&gt; Table2[[#This Row],[GAMENUM]], 0, 1))</f>
        <v>1</v>
      </c>
      <c r="AE10" s="63">
        <f>_xlfn.IFS(ISBLANK(Table2[[#This Row],[GAMENUM]]),"", Table2[[#This Row],[GameOver]]=0,"",Table2[[#This Row],[AAWAYSCORE]]&gt;Table2[[#This Row],[AHOMESCORE]], 1,1,0)</f>
        <v>0</v>
      </c>
      <c r="AF10" s="63">
        <f>_xlfn.IFS(ISBLANK(Table2[[#This Row],[GAMENUM]]),"",Table2[[#This Row],[GameOver]]=0,"",Table2[[#This Row],[AAWAYSCORE]]&lt;Table2[[#This Row],[AHOMESCORE]], 1,1,0)</f>
        <v>1</v>
      </c>
      <c r="AG10" s="63">
        <f>_xlfn.IFS(ISBLANK(Table2[[#This Row],[GAMENUM]]),"",Table2[[#This Row],[GameOver]]=0,"",Table2[[#This Row],[OTROUNDNUM]]&gt;0,1,1,0)</f>
        <v>1</v>
      </c>
      <c r="AH10" s="63">
        <f>_xlfn.IFS(ISBLANK(Table2[[#This Row],[GAMENUM]]),"",Table2[[#This Row],[GameOver]]=0,"",Table2[[#This Row],[AAWAYSCORE]]=0,1,1,0)</f>
        <v>0</v>
      </c>
      <c r="AI10" s="63">
        <f>_xlfn.IFS(ISBLANK(Table2[[#This Row],[GAMENUM]]),"", Table2[[#This Row],[GameOver]]=0,"",Table2[[#This Row],[AHOMESCORE]]=0,1,1,0)</f>
        <v>0</v>
      </c>
      <c r="AJ10" s="57"/>
      <c r="AK10" s="65"/>
      <c r="AL10" s="11"/>
      <c r="AM10" s="18"/>
      <c r="AN10" s="16"/>
      <c r="AO10" s="22"/>
      <c r="AP10" s="16"/>
      <c r="AQ10" s="103" t="s">
        <v>45</v>
      </c>
      <c r="AR10" s="103">
        <v>5</v>
      </c>
      <c r="AS10" s="112" t="s">
        <v>40</v>
      </c>
      <c r="AT10" s="113" t="s">
        <v>49</v>
      </c>
      <c r="AU10" s="137">
        <f>SUMIFS(Table2[Periods], Table2[SERIESCODE], Table3[[#This Row],[SeriesCode]])</f>
        <v>12.386666666666667</v>
      </c>
      <c r="AV10" s="55">
        <f>SUMIFS(Table2[TimeInSeconds], Table2[SERIESCODE], Table3[[#This Row],[SeriesCode]])</f>
        <v>14864</v>
      </c>
      <c r="AW10" s="137">
        <f>Table3[[#This Row],[SecondsPlayed]]/3600</f>
        <v>4.1288888888888886</v>
      </c>
      <c r="AX10" s="57" t="str">
        <f t="array" ref="AX10">INDEX(J:J, MATCH(2, 1/(H:H=AQ10)))</f>
        <v>COL</v>
      </c>
      <c r="AY10" s="57">
        <f t="shared" si="3"/>
        <v>0</v>
      </c>
      <c r="AZ10" s="57" t="e">
        <f t="shared" si="4"/>
        <v>#VALUE!</v>
      </c>
      <c r="BA10" s="57">
        <f t="shared" si="6"/>
        <v>5</v>
      </c>
      <c r="BB10" s="57">
        <f t="shared" si="5"/>
        <v>3</v>
      </c>
      <c r="BC10" s="57"/>
      <c r="BD10" s="57"/>
      <c r="BE10" s="57"/>
      <c r="BF10" s="57"/>
      <c r="BG10" s="57"/>
      <c r="BH10" s="65"/>
      <c r="BI10" s="11"/>
      <c r="BJ10" s="127" t="s">
        <v>40</v>
      </c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30"/>
    </row>
    <row r="11" spans="1:104" x14ac:dyDescent="0.25">
      <c r="A11" s="55" t="str">
        <f>IF(ISBLANK(Table2[[#This Row],[GAMENUM]]), "", _xlfn.TEXTJOIN("", 1, "2025030", Table2[[#This Row],[ROUNDNUM]], Table2[[#This Row],[SeriesID]], Table2[[#This Row],[GAMENUM]]))</f>
        <v>2025030162</v>
      </c>
      <c r="B11" s="63">
        <f>IF(ISBLANK(Table2[[#This Row],[GAMENUM]]), "", INDEX(Table3[SeriesID], MATCH(Table2[[#This Row],[SERIESCODE]],Table3[SeriesCode],0)))</f>
        <v>6</v>
      </c>
      <c r="C11" s="57" t="str">
        <f t="shared" si="0"/>
        <v>Monday</v>
      </c>
      <c r="D11" s="59">
        <v>46132</v>
      </c>
      <c r="E11" s="60">
        <v>0.9375</v>
      </c>
      <c r="F11" s="59" t="s">
        <v>38</v>
      </c>
      <c r="G11" s="62">
        <v>1</v>
      </c>
      <c r="H11" s="63" t="s">
        <v>39</v>
      </c>
      <c r="I11" s="62">
        <v>2</v>
      </c>
      <c r="J11" s="94" t="str">
        <f>INDEX(Table3[TopSeed],MATCH(Table2[[#This Row],[SERIESCODE]], Table3[SeriesCode], 0))</f>
        <v>DAL</v>
      </c>
      <c r="K11" s="95" t="str">
        <f>INDEX(Table3[LowSeed],MATCH(Table2[[#This Row],[SERIESCODE]], Table3[SeriesCode], 0))</f>
        <v>MIN</v>
      </c>
      <c r="L11" s="62">
        <v>1</v>
      </c>
      <c r="M11" s="62">
        <v>1</v>
      </c>
      <c r="N11" s="27" t="str">
        <f>IF(Table2[[#This Row],[GAMENUM]] = 6, Table2[[#This Row],[TOPSEED]], IF(Table2[[#This Row],[GAMENUM]] = 4, Table2[[#This Row],[TOPSEED]], IF(Table2[[#This Row],[GAMENUM]] = 3, Table2[[#This Row],[TOPSEED]], Table2[LOWSEED])))</f>
        <v>MIN</v>
      </c>
      <c r="O11" s="26" t="str">
        <f>IF(Table2[[#This Row],[GAMENUM]] = 6, Table2[[#This Row],[LOWSEED]], IF(Table2[[#This Row],[GAMENUM]] = 4, Table2[[#This Row],[LOWSEED]], IF(Table2[[#This Row],[GAMENUM]] = 3, Table2[[#This Row],[LOWSEED]], Table2[TOPSEED])))</f>
        <v>DAL</v>
      </c>
      <c r="P11" s="27" t="str">
        <f t="shared" si="1"/>
        <v>MIN</v>
      </c>
      <c r="Q11" s="62">
        <v>3</v>
      </c>
      <c r="R11" s="62">
        <v>2</v>
      </c>
      <c r="S11" s="63" t="s">
        <v>154</v>
      </c>
      <c r="T11" s="59">
        <v>46132</v>
      </c>
      <c r="U11" s="62">
        <v>2</v>
      </c>
      <c r="V11" s="62">
        <v>4</v>
      </c>
      <c r="W11" s="62">
        <v>0</v>
      </c>
      <c r="X11" s="62">
        <v>3600</v>
      </c>
      <c r="Y11" s="63">
        <f>Table2[[#This Row],[TimeInSeconds]]/1200</f>
        <v>3</v>
      </c>
      <c r="Z11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11" s="26" t="str">
        <f t="shared" si="2"/>
        <v>DAL</v>
      </c>
      <c r="AB11" s="63">
        <f>IF(ISBLANK(Table2[[#This Row],[OTROUNDNUM]]), "", Table2[[#This Row],[PAWAYSCORE]]-Table2[[#This Row],[AAWAYSCORE]])</f>
        <v>1</v>
      </c>
      <c r="AC11" s="63">
        <f>IF(ISBLANK(Table2[[#This Row],[OTROUNDNUM]]), "", Table2[[#This Row],[PHOMESCORE]]-Table2[[#This Row],[AHOMESCORE]])</f>
        <v>-2</v>
      </c>
      <c r="AD11" s="63">
        <f>_xlfn.IFS(ISBLANK(Table2[[#This Row],[GAMENUM]]), " ", 1, IF((Table2[[#This Row],[TOPSEEDWINS]]+Table2[[#This Row],[LOWSEEDWINS]]) &lt;&gt; Table2[[#This Row],[GAMENUM]], 0, 1))</f>
        <v>1</v>
      </c>
      <c r="AE11" s="63">
        <f>_xlfn.IFS(ISBLANK(Table2[[#This Row],[GAMENUM]]),"", Table2[[#This Row],[GameOver]]=0,"",Table2[[#This Row],[AAWAYSCORE]]&gt;Table2[[#This Row],[AHOMESCORE]], 1,1,0)</f>
        <v>0</v>
      </c>
      <c r="AF11" s="63">
        <f>_xlfn.IFS(ISBLANK(Table2[[#This Row],[GAMENUM]]),"",Table2[[#This Row],[GameOver]]=0,"",Table2[[#This Row],[AAWAYSCORE]]&lt;Table2[[#This Row],[AHOMESCORE]], 1,1,0)</f>
        <v>1</v>
      </c>
      <c r="AG11" s="63">
        <f>_xlfn.IFS(ISBLANK(Table2[[#This Row],[GAMENUM]]),"",Table2[[#This Row],[GameOver]]=0,"",Table2[[#This Row],[OTROUNDNUM]]&gt;0,1,1,0)</f>
        <v>0</v>
      </c>
      <c r="AH11" s="63">
        <f>_xlfn.IFS(ISBLANK(Table2[[#This Row],[GAMENUM]]),"",Table2[[#This Row],[GameOver]]=0,"",Table2[[#This Row],[AAWAYSCORE]]=0,1,1,0)</f>
        <v>0</v>
      </c>
      <c r="AI11" s="63">
        <f>_xlfn.IFS(ISBLANK(Table2[[#This Row],[GAMENUM]]),"", Table2[[#This Row],[GameOver]]=0,"",Table2[[#This Row],[AHOMESCORE]]=0,1,1,0)</f>
        <v>0</v>
      </c>
      <c r="AJ11" s="57"/>
      <c r="AK11" s="65"/>
      <c r="AL11" s="11"/>
      <c r="AM11" s="11"/>
      <c r="AN11" s="16"/>
      <c r="AO11" s="11"/>
      <c r="AP11" s="11"/>
      <c r="AQ11" s="114" t="s">
        <v>50</v>
      </c>
      <c r="AR11" s="114">
        <v>2</v>
      </c>
      <c r="AS11" s="37" t="s">
        <v>18</v>
      </c>
      <c r="AT11" s="35" t="s">
        <v>169</v>
      </c>
      <c r="AU11" s="137">
        <f>SUMIFS(Table2[Periods], Table2[SERIESCODE], Table3[[#This Row],[SeriesCode]])</f>
        <v>13.220833333333333</v>
      </c>
      <c r="AV11" s="55">
        <f>SUMIFS(Table2[TimeInSeconds], Table2[SERIESCODE], Table3[[#This Row],[SeriesCode]])</f>
        <v>15865</v>
      </c>
      <c r="AW11" s="137">
        <f>Table3[[#This Row],[SecondsPlayed]]/3600</f>
        <v>4.4069444444444441</v>
      </c>
      <c r="AX11" t="str">
        <f t="array" ref="AX11">INDEX(J:J, MATCH(2, 1/(H:H=AQ11)))</f>
        <v>CAR</v>
      </c>
      <c r="AY11" s="57">
        <f t="shared" si="3"/>
        <v>0</v>
      </c>
      <c r="AZ11" t="e">
        <f t="shared" si="4"/>
        <v>#VALUE!</v>
      </c>
      <c r="BA11" s="57">
        <f t="shared" ref="BA11:BB14" si="7">SUMIFS($W$2:$W$106,$P$2:$P$106,AS11,$G$2:$G$106,2) + SUMIFS($V$2:$V$106,$O$2:$O$106,AS11,$G$2:$G$106,2)</f>
        <v>8</v>
      </c>
      <c r="BB11" s="57">
        <f t="shared" si="7"/>
        <v>3</v>
      </c>
      <c r="BC11" s="57"/>
      <c r="BD11" s="57"/>
      <c r="BE11" s="57"/>
      <c r="BF11" s="57"/>
      <c r="BG11" s="57"/>
      <c r="BH11" s="65"/>
      <c r="BI11" s="11"/>
      <c r="BJ11" s="128" t="s">
        <v>49</v>
      </c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30"/>
    </row>
    <row r="12" spans="1:104" x14ac:dyDescent="0.25">
      <c r="A12" s="55" t="str">
        <f>IF(ISBLANK(Table2[[#This Row],[GAMENUM]]), "", _xlfn.TEXTJOIN("", 1, "2025030", Table2[[#This Row],[ROUNDNUM]], Table2[[#This Row],[SeriesID]], Table2[[#This Row],[GAMENUM]]))</f>
        <v>2025030181</v>
      </c>
      <c r="B12" s="63">
        <f>IF(ISBLANK(Table2[[#This Row],[GAMENUM]]), "", INDEX(Table3[SeriesID], MATCH(Table2[[#This Row],[SERIESCODE]],Table3[SeriesCode],0)))</f>
        <v>8</v>
      </c>
      <c r="C12" s="57" t="str">
        <f t="shared" si="0"/>
        <v>Monday</v>
      </c>
      <c r="D12" s="59">
        <v>46132</v>
      </c>
      <c r="E12" s="60">
        <v>0.95833333333333337</v>
      </c>
      <c r="F12" s="59" t="s">
        <v>38</v>
      </c>
      <c r="G12" s="62">
        <v>1</v>
      </c>
      <c r="H12" s="63" t="s">
        <v>44</v>
      </c>
      <c r="I12" s="62">
        <v>1</v>
      </c>
      <c r="J12" s="85" t="str">
        <f>INDEX(Table3[TopSeed],MATCH(Table2[[#This Row],[SERIESCODE]], Table3[SeriesCode], 0))</f>
        <v>EDM</v>
      </c>
      <c r="K12" s="86" t="str">
        <f>INDEX(Table3[LowSeed],MATCH(Table2[[#This Row],[SERIESCODE]], Table3[SeriesCode], 0))</f>
        <v>ANA</v>
      </c>
      <c r="L12" s="62">
        <v>1</v>
      </c>
      <c r="M12" s="62">
        <v>0</v>
      </c>
      <c r="N12" s="87" t="str">
        <f>IF(Table2[[#This Row],[GAMENUM]] = 6, Table2[[#This Row],[TOPSEED]], IF(Table2[[#This Row],[GAMENUM]] = 4, Table2[[#This Row],[TOPSEED]], IF(Table2[[#This Row],[GAMENUM]] = 3, Table2[[#This Row],[TOPSEED]], Table2[LOWSEED])))</f>
        <v>ANA</v>
      </c>
      <c r="O12" s="67" t="str">
        <f>IF(Table2[[#This Row],[GAMENUM]] = 6, Table2[[#This Row],[LOWSEED]], IF(Table2[[#This Row],[GAMENUM]] = 4, Table2[[#This Row],[LOWSEED]], IF(Table2[[#This Row],[GAMENUM]] = 3, Table2[[#This Row],[LOWSEED]], Table2[TOPSEED])))</f>
        <v>EDM</v>
      </c>
      <c r="P12" s="67" t="str">
        <f t="shared" si="1"/>
        <v>EDM</v>
      </c>
      <c r="Q12" s="62">
        <v>3</v>
      </c>
      <c r="R12" s="62">
        <v>4</v>
      </c>
      <c r="S12" s="63" t="s">
        <v>155</v>
      </c>
      <c r="T12" s="59">
        <v>46132</v>
      </c>
      <c r="U12" s="62">
        <v>3</v>
      </c>
      <c r="V12" s="62">
        <v>4</v>
      </c>
      <c r="W12" s="62">
        <v>0</v>
      </c>
      <c r="X12" s="62">
        <v>3600</v>
      </c>
      <c r="Y12" s="63">
        <f>Table2[[#This Row],[TimeInSeconds]]/1200</f>
        <v>3</v>
      </c>
      <c r="Z12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12" s="67" t="str">
        <f t="shared" si="2"/>
        <v>EDM</v>
      </c>
      <c r="AB12" s="63">
        <f>IF(ISBLANK(Table2[[#This Row],[OTROUNDNUM]]), "", Table2[[#This Row],[PAWAYSCORE]]-Table2[[#This Row],[AAWAYSCORE]])</f>
        <v>0</v>
      </c>
      <c r="AC12" s="63">
        <f>IF(ISBLANK(Table2[[#This Row],[OTROUNDNUM]]), "", Table2[[#This Row],[PHOMESCORE]]-Table2[[#This Row],[AHOMESCORE]])</f>
        <v>0</v>
      </c>
      <c r="AD12" s="63">
        <f>_xlfn.IFS(ISBLANK(Table2[[#This Row],[GAMENUM]]), " ", 1, IF((Table2[[#This Row],[TOPSEEDWINS]]+Table2[[#This Row],[LOWSEEDWINS]]) &lt;&gt; Table2[[#This Row],[GAMENUM]], 0, 1))</f>
        <v>1</v>
      </c>
      <c r="AE12" s="63">
        <f>_xlfn.IFS(ISBLANK(Table2[[#This Row],[GAMENUM]]),"", Table2[[#This Row],[GameOver]]=0,"",Table2[[#This Row],[AAWAYSCORE]]&gt;Table2[[#This Row],[AHOMESCORE]], 1,1,0)</f>
        <v>0</v>
      </c>
      <c r="AF12" s="63">
        <f>_xlfn.IFS(ISBLANK(Table2[[#This Row],[GAMENUM]]),"",Table2[[#This Row],[GameOver]]=0,"",Table2[[#This Row],[AAWAYSCORE]]&lt;Table2[[#This Row],[AHOMESCORE]], 1,1,0)</f>
        <v>1</v>
      </c>
      <c r="AG12" s="63">
        <f>_xlfn.IFS(ISBLANK(Table2[[#This Row],[GAMENUM]]),"",Table2[[#This Row],[GameOver]]=0,"",Table2[[#This Row],[OTROUNDNUM]]&gt;0,1,1,0)</f>
        <v>0</v>
      </c>
      <c r="AH12" s="63">
        <f>_xlfn.IFS(ISBLANK(Table2[[#This Row],[GAMENUM]]),"",Table2[[#This Row],[GameOver]]=0,"",Table2[[#This Row],[AAWAYSCORE]]=0,1,1,0)</f>
        <v>0</v>
      </c>
      <c r="AI12" s="63">
        <f>_xlfn.IFS(ISBLANK(Table2[[#This Row],[GAMENUM]]),"", Table2[[#This Row],[GameOver]]=0,"",Table2[[#This Row],[AHOMESCORE]]=0,1,1,0)</f>
        <v>0</v>
      </c>
      <c r="AJ12" s="57"/>
      <c r="AK12" s="65"/>
      <c r="AL12" s="11"/>
      <c r="AM12" s="11"/>
      <c r="AN12" s="16"/>
      <c r="AO12" s="11"/>
      <c r="AP12" s="11"/>
      <c r="AQ12" s="114" t="s">
        <v>51</v>
      </c>
      <c r="AR12" s="114">
        <v>1</v>
      </c>
      <c r="AS12" s="104" t="s">
        <v>170</v>
      </c>
      <c r="AT12" s="107" t="s">
        <v>158</v>
      </c>
      <c r="AU12" s="137">
        <f>SUMIFS(Table2[Periods], Table2[SERIESCODE], Table3[[#This Row],[SeriesCode]])</f>
        <v>21.568333333333335</v>
      </c>
      <c r="AV12" s="55">
        <f>SUMIFS(Table2[TimeInSeconds], Table2[SERIESCODE], Table3[[#This Row],[SeriesCode]])</f>
        <v>25882</v>
      </c>
      <c r="AW12" s="137">
        <f>Table3[[#This Row],[SecondsPlayed]]/3600</f>
        <v>7.1894444444444447</v>
      </c>
      <c r="AX12" t="str">
        <f t="array" ref="AX12">INDEX(J:J, MATCH(2, 1/(H:H=AQ12)))</f>
        <v>BUF</v>
      </c>
      <c r="AY12" s="57">
        <f t="shared" si="3"/>
        <v>0</v>
      </c>
      <c r="AZ12" t="e">
        <f t="shared" si="4"/>
        <v>#VALUE!</v>
      </c>
      <c r="BA12" s="57">
        <f t="shared" si="7"/>
        <v>12</v>
      </c>
      <c r="BB12" s="57">
        <f t="shared" si="7"/>
        <v>11</v>
      </c>
      <c r="BC12" s="57"/>
      <c r="BD12" s="57"/>
      <c r="BE12" s="57"/>
      <c r="BF12" s="57"/>
      <c r="BG12" s="57"/>
      <c r="BH12" s="65"/>
      <c r="BI12" s="11"/>
      <c r="BJ12" s="129" t="s">
        <v>46</v>
      </c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30"/>
    </row>
    <row r="13" spans="1:104" x14ac:dyDescent="0.25">
      <c r="A13" s="55" t="str">
        <f>IF(ISBLANK(Table2[[#This Row],[GAMENUM]]), "", _xlfn.TEXTJOIN("", 1, "2025030", Table2[[#This Row],[ROUNDNUM]], Table2[[#This Row],[SeriesID]], Table2[[#This Row],[GAMENUM]]))</f>
        <v>2025030122</v>
      </c>
      <c r="B13" s="63">
        <f>IF(ISBLANK(Table2[[#This Row],[GAMENUM]]), "", INDEX(Table3[SeriesID], MATCH(Table2[[#This Row],[SERIESCODE]],Table3[SeriesCode],0)))</f>
        <v>2</v>
      </c>
      <c r="C13" s="57" t="str">
        <f t="shared" si="0"/>
        <v>Tuesday</v>
      </c>
      <c r="D13" s="59">
        <v>46133</v>
      </c>
      <c r="E13" s="60">
        <v>0.83333333333333337</v>
      </c>
      <c r="F13" s="59" t="s">
        <v>16</v>
      </c>
      <c r="G13" s="62">
        <v>1</v>
      </c>
      <c r="H13" s="63" t="s">
        <v>31</v>
      </c>
      <c r="I13" s="62">
        <v>2</v>
      </c>
      <c r="J13" s="96" t="str">
        <f>INDEX(Table3[TopSeed],MATCH(Table2[[#This Row],[SERIESCODE]], Table3[SeriesCode], 0))</f>
        <v>TBL</v>
      </c>
      <c r="K13" s="97" t="str">
        <f>INDEX(Table3[LowSeed],MATCH(Table2[[#This Row],[SERIESCODE]], Table3[SeriesCode], 0))</f>
        <v>MTL</v>
      </c>
      <c r="L13" s="62">
        <v>1</v>
      </c>
      <c r="M13" s="62">
        <v>1</v>
      </c>
      <c r="N13" s="79" t="str">
        <f>IF(Table2[[#This Row],[GAMENUM]] = 6, Table2[[#This Row],[TOPSEED]], IF(Table2[[#This Row],[GAMENUM]] = 4, Table2[[#This Row],[TOPSEED]], IF(Table2[[#This Row],[GAMENUM]] = 3, Table2[[#This Row],[TOPSEED]], Table2[LOWSEED])))</f>
        <v>MTL</v>
      </c>
      <c r="O13" s="77" t="str">
        <f>IF(Table2[[#This Row],[GAMENUM]] = 6, Table2[[#This Row],[LOWSEED]], IF(Table2[[#This Row],[GAMENUM]] = 4, Table2[[#This Row],[LOWSEED]], IF(Table2[[#This Row],[GAMENUM]] = 3, Table2[[#This Row],[LOWSEED]], Table2[TOPSEED])))</f>
        <v>TBL</v>
      </c>
      <c r="P13" s="77" t="str">
        <f t="shared" si="1"/>
        <v>TBL</v>
      </c>
      <c r="Q13" s="62">
        <v>1</v>
      </c>
      <c r="R13" s="62">
        <v>2</v>
      </c>
      <c r="S13" s="63" t="s">
        <v>154</v>
      </c>
      <c r="T13" s="59">
        <v>46133</v>
      </c>
      <c r="U13" s="62">
        <v>2</v>
      </c>
      <c r="V13" s="62">
        <v>3</v>
      </c>
      <c r="W13" s="62">
        <v>1</v>
      </c>
      <c r="X13" s="62">
        <v>4368</v>
      </c>
      <c r="Y13" s="63">
        <f>Table2[[#This Row],[TimeInSeconds]]/1200</f>
        <v>3.64</v>
      </c>
      <c r="Z13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13" s="77" t="str">
        <f t="shared" si="2"/>
        <v>TBL</v>
      </c>
      <c r="AB13" s="63">
        <f>IF(ISBLANK(Table2[[#This Row],[OTROUNDNUM]]), "", Table2[[#This Row],[PAWAYSCORE]]-Table2[[#This Row],[AAWAYSCORE]])</f>
        <v>-1</v>
      </c>
      <c r="AC13" s="63">
        <f>IF(ISBLANK(Table2[[#This Row],[OTROUNDNUM]]), "", Table2[[#This Row],[PHOMESCORE]]-Table2[[#This Row],[AHOMESCORE]])</f>
        <v>-1</v>
      </c>
      <c r="AD13" s="63">
        <f>_xlfn.IFS(ISBLANK(Table2[[#This Row],[GAMENUM]]), " ", 1, IF((Table2[[#This Row],[TOPSEEDWINS]]+Table2[[#This Row],[LOWSEEDWINS]]) &lt;&gt; Table2[[#This Row],[GAMENUM]], 0, 1))</f>
        <v>1</v>
      </c>
      <c r="AE13" s="63">
        <f>_xlfn.IFS(ISBLANK(Table2[[#This Row],[GAMENUM]]),"", Table2[[#This Row],[GameOver]]=0,"",Table2[[#This Row],[AAWAYSCORE]]&gt;Table2[[#This Row],[AHOMESCORE]], 1,1,0)</f>
        <v>0</v>
      </c>
      <c r="AF13" s="63">
        <f>_xlfn.IFS(ISBLANK(Table2[[#This Row],[GAMENUM]]),"",Table2[[#This Row],[GameOver]]=0,"",Table2[[#This Row],[AAWAYSCORE]]&lt;Table2[[#This Row],[AHOMESCORE]], 1,1,0)</f>
        <v>1</v>
      </c>
      <c r="AG13" s="63">
        <f>_xlfn.IFS(ISBLANK(Table2[[#This Row],[GAMENUM]]),"",Table2[[#This Row],[GameOver]]=0,"",Table2[[#This Row],[OTROUNDNUM]]&gt;0,1,1,0)</f>
        <v>1</v>
      </c>
      <c r="AH13" s="63">
        <f>_xlfn.IFS(ISBLANK(Table2[[#This Row],[GAMENUM]]),"",Table2[[#This Row],[GameOver]]=0,"",Table2[[#This Row],[AAWAYSCORE]]=0,1,1,0)</f>
        <v>0</v>
      </c>
      <c r="AI13" s="63">
        <f>_xlfn.IFS(ISBLANK(Table2[[#This Row],[GAMENUM]]),"", Table2[[#This Row],[GameOver]]=0,"",Table2[[#This Row],[AHOMESCORE]]=0,1,1,0)</f>
        <v>0</v>
      </c>
      <c r="AJ13" s="57"/>
      <c r="AK13" s="65"/>
      <c r="AL13" s="11"/>
      <c r="AM13" s="11"/>
      <c r="AN13" s="16"/>
      <c r="AO13" s="11"/>
      <c r="AP13" s="11"/>
      <c r="AQ13" s="114" t="s">
        <v>52</v>
      </c>
      <c r="AR13" s="114">
        <v>3</v>
      </c>
      <c r="AS13" s="112" t="s">
        <v>40</v>
      </c>
      <c r="AT13" s="41" t="s">
        <v>157</v>
      </c>
      <c r="AU13" s="137">
        <f>SUMIFS(Table2[Periods], Table2[SERIESCODE], Table3[[#This Row],[SeriesCode]])</f>
        <v>15.193333333333333</v>
      </c>
      <c r="AV13" s="55">
        <f>SUMIFS(Table2[TimeInSeconds], Table2[SERIESCODE], Table3[[#This Row],[SeriesCode]])</f>
        <v>18232</v>
      </c>
      <c r="AW13" s="137">
        <f>Table3[[#This Row],[SecondsPlayed]]/3600</f>
        <v>5.0644444444444447</v>
      </c>
      <c r="AX13" t="str">
        <f t="array" ref="AX13">INDEX(J:J, MATCH(2, 1/(H:H=AQ13)))</f>
        <v>COL</v>
      </c>
      <c r="AY13" s="57">
        <f t="shared" si="3"/>
        <v>0</v>
      </c>
      <c r="AZ13" t="e">
        <f t="shared" si="4"/>
        <v>#VALUE!</v>
      </c>
      <c r="BA13" s="57">
        <f t="shared" si="7"/>
        <v>19</v>
      </c>
      <c r="BB13" s="57">
        <f t="shared" si="7"/>
        <v>7</v>
      </c>
      <c r="BC13" s="57"/>
      <c r="BD13" s="57"/>
      <c r="BE13" s="57"/>
      <c r="BF13" s="57"/>
      <c r="BG13" s="57"/>
      <c r="BH13" s="65"/>
      <c r="BI13" s="11"/>
      <c r="BJ13" s="130" t="s">
        <v>157</v>
      </c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30"/>
    </row>
    <row r="14" spans="1:104" x14ac:dyDescent="0.25">
      <c r="A14" s="55" t="str">
        <f>IF(ISBLANK(Table2[[#This Row],[GAMENUM]]), "", _xlfn.TEXTJOIN("", 1, "2025030", Table2[[#This Row],[ROUNDNUM]], Table2[[#This Row],[SeriesID]], Table2[[#This Row],[GAMENUM]]))</f>
        <v>2025030112</v>
      </c>
      <c r="B14" s="63">
        <f>IF(ISBLANK(Table2[[#This Row],[GAMENUM]]), "", INDEX(Table3[SeriesID], MATCH(Table2[[#This Row],[SERIESCODE]],Table3[SeriesCode],0)))</f>
        <v>1</v>
      </c>
      <c r="C14" s="57" t="str">
        <f t="shared" si="0"/>
        <v>Tuesday</v>
      </c>
      <c r="D14" s="59">
        <v>46133</v>
      </c>
      <c r="E14" s="60">
        <v>0.85416666666666663</v>
      </c>
      <c r="F14" s="59" t="s">
        <v>16</v>
      </c>
      <c r="G14" s="62">
        <v>1</v>
      </c>
      <c r="H14" s="63" t="s">
        <v>33</v>
      </c>
      <c r="I14" s="62">
        <v>2</v>
      </c>
      <c r="J14" s="78" t="str">
        <f>INDEX(Table3[TopSeed],MATCH(Table2[[#This Row],[SERIESCODE]], Table3[SeriesCode], 0))</f>
        <v>BUF</v>
      </c>
      <c r="K14" s="80" t="str">
        <f>INDEX(Table3[LowSeed],MATCH(Table2[[#This Row],[SERIESCODE]], Table3[SeriesCode], 0))</f>
        <v>BOS</v>
      </c>
      <c r="L14" s="62">
        <v>1</v>
      </c>
      <c r="M14" s="62">
        <v>1</v>
      </c>
      <c r="N14" s="75" t="str">
        <f>IF(Table2[[#This Row],[GAMENUM]] = 6, Table2[[#This Row],[TOPSEED]], IF(Table2[[#This Row],[GAMENUM]] = 4, Table2[[#This Row],[TOPSEED]], IF(Table2[[#This Row],[GAMENUM]] = 3, Table2[[#This Row],[TOPSEED]], Table2[LOWSEED])))</f>
        <v>BOS</v>
      </c>
      <c r="O14" s="73" t="str">
        <f>IF(Table2[[#This Row],[GAMENUM]] = 6, Table2[[#This Row],[LOWSEED]], IF(Table2[[#This Row],[GAMENUM]] = 4, Table2[[#This Row],[LOWSEED]], IF(Table2[[#This Row],[GAMENUM]] = 3, Table2[[#This Row],[LOWSEED]], Table2[TOPSEED])))</f>
        <v>BUF</v>
      </c>
      <c r="P14" s="73" t="str">
        <f t="shared" si="1"/>
        <v>BUF</v>
      </c>
      <c r="Q14" s="62">
        <v>2</v>
      </c>
      <c r="R14" s="62">
        <v>3</v>
      </c>
      <c r="S14" s="63" t="s">
        <v>155</v>
      </c>
      <c r="T14" s="59">
        <v>46133</v>
      </c>
      <c r="U14" s="62">
        <v>4</v>
      </c>
      <c r="V14" s="62">
        <v>2</v>
      </c>
      <c r="W14" s="62">
        <v>0</v>
      </c>
      <c r="X14" s="62">
        <v>3600</v>
      </c>
      <c r="Y14" s="63">
        <f>Table2[[#This Row],[TimeInSeconds]]/1200</f>
        <v>3</v>
      </c>
      <c r="Z14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14" s="75" t="str">
        <f t="shared" si="2"/>
        <v>BOS</v>
      </c>
      <c r="AB14" s="63">
        <f>IF(ISBLANK(Table2[[#This Row],[OTROUNDNUM]]), "", Table2[[#This Row],[PAWAYSCORE]]-Table2[[#This Row],[AAWAYSCORE]])</f>
        <v>-2</v>
      </c>
      <c r="AC14" s="63">
        <f>IF(ISBLANK(Table2[[#This Row],[OTROUNDNUM]]), "", Table2[[#This Row],[PHOMESCORE]]-Table2[[#This Row],[AHOMESCORE]])</f>
        <v>1</v>
      </c>
      <c r="AD14" s="63">
        <f>_xlfn.IFS(ISBLANK(Table2[[#This Row],[GAMENUM]]), " ", 1, IF((Table2[[#This Row],[TOPSEEDWINS]]+Table2[[#This Row],[LOWSEEDWINS]]) &lt;&gt; Table2[[#This Row],[GAMENUM]], 0, 1))</f>
        <v>1</v>
      </c>
      <c r="AE14" s="63">
        <f>_xlfn.IFS(ISBLANK(Table2[[#This Row],[GAMENUM]]),"", Table2[[#This Row],[GameOver]]=0,"",Table2[[#This Row],[AAWAYSCORE]]&gt;Table2[[#This Row],[AHOMESCORE]], 1,1,0)</f>
        <v>1</v>
      </c>
      <c r="AF14" s="63">
        <f>_xlfn.IFS(ISBLANK(Table2[[#This Row],[GAMENUM]]),"",Table2[[#This Row],[GameOver]]=0,"",Table2[[#This Row],[AAWAYSCORE]]&lt;Table2[[#This Row],[AHOMESCORE]], 1,1,0)</f>
        <v>0</v>
      </c>
      <c r="AG14" s="63">
        <f>_xlfn.IFS(ISBLANK(Table2[[#This Row],[GAMENUM]]),"",Table2[[#This Row],[GameOver]]=0,"",Table2[[#This Row],[OTROUNDNUM]]&gt;0,1,1,0)</f>
        <v>0</v>
      </c>
      <c r="AH14" s="63">
        <f>_xlfn.IFS(ISBLANK(Table2[[#This Row],[GAMENUM]]),"",Table2[[#This Row],[GameOver]]=0,"",Table2[[#This Row],[AAWAYSCORE]]=0,1,1,0)</f>
        <v>0</v>
      </c>
      <c r="AI14" s="63">
        <f>_xlfn.IFS(ISBLANK(Table2[[#This Row],[GAMENUM]]),"", Table2[[#This Row],[GameOver]]=0,"",Table2[[#This Row],[AHOMESCORE]]=0,1,1,0)</f>
        <v>0</v>
      </c>
      <c r="AJ14" s="57"/>
      <c r="AK14" s="65"/>
      <c r="AL14" s="11"/>
      <c r="AM14" s="11"/>
      <c r="AN14" s="16"/>
      <c r="AO14" s="11"/>
      <c r="AP14" s="11"/>
      <c r="AQ14" s="114" t="s">
        <v>53</v>
      </c>
      <c r="AR14" s="114">
        <v>4</v>
      </c>
      <c r="AS14" s="108" t="s">
        <v>47</v>
      </c>
      <c r="AT14" s="111" t="s">
        <v>173</v>
      </c>
      <c r="AU14" s="137">
        <f>SUMIFS(Table2[Periods], Table2[SERIESCODE], Table3[[#This Row],[SeriesCode]])</f>
        <v>18.208333333333336</v>
      </c>
      <c r="AV14" s="55">
        <f>SUMIFS(Table2[TimeInSeconds], Table2[SERIESCODE], Table3[[#This Row],[SeriesCode]])</f>
        <v>21850</v>
      </c>
      <c r="AW14" s="137">
        <f>Table3[[#This Row],[SecondsPlayed]]/3600</f>
        <v>6.0694444444444446</v>
      </c>
      <c r="AX14" t="str">
        <f t="array" ref="AX14">INDEX(J:J, MATCH(2, 1/(H:H=AQ14)))</f>
        <v>VGK</v>
      </c>
      <c r="AY14" s="57">
        <f t="shared" si="3"/>
        <v>0</v>
      </c>
      <c r="AZ14" t="e">
        <f t="shared" si="4"/>
        <v>#VALUE!</v>
      </c>
      <c r="BA14" s="57">
        <f t="shared" si="7"/>
        <v>8</v>
      </c>
      <c r="BB14" s="57">
        <f t="shared" si="7"/>
        <v>7</v>
      </c>
      <c r="BC14" s="57"/>
      <c r="BD14" s="57"/>
      <c r="BE14" s="57"/>
      <c r="BF14" s="57"/>
      <c r="BG14" s="57"/>
      <c r="BH14" s="65"/>
      <c r="BI14" s="11"/>
      <c r="BJ14" s="131" t="s">
        <v>48</v>
      </c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30"/>
    </row>
    <row r="15" spans="1:104" x14ac:dyDescent="0.25">
      <c r="A15" s="55" t="str">
        <f>IF(ISBLANK(Table2[[#This Row],[GAMENUM]]), "", _xlfn.TEXTJOIN("", 1, "2025030", Table2[[#This Row],[ROUNDNUM]], Table2[[#This Row],[SeriesID]], Table2[[#This Row],[GAMENUM]]))</f>
        <v>2025030172</v>
      </c>
      <c r="B15" s="63">
        <f>IF(ISBLANK(Table2[[#This Row],[GAMENUM]]), "", INDEX(Table3[SeriesID], MATCH(Table2[[#This Row],[SERIESCODE]],Table3[SeriesCode],0)))</f>
        <v>7</v>
      </c>
      <c r="C15" s="57" t="str">
        <f t="shared" si="0"/>
        <v>Tuesday</v>
      </c>
      <c r="D15" s="59">
        <v>46133</v>
      </c>
      <c r="E15" s="60">
        <v>0.9375</v>
      </c>
      <c r="F15" s="59" t="s">
        <v>38</v>
      </c>
      <c r="G15" s="62">
        <v>1</v>
      </c>
      <c r="H15" s="63" t="s">
        <v>42</v>
      </c>
      <c r="I15" s="62">
        <v>2</v>
      </c>
      <c r="J15" s="81" t="str">
        <f>INDEX(Table3[TopSeed],MATCH(Table2[[#This Row],[SERIESCODE]], Table3[SeriesCode], 0))</f>
        <v>VGK</v>
      </c>
      <c r="K15" s="82" t="str">
        <f>INDEX(Table3[LowSeed],MATCH(Table2[[#This Row],[SERIESCODE]], Table3[SeriesCode], 0))</f>
        <v>UTA</v>
      </c>
      <c r="L15" s="62">
        <v>1</v>
      </c>
      <c r="M15" s="62">
        <v>1</v>
      </c>
      <c r="N15" s="83" t="str">
        <f>IF(Table2[[#This Row],[GAMENUM]] = 6, Table2[[#This Row],[TOPSEED]], IF(Table2[[#This Row],[GAMENUM]] = 4, Table2[[#This Row],[TOPSEED]], IF(Table2[[#This Row],[GAMENUM]] = 3, Table2[[#This Row],[TOPSEED]], Table2[LOWSEED])))</f>
        <v>UTA</v>
      </c>
      <c r="O15" s="84" t="str">
        <f>IF(Table2[[#This Row],[GAMENUM]] = 6, Table2[[#This Row],[LOWSEED]], IF(Table2[[#This Row],[GAMENUM]] = 4, Table2[[#This Row],[LOWSEED]], IF(Table2[[#This Row],[GAMENUM]] = 3, Table2[[#This Row],[LOWSEED]], Table2[TOPSEED])))</f>
        <v>VGK</v>
      </c>
      <c r="P15" s="83" t="str">
        <f t="shared" si="1"/>
        <v>UTA</v>
      </c>
      <c r="Q15" s="62">
        <v>3</v>
      </c>
      <c r="R15" s="62">
        <v>2</v>
      </c>
      <c r="S15" s="63" t="s">
        <v>155</v>
      </c>
      <c r="T15" s="59">
        <v>46133</v>
      </c>
      <c r="U15" s="62">
        <v>3</v>
      </c>
      <c r="V15" s="62">
        <v>2</v>
      </c>
      <c r="W15" s="62">
        <v>0</v>
      </c>
      <c r="X15" s="62">
        <v>3600</v>
      </c>
      <c r="Y15" s="63">
        <f>Table2[[#This Row],[TimeInSeconds]]/1200</f>
        <v>3</v>
      </c>
      <c r="Z15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15" s="83" t="str">
        <f t="shared" si="2"/>
        <v>UTA</v>
      </c>
      <c r="AB15" s="63">
        <f>IF(ISBLANK(Table2[[#This Row],[OTROUNDNUM]]), "", Table2[[#This Row],[PAWAYSCORE]]-Table2[[#This Row],[AAWAYSCORE]])</f>
        <v>0</v>
      </c>
      <c r="AC15" s="63">
        <f>IF(ISBLANK(Table2[[#This Row],[OTROUNDNUM]]), "", Table2[[#This Row],[PHOMESCORE]]-Table2[[#This Row],[AHOMESCORE]])</f>
        <v>0</v>
      </c>
      <c r="AD15" s="63">
        <f>_xlfn.IFS(ISBLANK(Table2[[#This Row],[GAMENUM]]), " ", 1, IF((Table2[[#This Row],[TOPSEEDWINS]]+Table2[[#This Row],[LOWSEEDWINS]]) &lt;&gt; Table2[[#This Row],[GAMENUM]], 0, 1))</f>
        <v>1</v>
      </c>
      <c r="AE15" s="63">
        <f>_xlfn.IFS(ISBLANK(Table2[[#This Row],[GAMENUM]]),"", Table2[[#This Row],[GameOver]]=0,"",Table2[[#This Row],[AAWAYSCORE]]&gt;Table2[[#This Row],[AHOMESCORE]], 1,1,0)</f>
        <v>1</v>
      </c>
      <c r="AF15" s="63">
        <f>_xlfn.IFS(ISBLANK(Table2[[#This Row],[GAMENUM]]),"",Table2[[#This Row],[GameOver]]=0,"",Table2[[#This Row],[AAWAYSCORE]]&lt;Table2[[#This Row],[AHOMESCORE]], 1,1,0)</f>
        <v>0</v>
      </c>
      <c r="AG15" s="63">
        <f>_xlfn.IFS(ISBLANK(Table2[[#This Row],[GAMENUM]]),"",Table2[[#This Row],[GameOver]]=0,"",Table2[[#This Row],[OTROUNDNUM]]&gt;0,1,1,0)</f>
        <v>0</v>
      </c>
      <c r="AH15" s="63">
        <f>_xlfn.IFS(ISBLANK(Table2[[#This Row],[GAMENUM]]),"",Table2[[#This Row],[GameOver]]=0,"",Table2[[#This Row],[AAWAYSCORE]]=0,1,1,0)</f>
        <v>0</v>
      </c>
      <c r="AI15" s="63">
        <f>_xlfn.IFS(ISBLANK(Table2[[#This Row],[GAMENUM]]),"", Table2[[#This Row],[GameOver]]=0,"",Table2[[#This Row],[AHOMESCORE]]=0,1,1,0)</f>
        <v>0</v>
      </c>
      <c r="AJ15" s="57"/>
      <c r="AK15" s="65"/>
      <c r="AL15" s="11"/>
      <c r="AM15" s="11"/>
      <c r="AN15" s="16"/>
      <c r="AO15" s="11"/>
      <c r="AP15" s="11"/>
      <c r="AQ15" s="114" t="s">
        <v>54</v>
      </c>
      <c r="AR15" s="114">
        <v>1</v>
      </c>
      <c r="AS15" s="119" t="s">
        <v>18</v>
      </c>
      <c r="AT15" s="124" t="s">
        <v>158</v>
      </c>
      <c r="AU15" s="138">
        <f>SUMIFS(Table2[Periods], Table2[SERIESCODE], Table3[[#This Row],[SeriesCode]])</f>
        <v>15.879166666666666</v>
      </c>
      <c r="AV15" s="6">
        <f>SUMIFS(Table2[TimeInSeconds], Table2[SERIESCODE], Table3[[#This Row],[SeriesCode]])</f>
        <v>19055</v>
      </c>
      <c r="AW15" s="138">
        <f>Table3[[#This Row],[SecondsPlayed]]/3600</f>
        <v>5.2930555555555552</v>
      </c>
      <c r="AX15" t="str">
        <f t="array" ref="AX15">INDEX(J:J, MATCH(2, 1/(H:H=AQ15)))</f>
        <v>CAR</v>
      </c>
      <c r="AY15" s="57">
        <f t="shared" si="3"/>
        <v>0</v>
      </c>
      <c r="AZ15" t="e">
        <f t="shared" si="4"/>
        <v>#VALUE!</v>
      </c>
      <c r="BA15" s="57">
        <f>SUMIFS($W$2:$W$106,$P$2:$P$106,AS15,$G$2:$G$106,3) + SUMIFS($V$2:$V$106,$O$2:$O$106,AS15,$G$2:$G$106,3)</f>
        <v>13</v>
      </c>
      <c r="BB15" s="57">
        <f>SUMIFS($W$2:$W$106,$P$2:$P$106,AT15,$G$2:$G$106,3) + SUMIFS($V$2:$V$106,$O$2:$O$106,AT15,$G$2:$G$106,3)</f>
        <v>2</v>
      </c>
      <c r="BC15" s="57"/>
      <c r="BD15" s="57"/>
      <c r="BE15" s="57"/>
      <c r="BF15" s="57"/>
      <c r="BG15" s="57"/>
      <c r="BH15" s="65"/>
      <c r="BI15" s="11"/>
      <c r="BJ15" s="132" t="s">
        <v>173</v>
      </c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30"/>
    </row>
    <row r="16" spans="1:104" x14ac:dyDescent="0.25">
      <c r="A16" s="55" t="str">
        <f>IF(ISBLANK(Table2[[#This Row],[GAMENUM]]), "", _xlfn.TEXTJOIN("", 1, "2025030", Table2[[#This Row],[ROUNDNUM]], Table2[[#This Row],[SeriesID]], Table2[[#This Row],[GAMENUM]]))</f>
        <v>2025030152</v>
      </c>
      <c r="B16" s="63">
        <f>IF(ISBLANK(Table2[[#This Row],[GAMENUM]]), "", INDEX(Table3[SeriesID], MATCH(Table2[[#This Row],[SERIESCODE]],Table3[SeriesCode],0)))</f>
        <v>5</v>
      </c>
      <c r="C16" s="57" t="str">
        <f t="shared" si="0"/>
        <v>Tuesday</v>
      </c>
      <c r="D16" s="59">
        <v>46133</v>
      </c>
      <c r="E16" s="60">
        <v>0.95833333333333337</v>
      </c>
      <c r="F16" s="59" t="s">
        <v>38</v>
      </c>
      <c r="G16" s="62">
        <v>1</v>
      </c>
      <c r="H16" s="63" t="s">
        <v>45</v>
      </c>
      <c r="I16" s="62">
        <v>2</v>
      </c>
      <c r="J16" s="98" t="str">
        <f>INDEX(Table3[TopSeed],MATCH(Table2[[#This Row],[SERIESCODE]], Table3[SeriesCode], 0))</f>
        <v>COL</v>
      </c>
      <c r="K16" s="99" t="str">
        <f>INDEX(Table3[LowSeed],MATCH(Table2[[#This Row],[SERIESCODE]], Table3[SeriesCode], 0))</f>
        <v>LAK</v>
      </c>
      <c r="L16" s="62">
        <v>2</v>
      </c>
      <c r="M16" s="62">
        <v>0</v>
      </c>
      <c r="N16" s="74" t="str">
        <f>IF(Table2[[#This Row],[GAMENUM]] = 6, Table2[[#This Row],[TOPSEED]], IF(Table2[[#This Row],[GAMENUM]] = 4, Table2[[#This Row],[TOPSEED]], IF(Table2[[#This Row],[GAMENUM]] = 3, Table2[[#This Row],[TOPSEED]], Table2[LOWSEED])))</f>
        <v>LAK</v>
      </c>
      <c r="O16" s="72" t="str">
        <f>IF(Table2[[#This Row],[GAMENUM]] = 6, Table2[[#This Row],[LOWSEED]], IF(Table2[[#This Row],[GAMENUM]] = 4, Table2[[#This Row],[LOWSEED]], IF(Table2[[#This Row],[GAMENUM]] = 3, Table2[[#This Row],[LOWSEED]], Table2[TOPSEED])))</f>
        <v>COL</v>
      </c>
      <c r="P16" s="72" t="str">
        <f t="shared" si="1"/>
        <v>COL</v>
      </c>
      <c r="Q16" s="62">
        <v>2</v>
      </c>
      <c r="R16" s="62">
        <v>3</v>
      </c>
      <c r="S16" s="63" t="s">
        <v>155</v>
      </c>
      <c r="T16" s="59">
        <v>46133</v>
      </c>
      <c r="U16" s="62">
        <v>1</v>
      </c>
      <c r="V16" s="62">
        <v>2</v>
      </c>
      <c r="W16" s="62">
        <v>1</v>
      </c>
      <c r="X16" s="62">
        <v>4064</v>
      </c>
      <c r="Y16" s="63">
        <f>Table2[[#This Row],[TimeInSeconds]]/1200</f>
        <v>3.3866666666666667</v>
      </c>
      <c r="Z16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16" s="72" t="str">
        <f t="shared" si="2"/>
        <v>COL</v>
      </c>
      <c r="AB16" s="63">
        <f>IF(ISBLANK(Table2[[#This Row],[OTROUNDNUM]]), "", Table2[[#This Row],[PAWAYSCORE]]-Table2[[#This Row],[AAWAYSCORE]])</f>
        <v>1</v>
      </c>
      <c r="AC16" s="63">
        <f>IF(ISBLANK(Table2[[#This Row],[OTROUNDNUM]]), "", Table2[[#This Row],[PHOMESCORE]]-Table2[[#This Row],[AHOMESCORE]])</f>
        <v>1</v>
      </c>
      <c r="AD16" s="63">
        <f>_xlfn.IFS(ISBLANK(Table2[[#This Row],[GAMENUM]]), " ", 1, IF((Table2[[#This Row],[TOPSEEDWINS]]+Table2[[#This Row],[LOWSEEDWINS]]) &lt;&gt; Table2[[#This Row],[GAMENUM]], 0, 1))</f>
        <v>1</v>
      </c>
      <c r="AE16" s="63">
        <f>_xlfn.IFS(ISBLANK(Table2[[#This Row],[GAMENUM]]),"", Table2[[#This Row],[GameOver]]=0,"",Table2[[#This Row],[AAWAYSCORE]]&gt;Table2[[#This Row],[AHOMESCORE]], 1,1,0)</f>
        <v>0</v>
      </c>
      <c r="AF16" s="63">
        <f>_xlfn.IFS(ISBLANK(Table2[[#This Row],[GAMENUM]]),"",Table2[[#This Row],[GameOver]]=0,"",Table2[[#This Row],[AAWAYSCORE]]&lt;Table2[[#This Row],[AHOMESCORE]], 1,1,0)</f>
        <v>1</v>
      </c>
      <c r="AG16" s="63">
        <f>_xlfn.IFS(ISBLANK(Table2[[#This Row],[GAMENUM]]),"",Table2[[#This Row],[GameOver]]=0,"",Table2[[#This Row],[OTROUNDNUM]]&gt;0,1,1,0)</f>
        <v>1</v>
      </c>
      <c r="AH16" s="63">
        <f>_xlfn.IFS(ISBLANK(Table2[[#This Row],[GAMENUM]]),"",Table2[[#This Row],[GameOver]]=0,"",Table2[[#This Row],[AAWAYSCORE]]=0,1,1,0)</f>
        <v>0</v>
      </c>
      <c r="AI16" s="63">
        <f>_xlfn.IFS(ISBLANK(Table2[[#This Row],[GAMENUM]]),"", Table2[[#This Row],[GameOver]]=0,"",Table2[[#This Row],[AHOMESCORE]]=0,1,1,0)</f>
        <v>0</v>
      </c>
      <c r="AJ16" s="57"/>
      <c r="AK16" s="65"/>
      <c r="AL16" s="11"/>
      <c r="AM16" s="11"/>
      <c r="AN16" s="16"/>
      <c r="AO16" s="11"/>
      <c r="AP16" s="11"/>
      <c r="AQ16" s="114" t="s">
        <v>55</v>
      </c>
      <c r="AR16" s="114">
        <v>2</v>
      </c>
      <c r="AS16" s="127" t="s">
        <v>40</v>
      </c>
      <c r="AT16" s="133" t="s">
        <v>47</v>
      </c>
      <c r="AU16" s="138">
        <f>SUMIFS(Table2[Periods], Table2[SERIESCODE], Table3[[#This Row],[SeriesCode]])</f>
        <v>12</v>
      </c>
      <c r="AV16" s="6">
        <f>SUMIFS(Table2[TimeInSeconds], Table2[SERIESCODE], Table3[[#This Row],[SeriesCode]])</f>
        <v>14400</v>
      </c>
      <c r="AW16" s="138">
        <f>Table3[[#This Row],[SecondsPlayed]]/3600</f>
        <v>4</v>
      </c>
      <c r="AX16" t="str">
        <f t="array" ref="AX16">INDEX(J:J, MATCH(2, 1/(H:H=AQ16)))</f>
        <v>COL</v>
      </c>
      <c r="AY16" s="57">
        <f t="shared" si="3"/>
        <v>0</v>
      </c>
      <c r="AZ16" t="e">
        <f t="shared" si="4"/>
        <v>#VALUE!</v>
      </c>
      <c r="BA16" s="57">
        <f>SUMIFS($W$2:$W$106,$P$2:$P$106,AS16,$G$2:$G$106,3) + SUMIFS($V$2:$V$106,$O$2:$O$106,AS16,$G$2:$G$106,3)</f>
        <v>3</v>
      </c>
      <c r="BB16" s="57">
        <f>SUMIFS($W$2:$W$106,$P$2:$P$106,AT16,$G$2:$G$106,3) + SUMIFS($V$2:$V$106,$O$2:$O$106,AT16,$G$2:$G$106,3)</f>
        <v>7</v>
      </c>
      <c r="BC16" s="57"/>
      <c r="BD16" s="57"/>
      <c r="BE16" s="57"/>
      <c r="BF16" s="57"/>
      <c r="BG16" s="57"/>
      <c r="BH16" s="65"/>
      <c r="BI16" s="11"/>
      <c r="BJ16" s="133" t="s">
        <v>47</v>
      </c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30"/>
    </row>
    <row r="17" spans="1:112" x14ac:dyDescent="0.25">
      <c r="A17" s="55" t="str">
        <f>IF(ISBLANK(Table2[[#This Row],[GAMENUM]]), "", _xlfn.TEXTJOIN("", 1, "2025030", Table2[[#This Row],[ROUNDNUM]], Table2[[#This Row],[SeriesID]], Table2[[#This Row],[GAMENUM]]))</f>
        <v>2025030143</v>
      </c>
      <c r="B17" s="63">
        <f>IF(ISBLANK(Table2[[#This Row],[GAMENUM]]), "", INDEX(Table3[SeriesID], MATCH(Table2[[#This Row],[SERIESCODE]],Table3[SeriesCode],0)))</f>
        <v>4</v>
      </c>
      <c r="C17" s="57" t="str">
        <f t="shared" si="0"/>
        <v>Wednesday</v>
      </c>
      <c r="D17" s="59">
        <v>46134</v>
      </c>
      <c r="E17" s="60">
        <v>0.83333333333333337</v>
      </c>
      <c r="F17" s="59" t="s">
        <v>16</v>
      </c>
      <c r="G17" s="62">
        <v>1</v>
      </c>
      <c r="H17" s="63" t="s">
        <v>17</v>
      </c>
      <c r="I17" s="62">
        <v>3</v>
      </c>
      <c r="J17" s="93" t="str">
        <f>INDEX(Table3[TopSeed],MATCH(Table2[[#This Row],[SERIESCODE]], Table3[SeriesCode], 0))</f>
        <v>PIT</v>
      </c>
      <c r="K17" s="92" t="str">
        <f>INDEX(Table3[LowSeed],MATCH(Table2[[#This Row],[SERIESCODE]], Table3[SeriesCode], 0))</f>
        <v>PHI</v>
      </c>
      <c r="L17" s="62">
        <v>0</v>
      </c>
      <c r="M17" s="62">
        <v>3</v>
      </c>
      <c r="N17" s="31" t="str">
        <f>IF(Table2[[#This Row],[GAMENUM]] = 6, Table2[[#This Row],[TOPSEED]], IF(Table2[[#This Row],[GAMENUM]] = 4, Table2[[#This Row],[TOPSEED]], IF(Table2[[#This Row],[GAMENUM]] = 3, Table2[[#This Row],[TOPSEED]], Table2[LOWSEED])))</f>
        <v>PIT</v>
      </c>
      <c r="O17" s="32" t="str">
        <f>IF(Table2[[#This Row],[GAMENUM]] = 6, Table2[[#This Row],[LOWSEED]], IF(Table2[[#This Row],[GAMENUM]] = 4, Table2[[#This Row],[LOWSEED]], IF(Table2[[#This Row],[GAMENUM]] = 3, Table2[[#This Row],[LOWSEED]], Table2[TOPSEED])))</f>
        <v>PHI</v>
      </c>
      <c r="P17" s="31" t="str">
        <f t="shared" si="1"/>
        <v>PIT</v>
      </c>
      <c r="Q17" s="62">
        <v>3</v>
      </c>
      <c r="R17" s="62">
        <v>2</v>
      </c>
      <c r="S17" s="63" t="s">
        <v>154</v>
      </c>
      <c r="T17" s="59">
        <v>46134</v>
      </c>
      <c r="U17" s="62">
        <v>2</v>
      </c>
      <c r="V17" s="62">
        <v>5</v>
      </c>
      <c r="W17" s="62">
        <v>0</v>
      </c>
      <c r="X17" s="62">
        <v>3600</v>
      </c>
      <c r="Y17" s="63">
        <f>Table2[[#This Row],[TimeInSeconds]]/1200</f>
        <v>3</v>
      </c>
      <c r="Z17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17" s="32" t="str">
        <f t="shared" si="2"/>
        <v>PHI</v>
      </c>
      <c r="AB17" s="63">
        <f>IF(ISBLANK(Table2[[#This Row],[OTROUNDNUM]]), "", Table2[[#This Row],[PAWAYSCORE]]-Table2[[#This Row],[AAWAYSCORE]])</f>
        <v>1</v>
      </c>
      <c r="AC17" s="63">
        <f>IF(ISBLANK(Table2[[#This Row],[OTROUNDNUM]]), "", Table2[[#This Row],[PHOMESCORE]]-Table2[[#This Row],[AHOMESCORE]])</f>
        <v>-3</v>
      </c>
      <c r="AD17" s="63">
        <f>_xlfn.IFS(ISBLANK(Table2[[#This Row],[GAMENUM]]), " ", 1, IF((Table2[[#This Row],[TOPSEEDWINS]]+Table2[[#This Row],[LOWSEEDWINS]]) &lt;&gt; Table2[[#This Row],[GAMENUM]], 0, 1))</f>
        <v>1</v>
      </c>
      <c r="AE17" s="63">
        <f>_xlfn.IFS(ISBLANK(Table2[[#This Row],[GAMENUM]]),"", Table2[[#This Row],[GameOver]]=0,"",Table2[[#This Row],[AAWAYSCORE]]&gt;Table2[[#This Row],[AHOMESCORE]], 1,1,0)</f>
        <v>0</v>
      </c>
      <c r="AF17" s="63">
        <f>_xlfn.IFS(ISBLANK(Table2[[#This Row],[GAMENUM]]),"",Table2[[#This Row],[GameOver]]=0,"",Table2[[#This Row],[AAWAYSCORE]]&lt;Table2[[#This Row],[AHOMESCORE]], 1,1,0)</f>
        <v>1</v>
      </c>
      <c r="AG17" s="63">
        <f>_xlfn.IFS(ISBLANK(Table2[[#This Row],[GAMENUM]]),"",Table2[[#This Row],[GameOver]]=0,"",Table2[[#This Row],[OTROUNDNUM]]&gt;0,1,1,0)</f>
        <v>0</v>
      </c>
      <c r="AH17" s="63">
        <f>_xlfn.IFS(ISBLANK(Table2[[#This Row],[GAMENUM]]),"",Table2[[#This Row],[GameOver]]=0,"",Table2[[#This Row],[AAWAYSCORE]]=0,1,1,0)</f>
        <v>0</v>
      </c>
      <c r="AI17" s="63">
        <f>_xlfn.IFS(ISBLANK(Table2[[#This Row],[GAMENUM]]),"", Table2[[#This Row],[GameOver]]=0,"",Table2[[#This Row],[AHOMESCORE]]=0,1,1,0)</f>
        <v>0</v>
      </c>
      <c r="AJ17" s="57"/>
      <c r="AK17" s="65"/>
      <c r="AL17" s="11"/>
      <c r="AM17" s="11"/>
      <c r="AN17" s="16"/>
      <c r="AO17" s="11"/>
      <c r="AP17" s="11"/>
      <c r="AQ17" s="114" t="s">
        <v>56</v>
      </c>
      <c r="AR17" s="114">
        <v>1</v>
      </c>
      <c r="AS17" s="119" t="s">
        <v>18</v>
      </c>
      <c r="AT17" s="133" t="s">
        <v>47</v>
      </c>
      <c r="AU17" s="138">
        <f>SUMIFS(Table2[Periods], Table2[SERIESCODE], Table3[[#This Row],[SeriesCode]])</f>
        <v>3</v>
      </c>
      <c r="AV17" s="6">
        <f>SUMIFS(Table2[TimeInSeconds], Table2[SERIESCODE], Table3[[#This Row],[SeriesCode]])</f>
        <v>3600</v>
      </c>
      <c r="AW17" s="138">
        <f>Table3[[#This Row],[SecondsPlayed]]/3600</f>
        <v>1</v>
      </c>
      <c r="AX17" t="str">
        <f t="array" ref="AX17">INDEX(J:J, MATCH(2, 1/(H:H=AQ17)))</f>
        <v>CAR</v>
      </c>
      <c r="AY17" s="57">
        <f t="shared" si="3"/>
        <v>0</v>
      </c>
      <c r="AZ17" t="e">
        <f t="shared" si="4"/>
        <v>#VALUE!</v>
      </c>
      <c r="BA17" s="57">
        <f>SUMIFS($W$2:$W$106,$P$2:$P$106,AS17,$G$2:$G$106,1) + SUMIFS($V$2:$V$106,$O$2:$O$106,AS17,$G$2:$G$106,1)</f>
        <v>7</v>
      </c>
      <c r="BB17" s="57">
        <f>SUMIFS($W$2:$W$106,$P$2:$P$106,AT17,$G$2:$G$106,4) + SUMIFS($V$2:$V$106,$O$2:$O$106,AT17,$G$2:$G$106,4)</f>
        <v>0</v>
      </c>
      <c r="BC17" s="57"/>
      <c r="BD17" s="57"/>
      <c r="BE17" s="57"/>
      <c r="BF17" s="57"/>
      <c r="BG17" s="57"/>
      <c r="BH17" s="65"/>
      <c r="BI17" s="11"/>
      <c r="BJ17" s="134" t="s">
        <v>172</v>
      </c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30"/>
    </row>
    <row r="18" spans="1:112" x14ac:dyDescent="0.25">
      <c r="A18" s="55" t="str">
        <f>IF(ISBLANK(Table2[[#This Row],[GAMENUM]]), "", _xlfn.TEXTJOIN("", 1, "2025030", Table2[[#This Row],[ROUNDNUM]], Table2[[#This Row],[SeriesID]], Table2[[#This Row],[GAMENUM]]))</f>
        <v>2025030163</v>
      </c>
      <c r="B18" s="63">
        <f>IF(ISBLANK(Table2[[#This Row],[GAMENUM]]), "", INDEX(Table3[SeriesID], MATCH(Table2[[#This Row],[SERIESCODE]],Table3[SeriesCode],0)))</f>
        <v>6</v>
      </c>
      <c r="C18" s="57" t="str">
        <f t="shared" si="0"/>
        <v>Wednesday</v>
      </c>
      <c r="D18" s="59">
        <v>46134</v>
      </c>
      <c r="E18" s="60">
        <v>0.9375</v>
      </c>
      <c r="F18" s="59" t="s">
        <v>38</v>
      </c>
      <c r="G18" s="62">
        <v>1</v>
      </c>
      <c r="H18" s="63" t="s">
        <v>39</v>
      </c>
      <c r="I18" s="62">
        <v>3</v>
      </c>
      <c r="J18" s="94" t="str">
        <f>INDEX(Table3[TopSeed],MATCH(Table2[[#This Row],[SERIESCODE]], Table3[SeriesCode], 0))</f>
        <v>DAL</v>
      </c>
      <c r="K18" s="95" t="str">
        <f>INDEX(Table3[LowSeed],MATCH(Table2[[#This Row],[SERIESCODE]], Table3[SeriesCode], 0))</f>
        <v>MIN</v>
      </c>
      <c r="L18" s="62">
        <v>2</v>
      </c>
      <c r="M18" s="62">
        <v>1</v>
      </c>
      <c r="N18" s="26" t="str">
        <f>IF(Table2[[#This Row],[GAMENUM]] = 6, Table2[[#This Row],[TOPSEED]], IF(Table2[[#This Row],[GAMENUM]] = 4, Table2[[#This Row],[TOPSEED]], IF(Table2[[#This Row],[GAMENUM]] = 3, Table2[[#This Row],[TOPSEED]], Table2[LOWSEED])))</f>
        <v>DAL</v>
      </c>
      <c r="O18" s="27" t="str">
        <f>IF(Table2[[#This Row],[GAMENUM]] = 6, Table2[[#This Row],[LOWSEED]], IF(Table2[[#This Row],[GAMENUM]] = 4, Table2[[#This Row],[LOWSEED]], IF(Table2[[#This Row],[GAMENUM]] = 3, Table2[[#This Row],[LOWSEED]], Table2[TOPSEED])))</f>
        <v>MIN</v>
      </c>
      <c r="P18" s="26" t="str">
        <f t="shared" si="1"/>
        <v>DAL</v>
      </c>
      <c r="Q18" s="62">
        <v>4</v>
      </c>
      <c r="R18" s="62">
        <v>3</v>
      </c>
      <c r="S18" s="63" t="s">
        <v>155</v>
      </c>
      <c r="T18" s="59">
        <v>46134</v>
      </c>
      <c r="U18" s="62">
        <v>4</v>
      </c>
      <c r="V18" s="62">
        <v>3</v>
      </c>
      <c r="W18" s="62">
        <v>2</v>
      </c>
      <c r="X18" s="62">
        <v>6730</v>
      </c>
      <c r="Y18" s="63">
        <f>Table2[[#This Row],[TimeInSeconds]]/1200</f>
        <v>5.6083333333333334</v>
      </c>
      <c r="Z18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18" s="26" t="str">
        <f t="shared" si="2"/>
        <v>DAL</v>
      </c>
      <c r="AB18" s="63">
        <f>IF(ISBLANK(Table2[[#This Row],[OTROUNDNUM]]), "", Table2[[#This Row],[PAWAYSCORE]]-Table2[[#This Row],[AAWAYSCORE]])</f>
        <v>0</v>
      </c>
      <c r="AC18" s="63">
        <f>IF(ISBLANK(Table2[[#This Row],[OTROUNDNUM]]), "", Table2[[#This Row],[PHOMESCORE]]-Table2[[#This Row],[AHOMESCORE]])</f>
        <v>0</v>
      </c>
      <c r="AD18" s="63">
        <f>_xlfn.IFS(ISBLANK(Table2[[#This Row],[GAMENUM]]), " ", 1, IF((Table2[[#This Row],[TOPSEEDWINS]]+Table2[[#This Row],[LOWSEEDWINS]]) &lt;&gt; Table2[[#This Row],[GAMENUM]], 0, 1))</f>
        <v>1</v>
      </c>
      <c r="AE18" s="63">
        <f>_xlfn.IFS(ISBLANK(Table2[[#This Row],[GAMENUM]]),"", Table2[[#This Row],[GameOver]]=0,"",Table2[[#This Row],[AAWAYSCORE]]&gt;Table2[[#This Row],[AHOMESCORE]], 1,1,0)</f>
        <v>1</v>
      </c>
      <c r="AF18" s="63">
        <f>_xlfn.IFS(ISBLANK(Table2[[#This Row],[GAMENUM]]),"",Table2[[#This Row],[GameOver]]=0,"",Table2[[#This Row],[AAWAYSCORE]]&lt;Table2[[#This Row],[AHOMESCORE]], 1,1,0)</f>
        <v>0</v>
      </c>
      <c r="AG18" s="63">
        <f>_xlfn.IFS(ISBLANK(Table2[[#This Row],[GAMENUM]]),"",Table2[[#This Row],[GameOver]]=0,"",Table2[[#This Row],[OTROUNDNUM]]&gt;0,1,1,0)</f>
        <v>1</v>
      </c>
      <c r="AH18" s="63">
        <f>_xlfn.IFS(ISBLANK(Table2[[#This Row],[GAMENUM]]),"",Table2[[#This Row],[GameOver]]=0,"",Table2[[#This Row],[AAWAYSCORE]]=0,1,1,0)</f>
        <v>0</v>
      </c>
      <c r="AI18" s="63">
        <f>_xlfn.IFS(ISBLANK(Table2[[#This Row],[GAMENUM]]),"", Table2[[#This Row],[GameOver]]=0,"",Table2[[#This Row],[AHOMESCORE]]=0,1,1,0)</f>
        <v>0</v>
      </c>
      <c r="AJ18" s="57"/>
      <c r="AK18" s="65"/>
      <c r="AL18" s="11"/>
      <c r="AM18" s="11"/>
      <c r="AN18" s="16"/>
      <c r="AO18" s="11"/>
      <c r="AP18" s="11"/>
      <c r="AQ18" s="101"/>
      <c r="AR18" s="36"/>
      <c r="AS18" s="36"/>
      <c r="AT18" s="25"/>
      <c r="AU18" s="25"/>
      <c r="AV18" s="25"/>
      <c r="AW18" s="25"/>
      <c r="AX18" s="25"/>
      <c r="AY18" s="25"/>
      <c r="AZ18" s="25"/>
      <c r="BA18" s="25"/>
      <c r="BB18" s="25"/>
      <c r="BC18" s="36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30"/>
    </row>
    <row r="19" spans="1:112" x14ac:dyDescent="0.25">
      <c r="A19" s="55" t="str">
        <f>IF(ISBLANK(Table2[[#This Row],[GAMENUM]]), "", _xlfn.TEXTJOIN("", 1, "2025030", Table2[[#This Row],[ROUNDNUM]], Table2[[#This Row],[SeriesID]], Table2[[#This Row],[GAMENUM]]))</f>
        <v>2025030182</v>
      </c>
      <c r="B19" s="63">
        <f>IF(ISBLANK(Table2[[#This Row],[GAMENUM]]), "", INDEX(Table3[SeriesID], MATCH(Table2[[#This Row],[SERIESCODE]],Table3[SeriesCode],0)))</f>
        <v>8</v>
      </c>
      <c r="C19" s="57" t="str">
        <f t="shared" si="0"/>
        <v>Wednesday</v>
      </c>
      <c r="D19" s="59">
        <v>46134</v>
      </c>
      <c r="E19" s="60">
        <v>0.95833333333333337</v>
      </c>
      <c r="F19" s="59" t="s">
        <v>38</v>
      </c>
      <c r="G19" s="62">
        <v>1</v>
      </c>
      <c r="H19" s="63" t="s">
        <v>44</v>
      </c>
      <c r="I19" s="62">
        <v>2</v>
      </c>
      <c r="J19" s="85" t="str">
        <f>INDEX(Table3[TopSeed],MATCH(Table2[[#This Row],[SERIESCODE]], Table3[SeriesCode], 0))</f>
        <v>EDM</v>
      </c>
      <c r="K19" s="86" t="str">
        <f>INDEX(Table3[LowSeed],MATCH(Table2[[#This Row],[SERIESCODE]], Table3[SeriesCode], 0))</f>
        <v>ANA</v>
      </c>
      <c r="L19" s="62">
        <v>1</v>
      </c>
      <c r="M19" s="62">
        <v>1</v>
      </c>
      <c r="N19" s="87" t="str">
        <f>IF(Table2[[#This Row],[GAMENUM]] = 6, Table2[[#This Row],[TOPSEED]], IF(Table2[[#This Row],[GAMENUM]] = 4, Table2[[#This Row],[TOPSEED]], IF(Table2[[#This Row],[GAMENUM]] = 3, Table2[[#This Row],[TOPSEED]], Table2[LOWSEED])))</f>
        <v>ANA</v>
      </c>
      <c r="O19" s="67" t="str">
        <f>IF(Table2[[#This Row],[GAMENUM]] = 6, Table2[[#This Row],[LOWSEED]], IF(Table2[[#This Row],[GAMENUM]] = 4, Table2[[#This Row],[LOWSEED]], IF(Table2[[#This Row],[GAMENUM]] = 3, Table2[[#This Row],[LOWSEED]], Table2[TOPSEED])))</f>
        <v>EDM</v>
      </c>
      <c r="P19" s="67" t="str">
        <f t="shared" si="1"/>
        <v>EDM</v>
      </c>
      <c r="Q19" s="62">
        <v>3</v>
      </c>
      <c r="R19" s="62">
        <v>4</v>
      </c>
      <c r="S19" s="63" t="s">
        <v>155</v>
      </c>
      <c r="T19" s="59">
        <v>46134</v>
      </c>
      <c r="U19" s="62">
        <v>6</v>
      </c>
      <c r="V19" s="62">
        <v>4</v>
      </c>
      <c r="W19" s="62">
        <v>0</v>
      </c>
      <c r="X19" s="62">
        <v>3600</v>
      </c>
      <c r="Y19" s="63">
        <f>Table2[[#This Row],[TimeInSeconds]]/1200</f>
        <v>3</v>
      </c>
      <c r="Z19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19" s="87" t="str">
        <f t="shared" si="2"/>
        <v>ANA</v>
      </c>
      <c r="AB19" s="63">
        <f>IF(ISBLANK(Table2[[#This Row],[OTROUNDNUM]]), "", Table2[[#This Row],[PAWAYSCORE]]-Table2[[#This Row],[AAWAYSCORE]])</f>
        <v>-3</v>
      </c>
      <c r="AC19" s="63">
        <f>IF(ISBLANK(Table2[[#This Row],[OTROUNDNUM]]), "", Table2[[#This Row],[PHOMESCORE]]-Table2[[#This Row],[AHOMESCORE]])</f>
        <v>0</v>
      </c>
      <c r="AD19" s="63">
        <f>_xlfn.IFS(ISBLANK(Table2[[#This Row],[GAMENUM]]), " ", 1, IF((Table2[[#This Row],[TOPSEEDWINS]]+Table2[[#This Row],[LOWSEEDWINS]]) &lt;&gt; Table2[[#This Row],[GAMENUM]], 0, 1))</f>
        <v>1</v>
      </c>
      <c r="AE19" s="63">
        <f>_xlfn.IFS(ISBLANK(Table2[[#This Row],[GAMENUM]]),"", Table2[[#This Row],[GameOver]]=0,"",Table2[[#This Row],[AAWAYSCORE]]&gt;Table2[[#This Row],[AHOMESCORE]], 1,1,0)</f>
        <v>1</v>
      </c>
      <c r="AF19" s="63">
        <f>_xlfn.IFS(ISBLANK(Table2[[#This Row],[GAMENUM]]),"",Table2[[#This Row],[GameOver]]=0,"",Table2[[#This Row],[AAWAYSCORE]]&lt;Table2[[#This Row],[AHOMESCORE]], 1,1,0)</f>
        <v>0</v>
      </c>
      <c r="AG19" s="63">
        <f>_xlfn.IFS(ISBLANK(Table2[[#This Row],[GAMENUM]]),"",Table2[[#This Row],[GameOver]]=0,"",Table2[[#This Row],[OTROUNDNUM]]&gt;0,1,1,0)</f>
        <v>0</v>
      </c>
      <c r="AH19" s="63">
        <f>_xlfn.IFS(ISBLANK(Table2[[#This Row],[GAMENUM]]),"",Table2[[#This Row],[GameOver]]=0,"",Table2[[#This Row],[AAWAYSCORE]]=0,1,1,0)</f>
        <v>0</v>
      </c>
      <c r="AI19" s="63">
        <f>_xlfn.IFS(ISBLANK(Table2[[#This Row],[GAMENUM]]),"", Table2[[#This Row],[GameOver]]=0,"",Table2[[#This Row],[AHOMESCORE]]=0,1,1,0)</f>
        <v>0</v>
      </c>
      <c r="AJ19" s="57"/>
      <c r="AK19" s="65"/>
      <c r="AL19" s="11"/>
      <c r="AM19" s="11"/>
      <c r="AN19" s="16"/>
      <c r="AO19" s="11"/>
      <c r="AP19" s="11"/>
      <c r="AQ19" s="42"/>
      <c r="AR19" s="11"/>
      <c r="AS19" s="11"/>
      <c r="AT19" s="36"/>
      <c r="AU19" s="36"/>
      <c r="AV19" s="36"/>
      <c r="AW19" s="36"/>
      <c r="AX19" s="36"/>
      <c r="AY19" s="36"/>
      <c r="AZ19" s="36"/>
      <c r="BA19" s="36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30"/>
    </row>
    <row r="20" spans="1:112" x14ac:dyDescent="0.25">
      <c r="A20" s="55" t="str">
        <f>IF(ISBLANK(Table2[[#This Row],[GAMENUM]]), "", _xlfn.TEXTJOIN("", 1, "2025030", Table2[[#This Row],[ROUNDNUM]], Table2[[#This Row],[SeriesID]], Table2[[#This Row],[GAMENUM]]))</f>
        <v>2025030113</v>
      </c>
      <c r="B20" s="63">
        <f>IF(ISBLANK(Table2[[#This Row],[GAMENUM]]), "", INDEX(Table3[SeriesID], MATCH(Table2[[#This Row],[SERIESCODE]],Table3[SeriesCode],0)))</f>
        <v>1</v>
      </c>
      <c r="C20" s="57" t="str">
        <f t="shared" si="0"/>
        <v>Thursday</v>
      </c>
      <c r="D20" s="59">
        <v>46135</v>
      </c>
      <c r="E20" s="60">
        <v>0.83333333333333337</v>
      </c>
      <c r="F20" s="59" t="s">
        <v>16</v>
      </c>
      <c r="G20" s="62">
        <v>1</v>
      </c>
      <c r="H20" s="63" t="s">
        <v>33</v>
      </c>
      <c r="I20" s="62">
        <v>3</v>
      </c>
      <c r="J20" s="78" t="str">
        <f>INDEX(Table3[TopSeed],MATCH(Table2[[#This Row],[SERIESCODE]], Table3[SeriesCode], 0))</f>
        <v>BUF</v>
      </c>
      <c r="K20" s="80" t="str">
        <f>INDEX(Table3[LowSeed],MATCH(Table2[[#This Row],[SERIESCODE]], Table3[SeriesCode], 0))</f>
        <v>BOS</v>
      </c>
      <c r="L20" s="62">
        <v>2</v>
      </c>
      <c r="M20" s="62">
        <v>1</v>
      </c>
      <c r="N20" s="73" t="str">
        <f>IF(Table2[[#This Row],[GAMENUM]] = 6, Table2[[#This Row],[TOPSEED]], IF(Table2[[#This Row],[GAMENUM]] = 4, Table2[[#This Row],[TOPSEED]], IF(Table2[[#This Row],[GAMENUM]] = 3, Table2[[#This Row],[TOPSEED]], Table2[LOWSEED])))</f>
        <v>BUF</v>
      </c>
      <c r="O20" s="75" t="str">
        <f>IF(Table2[[#This Row],[GAMENUM]] = 6, Table2[[#This Row],[LOWSEED]], IF(Table2[[#This Row],[GAMENUM]] = 4, Table2[[#This Row],[LOWSEED]], IF(Table2[[#This Row],[GAMENUM]] = 3, Table2[[#This Row],[LOWSEED]], Table2[TOPSEED])))</f>
        <v>BOS</v>
      </c>
      <c r="P20" s="75" t="str">
        <f t="shared" si="1"/>
        <v>BOS</v>
      </c>
      <c r="Q20" s="62">
        <v>2</v>
      </c>
      <c r="R20" s="62">
        <v>4</v>
      </c>
      <c r="S20" s="63" t="s">
        <v>155</v>
      </c>
      <c r="T20" s="59">
        <v>46135</v>
      </c>
      <c r="U20" s="62">
        <v>3</v>
      </c>
      <c r="V20" s="62">
        <v>1</v>
      </c>
      <c r="W20" s="62">
        <v>0</v>
      </c>
      <c r="X20" s="62">
        <v>3600</v>
      </c>
      <c r="Y20" s="63">
        <f>Table2[[#This Row],[TimeInSeconds]]/1200</f>
        <v>3</v>
      </c>
      <c r="Z20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20" s="73" t="str">
        <f t="shared" si="2"/>
        <v>BUF</v>
      </c>
      <c r="AB20" s="63">
        <f>IF(ISBLANK(Table2[[#This Row],[OTROUNDNUM]]), "", Table2[[#This Row],[PAWAYSCORE]]-Table2[[#This Row],[AAWAYSCORE]])</f>
        <v>-1</v>
      </c>
      <c r="AC20" s="63">
        <f>IF(ISBLANK(Table2[[#This Row],[OTROUNDNUM]]), "", Table2[[#This Row],[PHOMESCORE]]-Table2[[#This Row],[AHOMESCORE]])</f>
        <v>3</v>
      </c>
      <c r="AD20" s="63">
        <f>_xlfn.IFS(ISBLANK(Table2[[#This Row],[GAMENUM]]), " ", 1, IF((Table2[[#This Row],[TOPSEEDWINS]]+Table2[[#This Row],[LOWSEEDWINS]]) &lt;&gt; Table2[[#This Row],[GAMENUM]], 0, 1))</f>
        <v>1</v>
      </c>
      <c r="AE20" s="63">
        <f>_xlfn.IFS(ISBLANK(Table2[[#This Row],[GAMENUM]]),"", Table2[[#This Row],[GameOver]]=0,"",Table2[[#This Row],[AAWAYSCORE]]&gt;Table2[[#This Row],[AHOMESCORE]], 1,1,0)</f>
        <v>1</v>
      </c>
      <c r="AF20" s="63">
        <f>_xlfn.IFS(ISBLANK(Table2[[#This Row],[GAMENUM]]),"",Table2[[#This Row],[GameOver]]=0,"",Table2[[#This Row],[AAWAYSCORE]]&lt;Table2[[#This Row],[AHOMESCORE]], 1,1,0)</f>
        <v>0</v>
      </c>
      <c r="AG20" s="63">
        <f>_xlfn.IFS(ISBLANK(Table2[[#This Row],[GAMENUM]]),"",Table2[[#This Row],[GameOver]]=0,"",Table2[[#This Row],[OTROUNDNUM]]&gt;0,1,1,0)</f>
        <v>0</v>
      </c>
      <c r="AH20" s="63">
        <f>_xlfn.IFS(ISBLANK(Table2[[#This Row],[GAMENUM]]),"",Table2[[#This Row],[GameOver]]=0,"",Table2[[#This Row],[AAWAYSCORE]]=0,1,1,0)</f>
        <v>0</v>
      </c>
      <c r="AI20" s="63">
        <f>_xlfn.IFS(ISBLANK(Table2[[#This Row],[GAMENUM]]),"", Table2[[#This Row],[GameOver]]=0,"",Table2[[#This Row],[AHOMESCORE]]=0,1,1,0)</f>
        <v>0</v>
      </c>
      <c r="AJ20" s="57"/>
      <c r="AK20" s="65"/>
      <c r="AL20" s="11"/>
      <c r="AM20" s="11"/>
      <c r="AN20" s="16"/>
      <c r="AO20" s="11"/>
      <c r="AP20" s="11"/>
      <c r="AQ20" s="42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30"/>
    </row>
    <row r="21" spans="1:112" x14ac:dyDescent="0.25">
      <c r="A21" s="55" t="str">
        <f>IF(ISBLANK(Table2[[#This Row],[GAMENUM]]), "", _xlfn.TEXTJOIN("", 1, "2025030", Table2[[#This Row],[ROUNDNUM]], Table2[[#This Row],[SeriesID]], Table2[[#This Row],[GAMENUM]]))</f>
        <v>2025030133</v>
      </c>
      <c r="B21" s="63">
        <f>IF(ISBLANK(Table2[[#This Row],[GAMENUM]]), "", INDEX(Table3[SeriesID], MATCH(Table2[[#This Row],[SERIESCODE]],Table3[SeriesCode],0)))</f>
        <v>3</v>
      </c>
      <c r="C21" s="57" t="str">
        <f t="shared" si="0"/>
        <v>Thursday</v>
      </c>
      <c r="D21" s="59">
        <v>46135</v>
      </c>
      <c r="E21" s="60">
        <v>0.85416666666666663</v>
      </c>
      <c r="F21" s="59" t="s">
        <v>16</v>
      </c>
      <c r="G21" s="62">
        <v>1</v>
      </c>
      <c r="H21" s="63" t="s">
        <v>36</v>
      </c>
      <c r="I21" s="62">
        <v>3</v>
      </c>
      <c r="J21" s="90" t="str">
        <f>INDEX(Table3[TopSeed],MATCH(Table2[[#This Row],[SERIESCODE]], Table3[SeriesCode], 0))</f>
        <v>CAR</v>
      </c>
      <c r="K21" s="91" t="str">
        <f>INDEX(Table3[LowSeed],MATCH(Table2[[#This Row],[SERIESCODE]], Table3[SeriesCode], 0))</f>
        <v>OTT</v>
      </c>
      <c r="L21" s="62">
        <v>3</v>
      </c>
      <c r="M21" s="62">
        <v>0</v>
      </c>
      <c r="N21" s="20" t="str">
        <f>IF(Table2[[#This Row],[GAMENUM]] = 6, Table2[[#This Row],[TOPSEED]], IF(Table2[[#This Row],[GAMENUM]] = 4, Table2[[#This Row],[TOPSEED]], IF(Table2[[#This Row],[GAMENUM]] = 3, Table2[[#This Row],[TOPSEED]], Table2[LOWSEED])))</f>
        <v>CAR</v>
      </c>
      <c r="O21" s="21" t="str">
        <f>IF(Table2[[#This Row],[GAMENUM]] = 6, Table2[[#This Row],[LOWSEED]], IF(Table2[[#This Row],[GAMENUM]] = 4, Table2[[#This Row],[LOWSEED]], IF(Table2[[#This Row],[GAMENUM]] = 3, Table2[[#This Row],[LOWSEED]], Table2[TOPSEED])))</f>
        <v>OTT</v>
      </c>
      <c r="P21" s="21" t="str">
        <f t="shared" si="1"/>
        <v>OTT</v>
      </c>
      <c r="Q21" s="62">
        <v>2</v>
      </c>
      <c r="R21" s="62">
        <v>3</v>
      </c>
      <c r="S21" s="63" t="s">
        <v>154</v>
      </c>
      <c r="T21" s="59">
        <v>46135</v>
      </c>
      <c r="U21" s="62">
        <v>2</v>
      </c>
      <c r="V21" s="62">
        <v>1</v>
      </c>
      <c r="W21" s="62">
        <v>0</v>
      </c>
      <c r="X21" s="62">
        <v>3600</v>
      </c>
      <c r="Y21" s="63">
        <f>Table2[[#This Row],[TimeInSeconds]]/1200</f>
        <v>3</v>
      </c>
      <c r="Z21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21" s="20" t="str">
        <f t="shared" si="2"/>
        <v>CAR</v>
      </c>
      <c r="AB21" s="63">
        <f>IF(ISBLANK(Table2[[#This Row],[OTROUNDNUM]]), "", Table2[[#This Row],[PAWAYSCORE]]-Table2[[#This Row],[AAWAYSCORE]])</f>
        <v>0</v>
      </c>
      <c r="AC21" s="63">
        <f>IF(ISBLANK(Table2[[#This Row],[OTROUNDNUM]]), "", Table2[[#This Row],[PHOMESCORE]]-Table2[[#This Row],[AHOMESCORE]])</f>
        <v>2</v>
      </c>
      <c r="AD21" s="63">
        <f>_xlfn.IFS(ISBLANK(Table2[[#This Row],[GAMENUM]]), " ", 1, IF((Table2[[#This Row],[TOPSEEDWINS]]+Table2[[#This Row],[LOWSEEDWINS]]) &lt;&gt; Table2[[#This Row],[GAMENUM]], 0, 1))</f>
        <v>1</v>
      </c>
      <c r="AE21" s="63">
        <f>_xlfn.IFS(ISBLANK(Table2[[#This Row],[GAMENUM]]),"", Table2[[#This Row],[GameOver]]=0,"",Table2[[#This Row],[AAWAYSCORE]]&gt;Table2[[#This Row],[AHOMESCORE]], 1,1,0)</f>
        <v>1</v>
      </c>
      <c r="AF21" s="63">
        <f>_xlfn.IFS(ISBLANK(Table2[[#This Row],[GAMENUM]]),"",Table2[[#This Row],[GameOver]]=0,"",Table2[[#This Row],[AAWAYSCORE]]&lt;Table2[[#This Row],[AHOMESCORE]], 1,1,0)</f>
        <v>0</v>
      </c>
      <c r="AG21" s="63">
        <f>_xlfn.IFS(ISBLANK(Table2[[#This Row],[GAMENUM]]),"",Table2[[#This Row],[GameOver]]=0,"",Table2[[#This Row],[OTROUNDNUM]]&gt;0,1,1,0)</f>
        <v>0</v>
      </c>
      <c r="AH21" s="63">
        <f>_xlfn.IFS(ISBLANK(Table2[[#This Row],[GAMENUM]]),"",Table2[[#This Row],[GameOver]]=0,"",Table2[[#This Row],[AAWAYSCORE]]=0,1,1,0)</f>
        <v>0</v>
      </c>
      <c r="AI21" s="63">
        <f>_xlfn.IFS(ISBLANK(Table2[[#This Row],[GAMENUM]]),"", Table2[[#This Row],[GameOver]]=0,"",Table2[[#This Row],[AHOMESCORE]]=0,1,1,0)</f>
        <v>0</v>
      </c>
      <c r="AJ21" s="57"/>
      <c r="AK21" s="65"/>
      <c r="AL21" s="11"/>
      <c r="AM21" s="11"/>
      <c r="AN21" s="16"/>
      <c r="AO21" s="11"/>
      <c r="AP21" s="11"/>
      <c r="AQ21" s="42"/>
      <c r="AR21" s="36" t="s">
        <v>87</v>
      </c>
      <c r="AS21" s="36" t="s">
        <v>194</v>
      </c>
      <c r="AT21" s="36" t="s">
        <v>195</v>
      </c>
      <c r="AU21" s="36" t="s">
        <v>196</v>
      </c>
      <c r="AV21" s="36" t="s">
        <v>193</v>
      </c>
      <c r="AW21" s="36" t="s">
        <v>57</v>
      </c>
      <c r="AX21" s="36" t="s">
        <v>58</v>
      </c>
      <c r="AY21" s="36" t="s">
        <v>59</v>
      </c>
      <c r="AZ21" s="36" t="s">
        <v>60</v>
      </c>
      <c r="BA21" s="36" t="s">
        <v>61</v>
      </c>
      <c r="BB21" s="36" t="s">
        <v>62</v>
      </c>
      <c r="BC21" s="36" t="s">
        <v>63</v>
      </c>
      <c r="BD21" s="36" t="s">
        <v>64</v>
      </c>
      <c r="BE21" s="36" t="s">
        <v>65</v>
      </c>
      <c r="BF21" s="36" t="s">
        <v>66</v>
      </c>
      <c r="BG21" s="36" t="s">
        <v>67</v>
      </c>
      <c r="BH21" s="36" t="s">
        <v>68</v>
      </c>
      <c r="BI21" s="36" t="s">
        <v>69</v>
      </c>
      <c r="BJ21" s="36" t="s">
        <v>70</v>
      </c>
      <c r="BK21" s="36" t="s">
        <v>71</v>
      </c>
      <c r="BL21" s="36" t="s">
        <v>72</v>
      </c>
      <c r="BM21" s="36" t="s">
        <v>73</v>
      </c>
      <c r="BN21" s="36" t="s">
        <v>74</v>
      </c>
      <c r="BO21" s="36" t="s">
        <v>75</v>
      </c>
      <c r="BP21" s="36" t="s">
        <v>76</v>
      </c>
      <c r="BQ21" s="36" t="s">
        <v>77</v>
      </c>
      <c r="BR21" s="36" t="s">
        <v>78</v>
      </c>
      <c r="BS21" s="36" t="s">
        <v>79</v>
      </c>
      <c r="BT21" s="36" t="s">
        <v>80</v>
      </c>
      <c r="BU21" s="36" t="s">
        <v>81</v>
      </c>
      <c r="BV21" s="36" t="s">
        <v>82</v>
      </c>
      <c r="BW21" s="36" t="s">
        <v>83</v>
      </c>
      <c r="BX21" s="36" t="s">
        <v>84</v>
      </c>
      <c r="BY21" s="36" t="s">
        <v>85</v>
      </c>
      <c r="BZ21" s="36" t="s">
        <v>86</v>
      </c>
      <c r="CA21" s="65"/>
      <c r="CB21" s="65" t="s">
        <v>203</v>
      </c>
      <c r="CC21" s="11" t="s">
        <v>87</v>
      </c>
      <c r="CD21" s="11" t="s">
        <v>194</v>
      </c>
      <c r="CE21" s="11" t="s">
        <v>195</v>
      </c>
      <c r="CF21" s="11" t="s">
        <v>196</v>
      </c>
      <c r="CG21" s="11" t="s">
        <v>200</v>
      </c>
      <c r="CH21" s="11" t="s">
        <v>201</v>
      </c>
      <c r="CI21" s="11" t="s">
        <v>202</v>
      </c>
      <c r="CJ21" s="11" t="s">
        <v>193</v>
      </c>
      <c r="CK21" s="11" t="s">
        <v>61</v>
      </c>
      <c r="CL21" s="11" t="s">
        <v>62</v>
      </c>
      <c r="CM21" s="11" t="s">
        <v>63</v>
      </c>
      <c r="CN21" s="11" t="s">
        <v>64</v>
      </c>
      <c r="CO21" s="11" t="s">
        <v>65</v>
      </c>
      <c r="CP21" s="11" t="s">
        <v>66</v>
      </c>
      <c r="CQ21" s="11" t="s">
        <v>67</v>
      </c>
      <c r="CR21" s="11" t="s">
        <v>68</v>
      </c>
      <c r="CS21" s="11" t="s">
        <v>69</v>
      </c>
      <c r="CT21" s="11" t="s">
        <v>88</v>
      </c>
      <c r="CU21" s="11" t="s">
        <v>89</v>
      </c>
      <c r="CV21" s="11" t="s">
        <v>90</v>
      </c>
      <c r="CW21" s="11" t="s">
        <v>91</v>
      </c>
      <c r="CX21" s="11" t="s">
        <v>92</v>
      </c>
      <c r="CY21" s="11" t="s">
        <v>93</v>
      </c>
      <c r="CZ21" s="11" t="s">
        <v>94</v>
      </c>
      <c r="DA21" s="11" t="s">
        <v>95</v>
      </c>
      <c r="DB21" s="11" t="s">
        <v>96</v>
      </c>
      <c r="DC21" s="11" t="s">
        <v>97</v>
      </c>
      <c r="DD21" s="11" t="s">
        <v>98</v>
      </c>
      <c r="DE21" s="11" t="s">
        <v>99</v>
      </c>
      <c r="DF21" s="11" t="s">
        <v>100</v>
      </c>
      <c r="DG21" s="11" t="s">
        <v>101</v>
      </c>
      <c r="DH21" s="30" t="s">
        <v>102</v>
      </c>
    </row>
    <row r="22" spans="1:112" x14ac:dyDescent="0.25">
      <c r="A22" s="55" t="str">
        <f>IF(ISBLANK(Table2[[#This Row],[GAMENUM]]), "", _xlfn.TEXTJOIN("", 1, "2025030", Table2[[#This Row],[ROUNDNUM]], Table2[[#This Row],[SeriesID]], Table2[[#This Row],[GAMENUM]]))</f>
        <v>2025030153</v>
      </c>
      <c r="B22" s="63">
        <f>IF(ISBLANK(Table2[[#This Row],[GAMENUM]]), "", INDEX(Table3[SeriesID], MATCH(Table2[[#This Row],[SERIESCODE]],Table3[SeriesCode],0)))</f>
        <v>5</v>
      </c>
      <c r="C22" s="57" t="str">
        <f t="shared" si="0"/>
        <v>Thursday</v>
      </c>
      <c r="D22" s="59">
        <v>46135</v>
      </c>
      <c r="E22" s="60">
        <v>0.95833333333333337</v>
      </c>
      <c r="F22" s="59" t="s">
        <v>38</v>
      </c>
      <c r="G22" s="62">
        <v>1</v>
      </c>
      <c r="H22" s="63" t="s">
        <v>45</v>
      </c>
      <c r="I22" s="62">
        <v>3</v>
      </c>
      <c r="J22" s="98" t="str">
        <f>INDEX(Table3[TopSeed],MATCH(Table2[[#This Row],[SERIESCODE]], Table3[SeriesCode], 0))</f>
        <v>COL</v>
      </c>
      <c r="K22" s="99" t="str">
        <f>INDEX(Table3[LowSeed],MATCH(Table2[[#This Row],[SERIESCODE]], Table3[SeriesCode], 0))</f>
        <v>LAK</v>
      </c>
      <c r="L22" s="62">
        <v>3</v>
      </c>
      <c r="M22" s="62">
        <v>0</v>
      </c>
      <c r="N22" s="72" t="str">
        <f>IF(Table2[[#This Row],[GAMENUM]] = 6, Table2[[#This Row],[TOPSEED]], IF(Table2[[#This Row],[GAMENUM]] = 4, Table2[[#This Row],[TOPSEED]], IF(Table2[[#This Row],[GAMENUM]] = 3, Table2[[#This Row],[TOPSEED]], Table2[LOWSEED])))</f>
        <v>COL</v>
      </c>
      <c r="O22" s="74" t="str">
        <f>IF(Table2[[#This Row],[GAMENUM]] = 6, Table2[[#This Row],[LOWSEED]], IF(Table2[[#This Row],[GAMENUM]] = 4, Table2[[#This Row],[LOWSEED]], IF(Table2[[#This Row],[GAMENUM]] = 3, Table2[[#This Row],[LOWSEED]], Table2[TOPSEED])))</f>
        <v>LAK</v>
      </c>
      <c r="P22" s="72" t="str">
        <f t="shared" si="1"/>
        <v>COL</v>
      </c>
      <c r="Q22" s="62">
        <v>3</v>
      </c>
      <c r="R22" s="62">
        <v>2</v>
      </c>
      <c r="S22" s="63" t="s">
        <v>155</v>
      </c>
      <c r="T22" s="59">
        <v>46135</v>
      </c>
      <c r="U22" s="62">
        <v>4</v>
      </c>
      <c r="V22" s="62">
        <v>2</v>
      </c>
      <c r="W22" s="62">
        <v>0</v>
      </c>
      <c r="X22" s="62">
        <v>3600</v>
      </c>
      <c r="Y22" s="63">
        <f>Table2[[#This Row],[TimeInSeconds]]/1200</f>
        <v>3</v>
      </c>
      <c r="Z22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22" s="72" t="str">
        <f t="shared" si="2"/>
        <v>COL</v>
      </c>
      <c r="AB22" s="63">
        <f>IF(ISBLANK(Table2[[#This Row],[OTROUNDNUM]]), "", Table2[[#This Row],[PAWAYSCORE]]-Table2[[#This Row],[AAWAYSCORE]])</f>
        <v>-1</v>
      </c>
      <c r="AC22" s="63">
        <f>IF(ISBLANK(Table2[[#This Row],[OTROUNDNUM]]), "", Table2[[#This Row],[PHOMESCORE]]-Table2[[#This Row],[AHOMESCORE]])</f>
        <v>0</v>
      </c>
      <c r="AD22" s="63">
        <f>_xlfn.IFS(ISBLANK(Table2[[#This Row],[GAMENUM]]), " ", 1, IF((Table2[[#This Row],[TOPSEEDWINS]]+Table2[[#This Row],[LOWSEEDWINS]]) &lt;&gt; Table2[[#This Row],[GAMENUM]], 0, 1))</f>
        <v>1</v>
      </c>
      <c r="AE22" s="63">
        <f>_xlfn.IFS(ISBLANK(Table2[[#This Row],[GAMENUM]]),"", Table2[[#This Row],[GameOver]]=0,"",Table2[[#This Row],[AAWAYSCORE]]&gt;Table2[[#This Row],[AHOMESCORE]], 1,1,0)</f>
        <v>1</v>
      </c>
      <c r="AF22" s="63">
        <f>_xlfn.IFS(ISBLANK(Table2[[#This Row],[GAMENUM]]),"",Table2[[#This Row],[GameOver]]=0,"",Table2[[#This Row],[AAWAYSCORE]]&lt;Table2[[#This Row],[AHOMESCORE]], 1,1,0)</f>
        <v>0</v>
      </c>
      <c r="AG22" s="63">
        <f>_xlfn.IFS(ISBLANK(Table2[[#This Row],[GAMENUM]]),"",Table2[[#This Row],[GameOver]]=0,"",Table2[[#This Row],[OTROUNDNUM]]&gt;0,1,1,0)</f>
        <v>0</v>
      </c>
      <c r="AH22" s="63">
        <f>_xlfn.IFS(ISBLANK(Table2[[#This Row],[GAMENUM]]),"",Table2[[#This Row],[GameOver]]=0,"",Table2[[#This Row],[AAWAYSCORE]]=0,1,1,0)</f>
        <v>0</v>
      </c>
      <c r="AI22" s="63">
        <f>_xlfn.IFS(ISBLANK(Table2[[#This Row],[GAMENUM]]),"", Table2[[#This Row],[GameOver]]=0,"",Table2[[#This Row],[AHOMESCORE]]=0,1,1,0)</f>
        <v>0</v>
      </c>
      <c r="AJ22" s="57"/>
      <c r="AK22" s="65"/>
      <c r="AL22" s="11"/>
      <c r="AM22" s="11"/>
      <c r="AN22" s="16"/>
      <c r="AO22" s="11"/>
      <c r="AP22" s="11"/>
      <c r="AQ22" s="42"/>
      <c r="AR22" s="45" t="s">
        <v>18</v>
      </c>
      <c r="AS22" s="137">
        <f>SUMIFS(Table2[Periods], Table2[TOPSEED], Table4[[#This Row],[Team]], Table2[ROUNDNUM], 1)+SUMIFS(Table2[Periods], Table2[LOWSEED], Table4[[#This Row],[Team]], Table2[ROUNDNUM],1)</f>
        <v>13.694166666666668</v>
      </c>
      <c r="AT22" s="55">
        <f>SUMIFS(Table2[TimeInSeconds], Table2[TOPSEED], Table4[[#This Row],[Team]], Table2[ROUNDNUM], 1)+SUMIFS(Table2[TimeInSeconds], Table2[LOWSEED], Table4[[#This Row],[Team]], Table2[ROUNDNUM],1)</f>
        <v>16433</v>
      </c>
      <c r="AU22" s="137">
        <f>Table4[[#This Row],[SecondsPlayed]]/3600</f>
        <v>4.5647222222222226</v>
      </c>
      <c r="AV22" s="57">
        <v>2006</v>
      </c>
      <c r="AW22" s="57">
        <f>COUNTIFS(Table2[LOWSEED], AR22, Table2[ROUNDNUM], 1, Table2[GameOver], 1) + COUNTIFS(Table2[TOPSEED], AR22, Table2[ROUNDNUM], 1, Table2[GameOver], 1)</f>
        <v>4</v>
      </c>
      <c r="AX22" s="57">
        <f>COUNTIFS(Table2[LOWSEED], AR22, Table2[ROUNDNUM], 2, Table2[GameOver], 1) + COUNTIFS(Table2[TOPSEED], AR22, Table2[ROUNDNUM], 2, Table2[GameOver], 1)</f>
        <v>4</v>
      </c>
      <c r="AY22" s="57">
        <f>COUNTIFS(Table2[LOWSEED], AR22, Table2[ROUNDNUM], 3, Table2[GameOver], 1) + COUNTIFS(Table2[TOPSEED], AR22, Table2[ROUNDNUM], 3, Table2[GameOver], 1)</f>
        <v>5</v>
      </c>
      <c r="AZ22" s="57">
        <f>COUNTIFS(Table2[LOWSEED], AR22, Table2[ROUNDNUM], 4, Table2[GameOver], 1) + COUNTIFS(Table2[TOPSEED], AR22, Table2[ROUNDNUM], 4, Table2[GameOver], 1)</f>
        <v>1</v>
      </c>
      <c r="BA22" s="57">
        <f>AW22+AX22+AY22+AZ22</f>
        <v>14</v>
      </c>
      <c r="BB22" s="57">
        <f t="shared" ref="BB22:BB37" si="8">COUNTIF($P$2:$P$107, AR22)</f>
        <v>11</v>
      </c>
      <c r="BC22" s="57">
        <f t="shared" ref="BC22:BC37" si="9">COUNTIF($O$2:$O$107, AR22)</f>
        <v>9</v>
      </c>
      <c r="BD22" s="57">
        <f t="shared" ref="BD22:BD37" si="10">BF22+BH22</f>
        <v>8</v>
      </c>
      <c r="BE22" s="57">
        <f t="shared" ref="BE22:BE37" si="11">BA22-BD22</f>
        <v>6</v>
      </c>
      <c r="BF22" s="57">
        <f t="shared" ref="BF22:BF37" si="12">SUMPRODUCT(($P$2:$P$107=AR22)*($W$2:$W$107&gt;$V$2:$V$107))</f>
        <v>0</v>
      </c>
      <c r="BG22" s="57">
        <f t="shared" ref="BG22:BG37" si="13">SUMPRODUCT(($P$2:$P$107=AR22)*($W$2:$W$107&lt;$V$2:$V$107))</f>
        <v>11</v>
      </c>
      <c r="BH22" s="57">
        <f t="shared" ref="BH22:BH37" si="14">SUMPRODUCT(($O$2:$O$107=AR22)*($W$2:$W$107&lt;$V$2:$V$107))</f>
        <v>8</v>
      </c>
      <c r="BI22" s="57">
        <f t="shared" ref="BI22:BI37" si="15">SUMPRODUCT(($O$2:$O$107=AR22)*($W$2:$W$107&gt;$V$2:$V$107))</f>
        <v>0</v>
      </c>
      <c r="BJ22" s="57">
        <f t="shared" ref="BJ22:BJ37" si="16">COUNTIFS($P$2:$P$107,AR22,$G$2:$G$107,1)</f>
        <v>3</v>
      </c>
      <c r="BK22" s="57">
        <f t="shared" ref="BK22:BK37" si="17">COUNTIFS($O$2:$O$107,AR22,$G$2:$G$107,1)</f>
        <v>2</v>
      </c>
      <c r="BL22" s="57">
        <f t="shared" ref="BL22:BL37" si="18">SUMIFS($W$2:$W$107, $P$2:$P$107, AR22,$G$2:$G$107, 1)</f>
        <v>2</v>
      </c>
      <c r="BM22" s="57">
        <f t="shared" ref="BM22:BM37" si="19">SUMIFS($V$2:$V$107, $O$2:$O$107, AR22,$G$2:$G$107, 1)</f>
        <v>5</v>
      </c>
      <c r="BN22" s="57">
        <f t="shared" ref="BN22:BN37" si="20">SUMIFS($V$2:$V$107, $P$2:$P$107, AR22,$G$2:$G$107, 1)</f>
        <v>7</v>
      </c>
      <c r="BO22" s="57">
        <f t="shared" ref="BO22:BO37" si="21">SUMIFS($W$2:$W$107, $O$2:$O$107, AR22,$G$2:$G$107, 1)</f>
        <v>2</v>
      </c>
      <c r="BP22" s="57">
        <f>BL22-BN22</f>
        <v>-5</v>
      </c>
      <c r="BQ22" s="57">
        <f>BM22-BO22</f>
        <v>3</v>
      </c>
      <c r="BR22" s="57">
        <f>BL22+BM22</f>
        <v>7</v>
      </c>
      <c r="BS22" s="57">
        <f>BN22+BO22</f>
        <v>9</v>
      </c>
      <c r="BT22" s="57">
        <f>(BL22+BM22)-(BN22+BO22)</f>
        <v>-2</v>
      </c>
      <c r="BU22" s="57">
        <f>BL22/BJ22</f>
        <v>0.66666666666666663</v>
      </c>
      <c r="BV22" s="57">
        <f>BM22/BK22</f>
        <v>2.5</v>
      </c>
      <c r="BW22" s="57">
        <f>BN22/BJ22</f>
        <v>2.3333333333333335</v>
      </c>
      <c r="BX22" s="57">
        <f>BO22/BK22</f>
        <v>1</v>
      </c>
      <c r="BY22" s="57">
        <f t="shared" ref="BY22:BY37" si="22">BR22/AW22</f>
        <v>1.75</v>
      </c>
      <c r="BZ22" s="57">
        <f t="shared" ref="BZ22:BZ37" si="23">BS22/AW22</f>
        <v>2.25</v>
      </c>
      <c r="CA22" s="65"/>
      <c r="CB22" s="140">
        <v>0</v>
      </c>
      <c r="CC22" s="45" t="str">
        <f t="shared" ref="CC22:CC37" si="24">AR22</f>
        <v>CAR</v>
      </c>
      <c r="CD22" s="56">
        <f>SUMIFS(Table2[Periods], Table2[TOPSEED], Table1[[#This Row],[Team]])+SUMIFS(Table2[Periods], Table2[LOWSEED], Table1[[#This Row],[Team]])</f>
        <v>45.794166666666669</v>
      </c>
      <c r="CE22" s="55">
        <f>SUMIFS(Table2[TimeInSeconds], Table2[TOPSEED], Table1[[#This Row],[Team]])+SUMIFS(Table2[TimeInSeconds], Table2[LOWSEED], Table1[[#This Row],[Team]])</f>
        <v>54953</v>
      </c>
      <c r="CF22" s="57">
        <f>Table1[[#This Row],[SecondsPlayed]]/3600</f>
        <v>15.264722222222222</v>
      </c>
      <c r="CG22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52</v>
      </c>
      <c r="CH22" s="56">
        <f>Table1[[#This Row],[PeriodsPlayed]]/Table1[[#This Row],[DaysPast]]</f>
        <v>0.8806570512820513</v>
      </c>
      <c r="CI22" s="56">
        <f>Table1[[#This Row],[PeriodsPlayed]]/Table1[[#This Row],[GP TOT]]</f>
        <v>3.2710119047619051</v>
      </c>
      <c r="CJ22" s="57">
        <v>2006</v>
      </c>
      <c r="CK22" s="55">
        <f t="shared" ref="CK22:CK37" si="25">BA22</f>
        <v>14</v>
      </c>
      <c r="CL22" s="55">
        <f t="shared" ref="CL22:CL37" si="26">BB22</f>
        <v>11</v>
      </c>
      <c r="CM22" s="55">
        <f t="shared" ref="CM22:CM37" si="27">BC22</f>
        <v>9</v>
      </c>
      <c r="CN22" s="55">
        <f t="shared" ref="CN22:CN37" si="28">BD22</f>
        <v>8</v>
      </c>
      <c r="CO22" s="55">
        <f t="shared" ref="CO22:CO37" si="29">BE22</f>
        <v>6</v>
      </c>
      <c r="CP22" s="55">
        <f t="shared" ref="CP22:CP37" si="30">BF22</f>
        <v>0</v>
      </c>
      <c r="CQ22" s="55">
        <f t="shared" ref="CQ22:CQ37" si="31">BG22</f>
        <v>11</v>
      </c>
      <c r="CR22" s="55">
        <f t="shared" ref="CR22:CR37" si="32">BH22</f>
        <v>8</v>
      </c>
      <c r="CS22" s="55">
        <f t="shared" ref="CS22:CS37" si="33">BI22</f>
        <v>0</v>
      </c>
      <c r="CT22" s="55">
        <f t="shared" ref="CT22:CT37" si="34">SUMIFS($W$2:$W$107,$P$2:$P$107,AR22,$G$2:$G$107,1)+SUMIFS($W$2:$W$107,$P$2:$P$107,AR22,$G$2:$G$107,2)+SUMIFS($W$2:$W$107,$P$2:$P$107,AR22,$G$2:$G$107,3)+SUMIFS($W$2:$W$107,$P$2:$P$107,AR22,$G$2:$G$107,4)</f>
        <v>6</v>
      </c>
      <c r="CU22" s="55">
        <f t="shared" ref="CU22:CU37" si="35">SUMIFS($V$2:$V$107,$O$2:$O$107,AR22,$G$2:$G$107,1) + SUMIFS($V$2:$V$107,$O$2:$O$107,AR22,$G$2:$G$107,2)+SUMIFS($V$2:$V$107,$O$2:$O$107,AR22,$G$2:$G$107,3)+SUMIFS($V$2:$V$107,$O$2:$O$107,AR22,$G$2:$G$107,4)</f>
        <v>26</v>
      </c>
      <c r="CV22" s="55">
        <f t="shared" ref="CV22:CV37" si="36">SUMIFS($V$2:$V$107,$P$2:$P$107,AR22,$G$2:$G$107,1)+SUMIFS($V$2:$V$107,$P$2:$P$107,AR22,$G$2:$G$107,2)+SUMIFS($V$2:$V$107,$P$2:$P$107,AR22,$G$2:$G$107,3)+SUMIFS($V$2:$V$107,$P$2:$P$107,AR22,$G$2:$G$107,4)</f>
        <v>27</v>
      </c>
      <c r="CW22" s="55">
        <f t="shared" ref="CW22:CW37" si="37">SUMIFS($W$2:$W$107,$O$2:$O$107,AR22,$G$2:$G$107,1)+(SUMIFS($W$2:$W$107,$O$2:$O$107,AR22,$G$2:$G$107,2)+SUMIFS($W$2:$W$107,$O$2:$O$107,AR22,$G$2:$G$107,3)+SUMIFS($W$2:$W$107,$O$2:$O$107,AR22,$G$2:$G$107,4))</f>
        <v>4</v>
      </c>
      <c r="CX22" s="55">
        <f t="shared" ref="CX22:CX37" si="38">CT22-CV22</f>
        <v>-21</v>
      </c>
      <c r="CY22" s="55">
        <f t="shared" ref="CY22:CY37" si="39">CU22-CW22</f>
        <v>22</v>
      </c>
      <c r="CZ22" s="55">
        <f t="shared" ref="CZ22:CZ37" si="40">CT22+CU22</f>
        <v>32</v>
      </c>
      <c r="DA22" s="55">
        <f t="shared" ref="DA22:DA37" si="41">CV22+CW22</f>
        <v>31</v>
      </c>
      <c r="DB22" s="55">
        <f t="shared" ref="DB22:DB37" si="42">(CT22+CU22)-(CV22+CW22)</f>
        <v>1</v>
      </c>
      <c r="DC22" s="56">
        <f t="shared" ref="DC22:DC37" si="43">CT22/CL22</f>
        <v>0.54545454545454541</v>
      </c>
      <c r="DD22" s="56">
        <f t="shared" ref="DD22:DD37" si="44">CU22/CM22</f>
        <v>2.8888888888888888</v>
      </c>
      <c r="DE22" s="56">
        <f t="shared" ref="DE22:DE37" si="45">CV22/CL22</f>
        <v>2.4545454545454546</v>
      </c>
      <c r="DF22" s="56">
        <f t="shared" ref="DF22:DF37" si="46">CW22/CM22</f>
        <v>0.44444444444444442</v>
      </c>
      <c r="DG22" s="56">
        <f t="shared" ref="DG22:DG37" si="47">CZ22/CK22</f>
        <v>2.2857142857142856</v>
      </c>
      <c r="DH22" s="56">
        <f t="shared" ref="DH22:DH37" si="48">DA22/CK22</f>
        <v>2.2142857142857144</v>
      </c>
    </row>
    <row r="23" spans="1:112" x14ac:dyDescent="0.25">
      <c r="A23" s="55" t="str">
        <f>IF(ISBLANK(Table2[[#This Row],[GAMENUM]]), "", _xlfn.TEXTJOIN("", 1, "2025030", Table2[[#This Row],[ROUNDNUM]], Table2[[#This Row],[SeriesID]], Table2[[#This Row],[GAMENUM]]))</f>
        <v>2025030123</v>
      </c>
      <c r="B23" s="63">
        <f>IF(ISBLANK(Table2[[#This Row],[GAMENUM]]), "", INDEX(Table3[SeriesID], MATCH(Table2[[#This Row],[SERIESCODE]],Table3[SeriesCode],0)))</f>
        <v>2</v>
      </c>
      <c r="C23" s="57" t="str">
        <f t="shared" si="0"/>
        <v>Friday</v>
      </c>
      <c r="D23" s="59">
        <v>46136</v>
      </c>
      <c r="E23" s="60">
        <v>0.83333333333333337</v>
      </c>
      <c r="F23" s="59" t="s">
        <v>16</v>
      </c>
      <c r="G23" s="62">
        <v>1</v>
      </c>
      <c r="H23" s="63" t="s">
        <v>31</v>
      </c>
      <c r="I23" s="62">
        <v>3</v>
      </c>
      <c r="J23" s="96" t="str">
        <f>INDEX(Table3[TopSeed],MATCH(Table2[[#This Row],[SERIESCODE]], Table3[SeriesCode], 0))</f>
        <v>TBL</v>
      </c>
      <c r="K23" s="97" t="str">
        <f>INDEX(Table3[LowSeed],MATCH(Table2[[#This Row],[SERIESCODE]], Table3[SeriesCode], 0))</f>
        <v>MTL</v>
      </c>
      <c r="L23" s="62">
        <v>1</v>
      </c>
      <c r="M23" s="62">
        <v>2</v>
      </c>
      <c r="N23" s="77" t="str">
        <f>IF(Table2[[#This Row],[GAMENUM]] = 6, Table2[[#This Row],[TOPSEED]], IF(Table2[[#This Row],[GAMENUM]] = 4, Table2[[#This Row],[TOPSEED]], IF(Table2[[#This Row],[GAMENUM]] = 3, Table2[[#This Row],[TOPSEED]], Table2[LOWSEED])))</f>
        <v>TBL</v>
      </c>
      <c r="O23" s="79" t="str">
        <f>IF(Table2[[#This Row],[GAMENUM]] = 6, Table2[[#This Row],[LOWSEED]], IF(Table2[[#This Row],[GAMENUM]] = 4, Table2[[#This Row],[LOWSEED]], IF(Table2[[#This Row],[GAMENUM]] = 3, Table2[[#This Row],[LOWSEED]], Table2[TOPSEED])))</f>
        <v>MTL</v>
      </c>
      <c r="P23" s="97" t="str">
        <f t="shared" si="1"/>
        <v>MTL</v>
      </c>
      <c r="Q23" s="62">
        <v>2</v>
      </c>
      <c r="R23" s="62">
        <v>3</v>
      </c>
      <c r="S23" s="63" t="s">
        <v>154</v>
      </c>
      <c r="T23" s="59">
        <v>46136</v>
      </c>
      <c r="U23" s="62">
        <v>2</v>
      </c>
      <c r="V23" s="62">
        <v>3</v>
      </c>
      <c r="W23" s="62">
        <v>1</v>
      </c>
      <c r="X23" s="62">
        <v>3729</v>
      </c>
      <c r="Y23" s="63">
        <f>Table2[[#This Row],[TimeInSeconds]]/1200</f>
        <v>3.1074999999999999</v>
      </c>
      <c r="Z23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23" s="97" t="str">
        <f t="shared" si="2"/>
        <v>MTL</v>
      </c>
      <c r="AB23" s="63">
        <f>IF(ISBLANK(Table2[[#This Row],[OTROUNDNUM]]), "", Table2[[#This Row],[PAWAYSCORE]]-Table2[[#This Row],[AAWAYSCORE]])</f>
        <v>0</v>
      </c>
      <c r="AC23" s="63">
        <f>IF(ISBLANK(Table2[[#This Row],[OTROUNDNUM]]), "", Table2[[#This Row],[PHOMESCORE]]-Table2[[#This Row],[AHOMESCORE]])</f>
        <v>0</v>
      </c>
      <c r="AD23" s="63">
        <f>_xlfn.IFS(ISBLANK(Table2[[#This Row],[GAMENUM]]), " ", 1, IF((Table2[[#This Row],[TOPSEEDWINS]]+Table2[[#This Row],[LOWSEEDWINS]]) &lt;&gt; Table2[[#This Row],[GAMENUM]], 0, 1))</f>
        <v>1</v>
      </c>
      <c r="AE23" s="63">
        <f>_xlfn.IFS(ISBLANK(Table2[[#This Row],[GAMENUM]]),"", Table2[[#This Row],[GameOver]]=0,"",Table2[[#This Row],[AAWAYSCORE]]&gt;Table2[[#This Row],[AHOMESCORE]], 1,1,0)</f>
        <v>0</v>
      </c>
      <c r="AF23" s="63">
        <f>_xlfn.IFS(ISBLANK(Table2[[#This Row],[GAMENUM]]),"",Table2[[#This Row],[GameOver]]=0,"",Table2[[#This Row],[AAWAYSCORE]]&lt;Table2[[#This Row],[AHOMESCORE]], 1,1,0)</f>
        <v>1</v>
      </c>
      <c r="AG23" s="63">
        <f>_xlfn.IFS(ISBLANK(Table2[[#This Row],[GAMENUM]]),"",Table2[[#This Row],[GameOver]]=0,"",Table2[[#This Row],[OTROUNDNUM]]&gt;0,1,1,0)</f>
        <v>1</v>
      </c>
      <c r="AH23" s="63">
        <f>_xlfn.IFS(ISBLANK(Table2[[#This Row],[GAMENUM]]),"",Table2[[#This Row],[GameOver]]=0,"",Table2[[#This Row],[AAWAYSCORE]]=0,1,1,0)</f>
        <v>0</v>
      </c>
      <c r="AI23" s="63">
        <f>_xlfn.IFS(ISBLANK(Table2[[#This Row],[GAMENUM]]),"", Table2[[#This Row],[GameOver]]=0,"",Table2[[#This Row],[AHOMESCORE]]=0,1,1,0)</f>
        <v>0</v>
      </c>
      <c r="AJ23" s="57" t="s">
        <v>180</v>
      </c>
      <c r="AK23" s="65"/>
      <c r="AL23" s="11"/>
      <c r="AM23" s="11"/>
      <c r="AN23" s="16"/>
      <c r="AO23" s="11"/>
      <c r="AP23" s="11"/>
      <c r="AQ23" s="42"/>
      <c r="AR23" s="46" t="s">
        <v>156</v>
      </c>
      <c r="AS23" s="137">
        <f>SUMIFS(Table2[Periods], Table2[TOPSEED], Table4[[#This Row],[Team]], Table2[ROUNDNUM], 1)+SUMIFS(Table2[Periods], Table2[LOWSEED], Table4[[#This Row],[Team]], Table2[ROUNDNUM],1)</f>
        <v>13.694166666666668</v>
      </c>
      <c r="AT23" s="57">
        <f>SUMIFS(Table2[TimeInSeconds], Table2[TOPSEED], Table4[[#This Row],[Team]], Table2[ROUNDNUM], 1)+SUMIFS(Table2[TimeInSeconds], Table2[LOWSEED], Table4[[#This Row],[Team]], Table2[ROUNDNUM],1)</f>
        <v>16433</v>
      </c>
      <c r="AU23" s="137">
        <f>Table4[[#This Row],[SecondsPlayed]]/3600</f>
        <v>4.5647222222222226</v>
      </c>
      <c r="AV23" s="57"/>
      <c r="AW23" s="57">
        <f>COUNTIFS(Table2[LOWSEED], AR23, Table2[ROUNDNUM], 1, Table2[GameOver], 1) + COUNTIFS(Table2[TOPSEED], AR23, Table2[ROUNDNUM], 1, Table2[GameOver], 1)</f>
        <v>4</v>
      </c>
      <c r="AX23" s="57">
        <f>COUNTIFS(Table2[LOWSEED], AR23, Table2[ROUNDNUM], 2, Table2[GameOver], 1) + COUNTIFS(Table2[TOPSEED], AR23, Table2[ROUNDNUM], 2, Table2[GameOver], 1)</f>
        <v>0</v>
      </c>
      <c r="AY23" s="57">
        <f>COUNTIFS(Table2[LOWSEED], AR23, Table2[ROUNDNUM], 3, Table2[GameOver], 1) + COUNTIFS(Table2[TOPSEED], AR23, Table2[ROUNDNUM], 3, Table2[GameOver], 1)</f>
        <v>0</v>
      </c>
      <c r="AZ23" s="57">
        <f>COUNTIFS(Table2[LOWSEED], AR23, Table2[ROUNDNUM], 4, Table2[GameOver], 1) + COUNTIFS(Table2[TOPSEED], AR23, Table2[ROUNDNUM], 4, Table2[GameOver], 1)</f>
        <v>0</v>
      </c>
      <c r="BA23" s="57">
        <f t="shared" ref="BA23:BA37" si="49">AW23+AX23+AY23+AZ23</f>
        <v>4</v>
      </c>
      <c r="BB23" s="57">
        <f t="shared" si="8"/>
        <v>1</v>
      </c>
      <c r="BC23" s="57">
        <f t="shared" si="9"/>
        <v>2</v>
      </c>
      <c r="BD23" s="57">
        <f t="shared" si="10"/>
        <v>2</v>
      </c>
      <c r="BE23" s="57">
        <f t="shared" si="11"/>
        <v>2</v>
      </c>
      <c r="BF23" s="57">
        <f t="shared" si="12"/>
        <v>0</v>
      </c>
      <c r="BG23" s="57">
        <f t="shared" si="13"/>
        <v>1</v>
      </c>
      <c r="BH23" s="57">
        <f t="shared" si="14"/>
        <v>2</v>
      </c>
      <c r="BI23" s="57">
        <f t="shared" si="15"/>
        <v>0</v>
      </c>
      <c r="BJ23" s="57">
        <f t="shared" si="16"/>
        <v>1</v>
      </c>
      <c r="BK23" s="57">
        <f t="shared" si="17"/>
        <v>2</v>
      </c>
      <c r="BL23" s="57">
        <f t="shared" si="18"/>
        <v>0</v>
      </c>
      <c r="BM23" s="57">
        <f t="shared" si="19"/>
        <v>3</v>
      </c>
      <c r="BN23" s="57">
        <f t="shared" si="20"/>
        <v>1</v>
      </c>
      <c r="BO23" s="57">
        <f t="shared" si="21"/>
        <v>0</v>
      </c>
      <c r="BP23" s="57">
        <f t="shared" ref="BP23:BQ37" si="50">BL23-BN23</f>
        <v>-1</v>
      </c>
      <c r="BQ23" s="57">
        <f t="shared" si="50"/>
        <v>3</v>
      </c>
      <c r="BR23" s="57">
        <f t="shared" ref="BR23:BR37" si="51">BL23+BM23</f>
        <v>3</v>
      </c>
      <c r="BS23" s="57">
        <f t="shared" ref="BS23:BS37" si="52">BN23+BO23</f>
        <v>1</v>
      </c>
      <c r="BT23" s="57">
        <f t="shared" ref="BT23:BT37" si="53">(BL23+BM23)-(BN23+BO23)</f>
        <v>2</v>
      </c>
      <c r="BU23" s="57">
        <f t="shared" ref="BU23:BV37" si="54">BL23/BJ23</f>
        <v>0</v>
      </c>
      <c r="BV23" s="57">
        <f t="shared" si="54"/>
        <v>1.5</v>
      </c>
      <c r="BW23" s="57">
        <f t="shared" ref="BW23:BX37" si="55">BN23/BJ23</f>
        <v>1</v>
      </c>
      <c r="BX23" s="57">
        <f t="shared" si="55"/>
        <v>0</v>
      </c>
      <c r="BY23" s="57">
        <f t="shared" si="22"/>
        <v>0.75</v>
      </c>
      <c r="BZ23" s="57">
        <f t="shared" si="23"/>
        <v>0.25</v>
      </c>
      <c r="CA23" s="65"/>
      <c r="CB23" s="141">
        <v>1</v>
      </c>
      <c r="CC23" s="46" t="str">
        <f t="shared" si="24"/>
        <v>OTT</v>
      </c>
      <c r="CD23" s="56">
        <f>SUMIFS(Table2[Periods], Table2[TOPSEED], Table1[[#This Row],[Team]])+SUMIFS(Table2[Periods], Table2[LOWSEED], Table1[[#This Row],[Team]])</f>
        <v>13.694166666666668</v>
      </c>
      <c r="CE23" s="55">
        <f>SUMIFS(Table2[TimeInSeconds], Table2[TOPSEED], Table1[[#This Row],[Team]])+SUMIFS(Table2[TimeInSeconds], Table2[LOWSEED], Table1[[#This Row],[Team]])</f>
        <v>16433</v>
      </c>
      <c r="CF23" s="57">
        <f>Table1[[#This Row],[SecondsPlayed]]/3600</f>
        <v>4.5647222222222226</v>
      </c>
      <c r="CG23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7</v>
      </c>
      <c r="CH23" s="56">
        <f>Table1[[#This Row],[PeriodsPlayed]]/Table1[[#This Row],[DaysPast]]</f>
        <v>1.9563095238095241</v>
      </c>
      <c r="CI23" s="56">
        <f>Table1[[#This Row],[PeriodsPlayed]]/Table1[[#This Row],[GP TOT]]</f>
        <v>3.4235416666666669</v>
      </c>
      <c r="CJ23" s="57"/>
      <c r="CK23" s="55">
        <f t="shared" si="25"/>
        <v>4</v>
      </c>
      <c r="CL23" s="55">
        <f t="shared" si="26"/>
        <v>1</v>
      </c>
      <c r="CM23" s="55">
        <f t="shared" si="27"/>
        <v>2</v>
      </c>
      <c r="CN23" s="55">
        <f t="shared" si="28"/>
        <v>2</v>
      </c>
      <c r="CO23" s="55">
        <f t="shared" si="29"/>
        <v>2</v>
      </c>
      <c r="CP23" s="55">
        <f t="shared" si="30"/>
        <v>0</v>
      </c>
      <c r="CQ23" s="55">
        <f t="shared" si="31"/>
        <v>1</v>
      </c>
      <c r="CR23" s="55">
        <f t="shared" si="32"/>
        <v>2</v>
      </c>
      <c r="CS23" s="55">
        <f t="shared" si="33"/>
        <v>0</v>
      </c>
      <c r="CT23" s="55">
        <f t="shared" si="34"/>
        <v>0</v>
      </c>
      <c r="CU23" s="55">
        <f t="shared" si="35"/>
        <v>3</v>
      </c>
      <c r="CV23" s="55">
        <f t="shared" si="36"/>
        <v>1</v>
      </c>
      <c r="CW23" s="55">
        <f t="shared" si="37"/>
        <v>0</v>
      </c>
      <c r="CX23" s="55">
        <f t="shared" si="38"/>
        <v>-1</v>
      </c>
      <c r="CY23" s="55">
        <f t="shared" si="39"/>
        <v>3</v>
      </c>
      <c r="CZ23" s="55">
        <f t="shared" si="40"/>
        <v>3</v>
      </c>
      <c r="DA23" s="55">
        <f t="shared" si="41"/>
        <v>1</v>
      </c>
      <c r="DB23" s="55">
        <f t="shared" si="42"/>
        <v>2</v>
      </c>
      <c r="DC23" s="56">
        <f t="shared" si="43"/>
        <v>0</v>
      </c>
      <c r="DD23" s="56">
        <f t="shared" si="44"/>
        <v>1.5</v>
      </c>
      <c r="DE23" s="56">
        <f t="shared" si="45"/>
        <v>1</v>
      </c>
      <c r="DF23" s="56">
        <f t="shared" si="46"/>
        <v>0</v>
      </c>
      <c r="DG23" s="56">
        <f t="shared" si="47"/>
        <v>0.75</v>
      </c>
      <c r="DH23" s="56">
        <f t="shared" si="48"/>
        <v>0.25</v>
      </c>
    </row>
    <row r="24" spans="1:112" x14ac:dyDescent="0.25">
      <c r="A24" s="55" t="str">
        <f>IF(ISBLANK(Table2[[#This Row],[GAMENUM]]), "", _xlfn.TEXTJOIN("", 1, "2025030", Table2[[#This Row],[ROUNDNUM]], Table2[[#This Row],[SeriesID]], Table2[[#This Row],[GAMENUM]]))</f>
        <v>2025030173</v>
      </c>
      <c r="B24" s="63">
        <f>IF(ISBLANK(Table2[[#This Row],[GAMENUM]]), "", INDEX(Table3[SeriesID], MATCH(Table2[[#This Row],[SERIESCODE]],Table3[SeriesCode],0)))</f>
        <v>7</v>
      </c>
      <c r="C24" s="57" t="str">
        <f t="shared" si="0"/>
        <v>Friday</v>
      </c>
      <c r="D24" s="59">
        <v>46136</v>
      </c>
      <c r="E24" s="60">
        <v>0.9375</v>
      </c>
      <c r="F24" s="59" t="s">
        <v>38</v>
      </c>
      <c r="G24" s="62">
        <v>1</v>
      </c>
      <c r="H24" s="63" t="s">
        <v>42</v>
      </c>
      <c r="I24" s="62">
        <v>3</v>
      </c>
      <c r="J24" s="81" t="str">
        <f>INDEX(Table3[TopSeed],MATCH(Table2[[#This Row],[SERIESCODE]], Table3[SeriesCode], 0))</f>
        <v>VGK</v>
      </c>
      <c r="K24" s="82" t="str">
        <f>INDEX(Table3[LowSeed],MATCH(Table2[[#This Row],[SERIESCODE]], Table3[SeriesCode], 0))</f>
        <v>UTA</v>
      </c>
      <c r="L24" s="62">
        <v>1</v>
      </c>
      <c r="M24" s="62">
        <v>2</v>
      </c>
      <c r="N24" s="84" t="str">
        <f>IF(Table2[[#This Row],[GAMENUM]] = 6, Table2[[#This Row],[TOPSEED]], IF(Table2[[#This Row],[GAMENUM]] = 4, Table2[[#This Row],[TOPSEED]], IF(Table2[[#This Row],[GAMENUM]] = 3, Table2[[#This Row],[TOPSEED]], Table2[LOWSEED])))</f>
        <v>VGK</v>
      </c>
      <c r="O24" s="83" t="str">
        <f>IF(Table2[[#This Row],[GAMENUM]] = 6, Table2[[#This Row],[LOWSEED]], IF(Table2[[#This Row],[GAMENUM]] = 4, Table2[[#This Row],[LOWSEED]], IF(Table2[[#This Row],[GAMENUM]] = 3, Table2[[#This Row],[LOWSEED]], Table2[TOPSEED])))</f>
        <v>UTA</v>
      </c>
      <c r="P24" s="83" t="str">
        <f t="shared" si="1"/>
        <v>UTA</v>
      </c>
      <c r="Q24" s="62">
        <v>2</v>
      </c>
      <c r="R24" s="62">
        <v>3</v>
      </c>
      <c r="S24" s="63" t="s">
        <v>154</v>
      </c>
      <c r="T24" s="59">
        <v>46136</v>
      </c>
      <c r="U24" s="62">
        <v>2</v>
      </c>
      <c r="V24" s="62">
        <v>4</v>
      </c>
      <c r="W24" s="62">
        <v>0</v>
      </c>
      <c r="X24" s="62">
        <v>3600</v>
      </c>
      <c r="Y24" s="63">
        <f>Table2[[#This Row],[TimeInSeconds]]/1200</f>
        <v>3</v>
      </c>
      <c r="Z24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24" s="83" t="str">
        <f t="shared" si="2"/>
        <v>UTA</v>
      </c>
      <c r="AB24" s="63">
        <f>IF(ISBLANK(Table2[[#This Row],[OTROUNDNUM]]), "", Table2[[#This Row],[PAWAYSCORE]]-Table2[[#This Row],[AAWAYSCORE]])</f>
        <v>0</v>
      </c>
      <c r="AC24" s="63">
        <f>IF(ISBLANK(Table2[[#This Row],[OTROUNDNUM]]), "", Table2[[#This Row],[PHOMESCORE]]-Table2[[#This Row],[AHOMESCORE]])</f>
        <v>-1</v>
      </c>
      <c r="AD24" s="63">
        <f>_xlfn.IFS(ISBLANK(Table2[[#This Row],[GAMENUM]]), " ", 1, IF((Table2[[#This Row],[TOPSEEDWINS]]+Table2[[#This Row],[LOWSEEDWINS]]) &lt;&gt; Table2[[#This Row],[GAMENUM]], 0, 1))</f>
        <v>1</v>
      </c>
      <c r="AE24" s="63">
        <f>_xlfn.IFS(ISBLANK(Table2[[#This Row],[GAMENUM]]),"", Table2[[#This Row],[GameOver]]=0,"",Table2[[#This Row],[AAWAYSCORE]]&gt;Table2[[#This Row],[AHOMESCORE]], 1,1,0)</f>
        <v>0</v>
      </c>
      <c r="AF24" s="63">
        <f>_xlfn.IFS(ISBLANK(Table2[[#This Row],[GAMENUM]]),"",Table2[[#This Row],[GameOver]]=0,"",Table2[[#This Row],[AAWAYSCORE]]&lt;Table2[[#This Row],[AHOMESCORE]], 1,1,0)</f>
        <v>1</v>
      </c>
      <c r="AG24" s="63">
        <f>_xlfn.IFS(ISBLANK(Table2[[#This Row],[GAMENUM]]),"",Table2[[#This Row],[GameOver]]=0,"",Table2[[#This Row],[OTROUNDNUM]]&gt;0,1,1,0)</f>
        <v>0</v>
      </c>
      <c r="AH24" s="63">
        <f>_xlfn.IFS(ISBLANK(Table2[[#This Row],[GAMENUM]]),"",Table2[[#This Row],[GameOver]]=0,"",Table2[[#This Row],[AAWAYSCORE]]=0,1,1,0)</f>
        <v>0</v>
      </c>
      <c r="AI24" s="63">
        <f>_xlfn.IFS(ISBLANK(Table2[[#This Row],[GAMENUM]]),"", Table2[[#This Row],[GameOver]]=0,"",Table2[[#This Row],[AHOMESCORE]]=0,1,1,0)</f>
        <v>0</v>
      </c>
      <c r="AJ24" s="57" t="s">
        <v>183</v>
      </c>
      <c r="AK24" s="65"/>
      <c r="AL24" s="11"/>
      <c r="AM24" s="11"/>
      <c r="AN24" s="16"/>
      <c r="AO24" s="11"/>
      <c r="AP24" s="11"/>
      <c r="AQ24" s="42"/>
      <c r="AR24" s="88" t="s">
        <v>168</v>
      </c>
      <c r="AS24" s="137">
        <f>SUMIFS(Table2[Periods], Table2[TOPSEED], Table4[[#This Row],[Team]], Table2[ROUNDNUM], 1)+SUMIFS(Table2[Periods], Table2[LOWSEED], Table4[[#This Row],[Team]], Table2[ROUNDNUM],1)</f>
        <v>18.876666666666665</v>
      </c>
      <c r="AT24" s="57">
        <f>SUMIFS(Table2[TimeInSeconds], Table2[TOPSEED], Table4[[#This Row],[Team]], Table2[ROUNDNUM], 1)+SUMIFS(Table2[TimeInSeconds], Table2[LOWSEED], Table4[[#This Row],[Team]], Table2[ROUNDNUM],1)</f>
        <v>22652</v>
      </c>
      <c r="AU24" s="137">
        <f>Table4[[#This Row],[SecondsPlayed]]/3600</f>
        <v>6.2922222222222226</v>
      </c>
      <c r="AV24" s="57">
        <v>2017</v>
      </c>
      <c r="AW24" s="57">
        <f>COUNTIFS(Table2[LOWSEED], AR24, Table2[ROUNDNUM], 1, Table2[GameOver], 1) + COUNTIFS(Table2[TOPSEED], AR24, Table2[ROUNDNUM], 1, Table2[GameOver], 1)</f>
        <v>6</v>
      </c>
      <c r="AX24" s="57">
        <f>COUNTIFS(Table2[LOWSEED], AR24, Table2[ROUNDNUM], 2, Table2[GameOver], 1) + COUNTIFS(Table2[TOPSEED], AR24, Table2[ROUNDNUM], 2, Table2[GameOver], 1)</f>
        <v>0</v>
      </c>
      <c r="AY24" s="57">
        <f>COUNTIFS(Table2[LOWSEED], AR24, Table2[ROUNDNUM], 3, Table2[GameOver], 1) + COUNTIFS(Table2[TOPSEED], AR24, Table2[ROUNDNUM], 3, Table2[GameOver], 1)</f>
        <v>0</v>
      </c>
      <c r="AZ24" s="57">
        <f>COUNTIFS(Table2[LOWSEED], AR24, Table2[ROUNDNUM], 4, Table2[GameOver], 1) + COUNTIFS(Table2[TOPSEED], AR24, Table2[ROUNDNUM], 4, Table2[GameOver], 1)</f>
        <v>0</v>
      </c>
      <c r="BA24" s="57">
        <f t="shared" si="49"/>
        <v>6</v>
      </c>
      <c r="BB24" s="57">
        <f t="shared" si="8"/>
        <v>5</v>
      </c>
      <c r="BC24" s="57">
        <f t="shared" si="9"/>
        <v>3</v>
      </c>
      <c r="BD24" s="57">
        <f t="shared" si="10"/>
        <v>2</v>
      </c>
      <c r="BE24" s="57">
        <f t="shared" si="11"/>
        <v>4</v>
      </c>
      <c r="BF24" s="57">
        <f t="shared" si="12"/>
        <v>0</v>
      </c>
      <c r="BG24" s="57">
        <f t="shared" si="13"/>
        <v>3</v>
      </c>
      <c r="BH24" s="57">
        <f t="shared" si="14"/>
        <v>2</v>
      </c>
      <c r="BI24" s="57">
        <f t="shared" si="15"/>
        <v>0</v>
      </c>
      <c r="BJ24" s="57">
        <f t="shared" si="16"/>
        <v>5</v>
      </c>
      <c r="BK24" s="57">
        <f t="shared" si="17"/>
        <v>3</v>
      </c>
      <c r="BL24" s="57">
        <f t="shared" si="18"/>
        <v>1</v>
      </c>
      <c r="BM24" s="57">
        <f t="shared" si="19"/>
        <v>5</v>
      </c>
      <c r="BN24" s="57">
        <f t="shared" si="20"/>
        <v>11</v>
      </c>
      <c r="BO24" s="57">
        <f t="shared" si="21"/>
        <v>0</v>
      </c>
      <c r="BP24" s="57">
        <f t="shared" si="50"/>
        <v>-10</v>
      </c>
      <c r="BQ24" s="57">
        <f t="shared" si="50"/>
        <v>5</v>
      </c>
      <c r="BR24" s="57">
        <f t="shared" si="51"/>
        <v>6</v>
      </c>
      <c r="BS24" s="57">
        <f t="shared" si="52"/>
        <v>11</v>
      </c>
      <c r="BT24" s="57">
        <f t="shared" si="53"/>
        <v>-5</v>
      </c>
      <c r="BU24" s="57">
        <f t="shared" si="54"/>
        <v>0.2</v>
      </c>
      <c r="BV24" s="57">
        <f t="shared" si="54"/>
        <v>1.6666666666666667</v>
      </c>
      <c r="BW24" s="57">
        <f t="shared" si="55"/>
        <v>2.2000000000000002</v>
      </c>
      <c r="BX24" s="57">
        <f t="shared" si="55"/>
        <v>0</v>
      </c>
      <c r="BY24" s="57">
        <f t="shared" si="22"/>
        <v>1</v>
      </c>
      <c r="BZ24" s="57">
        <f t="shared" si="23"/>
        <v>1.8333333333333333</v>
      </c>
      <c r="CA24" s="65"/>
      <c r="CB24" s="142">
        <v>2</v>
      </c>
      <c r="CC24" s="88" t="str">
        <f t="shared" si="24"/>
        <v>PIT</v>
      </c>
      <c r="CD24" s="56">
        <f>SUMIFS(Table2[Periods], Table2[TOPSEED], Table1[[#This Row],[Team]])+SUMIFS(Table2[Periods], Table2[LOWSEED], Table1[[#This Row],[Team]])</f>
        <v>18.876666666666665</v>
      </c>
      <c r="CE24" s="55">
        <f>SUMIFS(Table2[TimeInSeconds], Table2[TOPSEED], Table1[[#This Row],[Team]])+SUMIFS(Table2[TimeInSeconds], Table2[LOWSEED], Table1[[#This Row],[Team]])</f>
        <v>22652</v>
      </c>
      <c r="CF24" s="57">
        <f>Table1[[#This Row],[SecondsPlayed]]/3600</f>
        <v>6.2922222222222226</v>
      </c>
      <c r="CG24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11</v>
      </c>
      <c r="CH24" s="56">
        <f>Table1[[#This Row],[PeriodsPlayed]]/Table1[[#This Row],[DaysPast]]</f>
        <v>1.7160606060606058</v>
      </c>
      <c r="CI24" s="56">
        <f>Table1[[#This Row],[PeriodsPlayed]]/Table1[[#This Row],[GP TOT]]</f>
        <v>3.1461111111111109</v>
      </c>
      <c r="CJ24" s="57">
        <v>2017</v>
      </c>
      <c r="CK24" s="55">
        <f t="shared" si="25"/>
        <v>6</v>
      </c>
      <c r="CL24" s="55">
        <f t="shared" si="26"/>
        <v>5</v>
      </c>
      <c r="CM24" s="55">
        <f t="shared" si="27"/>
        <v>3</v>
      </c>
      <c r="CN24" s="55">
        <f t="shared" si="28"/>
        <v>2</v>
      </c>
      <c r="CO24" s="55">
        <f t="shared" si="29"/>
        <v>4</v>
      </c>
      <c r="CP24" s="55">
        <f t="shared" si="30"/>
        <v>0</v>
      </c>
      <c r="CQ24" s="55">
        <f t="shared" si="31"/>
        <v>3</v>
      </c>
      <c r="CR24" s="55">
        <f t="shared" si="32"/>
        <v>2</v>
      </c>
      <c r="CS24" s="55">
        <f t="shared" si="33"/>
        <v>0</v>
      </c>
      <c r="CT24" s="55">
        <f t="shared" si="34"/>
        <v>1</v>
      </c>
      <c r="CU24" s="55">
        <f t="shared" si="35"/>
        <v>5</v>
      </c>
      <c r="CV24" s="55">
        <f t="shared" si="36"/>
        <v>11</v>
      </c>
      <c r="CW24" s="55">
        <f t="shared" si="37"/>
        <v>0</v>
      </c>
      <c r="CX24" s="55">
        <f t="shared" si="38"/>
        <v>-10</v>
      </c>
      <c r="CY24" s="55">
        <f t="shared" si="39"/>
        <v>5</v>
      </c>
      <c r="CZ24" s="55">
        <f t="shared" si="40"/>
        <v>6</v>
      </c>
      <c r="DA24" s="55">
        <f t="shared" si="41"/>
        <v>11</v>
      </c>
      <c r="DB24" s="55">
        <f t="shared" si="42"/>
        <v>-5</v>
      </c>
      <c r="DC24" s="56">
        <f t="shared" si="43"/>
        <v>0.2</v>
      </c>
      <c r="DD24" s="56">
        <f t="shared" si="44"/>
        <v>1.6666666666666667</v>
      </c>
      <c r="DE24" s="56">
        <f t="shared" si="45"/>
        <v>2.2000000000000002</v>
      </c>
      <c r="DF24" s="56">
        <f t="shared" si="46"/>
        <v>0</v>
      </c>
      <c r="DG24" s="56">
        <f t="shared" si="47"/>
        <v>1</v>
      </c>
      <c r="DH24" s="56">
        <f t="shared" si="48"/>
        <v>1.8333333333333333</v>
      </c>
    </row>
    <row r="25" spans="1:112" x14ac:dyDescent="0.25">
      <c r="A25" s="55" t="str">
        <f>IF(ISBLANK(Table2[[#This Row],[GAMENUM]]), "", _xlfn.TEXTJOIN("", 1, "2025030", Table2[[#This Row],[ROUNDNUM]], Table2[[#This Row],[SeriesID]], Table2[[#This Row],[GAMENUM]]))</f>
        <v>2025030183</v>
      </c>
      <c r="B25" s="63">
        <f>IF(ISBLANK(Table2[[#This Row],[GAMENUM]]), "", INDEX(Table3[SeriesID], MATCH(Table2[[#This Row],[SERIESCODE]],Table3[SeriesCode],0)))</f>
        <v>8</v>
      </c>
      <c r="C25" s="57" t="str">
        <f t="shared" si="0"/>
        <v>Friday</v>
      </c>
      <c r="D25" s="59">
        <v>46136</v>
      </c>
      <c r="E25" s="60">
        <v>0.95833333333333337</v>
      </c>
      <c r="F25" s="59" t="s">
        <v>38</v>
      </c>
      <c r="G25" s="62">
        <v>1</v>
      </c>
      <c r="H25" s="63" t="s">
        <v>44</v>
      </c>
      <c r="I25" s="62">
        <v>3</v>
      </c>
      <c r="J25" s="85" t="str">
        <f>INDEX(Table3[TopSeed],MATCH(Table2[[#This Row],[SERIESCODE]], Table3[SeriesCode], 0))</f>
        <v>EDM</v>
      </c>
      <c r="K25" s="86" t="str">
        <f>INDEX(Table3[LowSeed],MATCH(Table2[[#This Row],[SERIESCODE]], Table3[SeriesCode], 0))</f>
        <v>ANA</v>
      </c>
      <c r="L25" s="62">
        <v>1</v>
      </c>
      <c r="M25" s="62">
        <v>2</v>
      </c>
      <c r="N25" s="67" t="str">
        <f>IF(Table2[[#This Row],[GAMENUM]] = 6, Table2[[#This Row],[TOPSEED]], IF(Table2[[#This Row],[GAMENUM]] = 4, Table2[[#This Row],[TOPSEED]], IF(Table2[[#This Row],[GAMENUM]] = 3, Table2[[#This Row],[TOPSEED]], Table2[LOWSEED])))</f>
        <v>EDM</v>
      </c>
      <c r="O25" s="87" t="str">
        <f>IF(Table2[[#This Row],[GAMENUM]] = 6, Table2[[#This Row],[LOWSEED]], IF(Table2[[#This Row],[GAMENUM]] = 4, Table2[[#This Row],[LOWSEED]], IF(Table2[[#This Row],[GAMENUM]] = 3, Table2[[#This Row],[LOWSEED]], Table2[TOPSEED])))</f>
        <v>ANA</v>
      </c>
      <c r="P25" s="87" t="str">
        <f t="shared" si="1"/>
        <v>ANA</v>
      </c>
      <c r="Q25" s="62">
        <v>3</v>
      </c>
      <c r="R25" s="62">
        <v>4</v>
      </c>
      <c r="S25" s="63" t="s">
        <v>154</v>
      </c>
      <c r="T25" s="59">
        <v>46136</v>
      </c>
      <c r="U25" s="62">
        <v>4</v>
      </c>
      <c r="V25" s="62">
        <v>7</v>
      </c>
      <c r="W25" s="62">
        <v>0</v>
      </c>
      <c r="X25" s="62">
        <v>3600</v>
      </c>
      <c r="Y25" s="63">
        <f>Table2[[#This Row],[TimeInSeconds]]/1200</f>
        <v>3</v>
      </c>
      <c r="Z25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25" s="87" t="str">
        <f t="shared" si="2"/>
        <v>ANA</v>
      </c>
      <c r="AB25" s="63">
        <f>IF(ISBLANK(Table2[[#This Row],[OTROUNDNUM]]), "", Table2[[#This Row],[PAWAYSCORE]]-Table2[[#This Row],[AAWAYSCORE]])</f>
        <v>-1</v>
      </c>
      <c r="AC25" s="63">
        <f>IF(ISBLANK(Table2[[#This Row],[OTROUNDNUM]]), "", Table2[[#This Row],[PHOMESCORE]]-Table2[[#This Row],[AHOMESCORE]])</f>
        <v>-3</v>
      </c>
      <c r="AD25" s="63">
        <f>_xlfn.IFS(ISBLANK(Table2[[#This Row],[GAMENUM]]), " ", 1, IF((Table2[[#This Row],[TOPSEEDWINS]]+Table2[[#This Row],[LOWSEEDWINS]]) &lt;&gt; Table2[[#This Row],[GAMENUM]], 0, 1))</f>
        <v>1</v>
      </c>
      <c r="AE25" s="63">
        <f>_xlfn.IFS(ISBLANK(Table2[[#This Row],[GAMENUM]]),"", Table2[[#This Row],[GameOver]]=0,"",Table2[[#This Row],[AAWAYSCORE]]&gt;Table2[[#This Row],[AHOMESCORE]], 1,1,0)</f>
        <v>0</v>
      </c>
      <c r="AF25" s="63">
        <f>_xlfn.IFS(ISBLANK(Table2[[#This Row],[GAMENUM]]),"",Table2[[#This Row],[GameOver]]=0,"",Table2[[#This Row],[AAWAYSCORE]]&lt;Table2[[#This Row],[AHOMESCORE]], 1,1,0)</f>
        <v>1</v>
      </c>
      <c r="AG25" s="63">
        <f>_xlfn.IFS(ISBLANK(Table2[[#This Row],[GAMENUM]]),"",Table2[[#This Row],[GameOver]]=0,"",Table2[[#This Row],[OTROUNDNUM]]&gt;0,1,1,0)</f>
        <v>0</v>
      </c>
      <c r="AH25" s="63">
        <f>_xlfn.IFS(ISBLANK(Table2[[#This Row],[GAMENUM]]),"",Table2[[#This Row],[GameOver]]=0,"",Table2[[#This Row],[AAWAYSCORE]]=0,1,1,0)</f>
        <v>0</v>
      </c>
      <c r="AI25" s="63">
        <f>_xlfn.IFS(ISBLANK(Table2[[#This Row],[GAMENUM]]),"", Table2[[#This Row],[GameOver]]=0,"",Table2[[#This Row],[AHOMESCORE]]=0,1,1,0)</f>
        <v>0</v>
      </c>
      <c r="AJ25" s="57"/>
      <c r="AK25" s="65"/>
      <c r="AL25" s="11"/>
      <c r="AM25" s="11"/>
      <c r="AN25" s="16"/>
      <c r="AO25" s="11"/>
      <c r="AP25" s="11"/>
      <c r="AQ25" s="42"/>
      <c r="AR25" s="89" t="s">
        <v>169</v>
      </c>
      <c r="AS25" s="137">
        <f>SUMIFS(Table2[Periods], Table2[TOPSEED], Table4[[#This Row],[Team]], Table2[ROUNDNUM], 1)+SUMIFS(Table2[Periods], Table2[LOWSEED], Table4[[#This Row],[Team]], Table2[ROUNDNUM],1)</f>
        <v>18.876666666666665</v>
      </c>
      <c r="AT25" s="57">
        <f>SUMIFS(Table2[TimeInSeconds], Table2[TOPSEED], Table4[[#This Row],[Team]], Table2[ROUNDNUM], 1)+SUMIFS(Table2[TimeInSeconds], Table2[LOWSEED], Table4[[#This Row],[Team]], Table2[ROUNDNUM],1)</f>
        <v>22652</v>
      </c>
      <c r="AU25" s="137">
        <f>Table4[[#This Row],[SecondsPlayed]]/3600</f>
        <v>6.2922222222222226</v>
      </c>
      <c r="AV25" s="57">
        <v>1975</v>
      </c>
      <c r="AW25" s="57">
        <f>COUNTIFS(Table2[LOWSEED], AR25, Table2[ROUNDNUM], 1, Table2[GameOver], 1) + COUNTIFS(Table2[TOPSEED], AR25, Table2[ROUNDNUM], 1, Table2[GameOver], 1)</f>
        <v>6</v>
      </c>
      <c r="AX25" s="57">
        <f>COUNTIFS(Table2[LOWSEED], AR25, Table2[ROUNDNUM], 2, Table2[GameOver], 1) + COUNTIFS(Table2[TOPSEED], AR25, Table2[ROUNDNUM], 2, Table2[GameOver], 1)</f>
        <v>4</v>
      </c>
      <c r="AY25" s="57">
        <f>COUNTIFS(Table2[LOWSEED], AR25, Table2[ROUNDNUM], 3, Table2[GameOver], 1) + COUNTIFS(Table2[TOPSEED], AR25, Table2[ROUNDNUM], 3, Table2[GameOver], 1)</f>
        <v>0</v>
      </c>
      <c r="AZ25" s="57">
        <f>COUNTIFS(Table2[LOWSEED], AR25, Table2[ROUNDNUM], 4, Table2[GameOver], 1) + COUNTIFS(Table2[TOPSEED], AR25, Table2[ROUNDNUM], 4, Table2[GameOver], 1)</f>
        <v>0</v>
      </c>
      <c r="BA25" s="57">
        <f t="shared" si="49"/>
        <v>10</v>
      </c>
      <c r="BB25" s="57">
        <f t="shared" si="8"/>
        <v>1</v>
      </c>
      <c r="BC25" s="57">
        <f t="shared" si="9"/>
        <v>5</v>
      </c>
      <c r="BD25" s="57">
        <f t="shared" si="10"/>
        <v>4</v>
      </c>
      <c r="BE25" s="57">
        <f t="shared" si="11"/>
        <v>6</v>
      </c>
      <c r="BF25" s="57">
        <f t="shared" si="12"/>
        <v>0</v>
      </c>
      <c r="BG25" s="57">
        <f t="shared" si="13"/>
        <v>1</v>
      </c>
      <c r="BH25" s="57">
        <f t="shared" si="14"/>
        <v>4</v>
      </c>
      <c r="BI25" s="57">
        <f t="shared" si="15"/>
        <v>0</v>
      </c>
      <c r="BJ25" s="57">
        <f t="shared" si="16"/>
        <v>1</v>
      </c>
      <c r="BK25" s="57">
        <f t="shared" si="17"/>
        <v>3</v>
      </c>
      <c r="BL25" s="57">
        <f t="shared" si="18"/>
        <v>0</v>
      </c>
      <c r="BM25" s="57">
        <f t="shared" si="19"/>
        <v>8</v>
      </c>
      <c r="BN25" s="57">
        <f t="shared" si="20"/>
        <v>2</v>
      </c>
      <c r="BO25" s="57">
        <f t="shared" si="21"/>
        <v>1</v>
      </c>
      <c r="BP25" s="57">
        <f t="shared" si="50"/>
        <v>-2</v>
      </c>
      <c r="BQ25" s="57">
        <f t="shared" si="50"/>
        <v>7</v>
      </c>
      <c r="BR25" s="57">
        <f t="shared" si="51"/>
        <v>8</v>
      </c>
      <c r="BS25" s="57">
        <f t="shared" si="52"/>
        <v>3</v>
      </c>
      <c r="BT25" s="57">
        <f t="shared" si="53"/>
        <v>5</v>
      </c>
      <c r="BU25" s="57">
        <f t="shared" si="54"/>
        <v>0</v>
      </c>
      <c r="BV25" s="57">
        <f t="shared" si="54"/>
        <v>2.6666666666666665</v>
      </c>
      <c r="BW25" s="57">
        <f t="shared" si="55"/>
        <v>2</v>
      </c>
      <c r="BX25" s="57">
        <f t="shared" si="55"/>
        <v>0.33333333333333331</v>
      </c>
      <c r="BY25" s="57">
        <f t="shared" si="22"/>
        <v>1.3333333333333333</v>
      </c>
      <c r="BZ25" s="57">
        <f t="shared" si="23"/>
        <v>0.5</v>
      </c>
      <c r="CA25" s="65"/>
      <c r="CB25" s="143">
        <v>3</v>
      </c>
      <c r="CC25" s="89" t="str">
        <f t="shared" si="24"/>
        <v>PHI</v>
      </c>
      <c r="CD25" s="56">
        <f>SUMIFS(Table2[Periods], Table2[TOPSEED], Table1[[#This Row],[Team]])+SUMIFS(Table2[Periods], Table2[LOWSEED], Table1[[#This Row],[Team]])</f>
        <v>32.097499999999997</v>
      </c>
      <c r="CE25" s="55">
        <f>SUMIFS(Table2[TimeInSeconds], Table2[TOPSEED], Table1[[#This Row],[Team]])+SUMIFS(Table2[TimeInSeconds], Table2[LOWSEED], Table1[[#This Row],[Team]])</f>
        <v>38517</v>
      </c>
      <c r="CF25" s="57">
        <f>Table1[[#This Row],[SecondsPlayed]]/3600</f>
        <v>10.699166666666667</v>
      </c>
      <c r="CG25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21</v>
      </c>
      <c r="CH25" s="56">
        <f>Table1[[#This Row],[PeriodsPlayed]]/Table1[[#This Row],[DaysPast]]</f>
        <v>1.5284523809523809</v>
      </c>
      <c r="CI25" s="56">
        <f>Table1[[#This Row],[PeriodsPlayed]]/Table1[[#This Row],[GP TOT]]</f>
        <v>3.2097499999999997</v>
      </c>
      <c r="CJ25" s="57">
        <v>1975</v>
      </c>
      <c r="CK25" s="55">
        <f t="shared" si="25"/>
        <v>10</v>
      </c>
      <c r="CL25" s="55">
        <f t="shared" si="26"/>
        <v>1</v>
      </c>
      <c r="CM25" s="55">
        <f t="shared" si="27"/>
        <v>5</v>
      </c>
      <c r="CN25" s="55">
        <f t="shared" si="28"/>
        <v>4</v>
      </c>
      <c r="CO25" s="55">
        <f t="shared" si="29"/>
        <v>6</v>
      </c>
      <c r="CP25" s="55">
        <f t="shared" si="30"/>
        <v>0</v>
      </c>
      <c r="CQ25" s="55">
        <f t="shared" si="31"/>
        <v>1</v>
      </c>
      <c r="CR25" s="55">
        <f t="shared" si="32"/>
        <v>4</v>
      </c>
      <c r="CS25" s="55">
        <f t="shared" si="33"/>
        <v>0</v>
      </c>
      <c r="CT25" s="55">
        <f t="shared" si="34"/>
        <v>0</v>
      </c>
      <c r="CU25" s="55">
        <f t="shared" si="35"/>
        <v>11</v>
      </c>
      <c r="CV25" s="55">
        <f t="shared" si="36"/>
        <v>2</v>
      </c>
      <c r="CW25" s="55">
        <f t="shared" si="37"/>
        <v>2</v>
      </c>
      <c r="CX25" s="55">
        <f t="shared" si="38"/>
        <v>-2</v>
      </c>
      <c r="CY25" s="55">
        <f t="shared" si="39"/>
        <v>9</v>
      </c>
      <c r="CZ25" s="55">
        <f t="shared" si="40"/>
        <v>11</v>
      </c>
      <c r="DA25" s="55">
        <f t="shared" si="41"/>
        <v>4</v>
      </c>
      <c r="DB25" s="55">
        <f t="shared" si="42"/>
        <v>7</v>
      </c>
      <c r="DC25" s="56">
        <f t="shared" si="43"/>
        <v>0</v>
      </c>
      <c r="DD25" s="56">
        <f t="shared" si="44"/>
        <v>2.2000000000000002</v>
      </c>
      <c r="DE25" s="56">
        <f t="shared" si="45"/>
        <v>2</v>
      </c>
      <c r="DF25" s="56">
        <f t="shared" si="46"/>
        <v>0.4</v>
      </c>
      <c r="DG25" s="56">
        <f t="shared" si="47"/>
        <v>1.1000000000000001</v>
      </c>
      <c r="DH25" s="56">
        <f t="shared" si="48"/>
        <v>0.4</v>
      </c>
    </row>
    <row r="26" spans="1:112" x14ac:dyDescent="0.25">
      <c r="A26" s="55" t="str">
        <f>IF(ISBLANK(Table2[[#This Row],[GAMENUM]]), "", _xlfn.TEXTJOIN("", 1, "2025030", Table2[[#This Row],[ROUNDNUM]], Table2[[#This Row],[SeriesID]], Table2[[#This Row],[GAMENUM]]))</f>
        <v>2025030134</v>
      </c>
      <c r="B26" s="63">
        <f>IF(ISBLANK(Table2[[#This Row],[GAMENUM]]), "", INDEX(Table3[SeriesID], MATCH(Table2[[#This Row],[SERIESCODE]],Table3[SeriesCode],0)))</f>
        <v>3</v>
      </c>
      <c r="C26" s="57" t="str">
        <f t="shared" si="0"/>
        <v>Saturday</v>
      </c>
      <c r="D26" s="59">
        <v>46137</v>
      </c>
      <c r="E26" s="60">
        <v>0.66666666666666663</v>
      </c>
      <c r="F26" s="59" t="s">
        <v>16</v>
      </c>
      <c r="G26" s="62">
        <v>1</v>
      </c>
      <c r="H26" s="63" t="s">
        <v>36</v>
      </c>
      <c r="I26" s="62">
        <v>4</v>
      </c>
      <c r="J26" s="90" t="str">
        <f>INDEX(Table3[TopSeed],MATCH(Table2[[#This Row],[SERIESCODE]], Table3[SeriesCode], 0))</f>
        <v>CAR</v>
      </c>
      <c r="K26" s="91" t="str">
        <f>INDEX(Table3[LowSeed],MATCH(Table2[[#This Row],[SERIESCODE]], Table3[SeriesCode], 0))</f>
        <v>OTT</v>
      </c>
      <c r="L26" s="62">
        <v>4</v>
      </c>
      <c r="M26" s="62">
        <v>0</v>
      </c>
      <c r="N26" s="20" t="str">
        <f>IF(Table2[[#This Row],[GAMENUM]] = 6, Table2[[#This Row],[TOPSEED]], IF(Table2[[#This Row],[GAMENUM]] = 4, Table2[[#This Row],[TOPSEED]], IF(Table2[[#This Row],[GAMENUM]] = 3, Table2[[#This Row],[TOPSEED]], Table2[LOWSEED])))</f>
        <v>CAR</v>
      </c>
      <c r="O26" s="21" t="str">
        <f>IF(Table2[[#This Row],[GAMENUM]] = 6, Table2[[#This Row],[LOWSEED]], IF(Table2[[#This Row],[GAMENUM]] = 4, Table2[[#This Row],[LOWSEED]], IF(Table2[[#This Row],[GAMENUM]] = 3, Table2[[#This Row],[LOWSEED]], Table2[TOPSEED])))</f>
        <v>OTT</v>
      </c>
      <c r="P26" s="20" t="str">
        <f t="shared" si="1"/>
        <v>CAR</v>
      </c>
      <c r="Q26" s="62">
        <v>3</v>
      </c>
      <c r="R26" s="62">
        <v>2</v>
      </c>
      <c r="S26" s="63" t="s">
        <v>154</v>
      </c>
      <c r="T26" s="59">
        <v>46137</v>
      </c>
      <c r="U26" s="62">
        <v>4</v>
      </c>
      <c r="V26" s="62">
        <v>2</v>
      </c>
      <c r="W26" s="62">
        <v>0</v>
      </c>
      <c r="X26" s="62">
        <v>3600</v>
      </c>
      <c r="Y26" s="63">
        <f>Table2[[#This Row],[TimeInSeconds]]/1200</f>
        <v>3</v>
      </c>
      <c r="Z26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26" s="20" t="str">
        <f t="shared" si="2"/>
        <v>CAR</v>
      </c>
      <c r="AB26" s="63">
        <f>IF(ISBLANK(Table2[[#This Row],[OTROUNDNUM]]), "", Table2[[#This Row],[PAWAYSCORE]]-Table2[[#This Row],[AAWAYSCORE]])</f>
        <v>-1</v>
      </c>
      <c r="AC26" s="63">
        <f>IF(ISBLANK(Table2[[#This Row],[OTROUNDNUM]]), "", Table2[[#This Row],[PHOMESCORE]]-Table2[[#This Row],[AHOMESCORE]])</f>
        <v>0</v>
      </c>
      <c r="AD26" s="63">
        <f>_xlfn.IFS(ISBLANK(Table2[[#This Row],[GAMENUM]]), " ", 1, IF((Table2[[#This Row],[TOPSEEDWINS]]+Table2[[#This Row],[LOWSEEDWINS]]) &lt;&gt; Table2[[#This Row],[GAMENUM]], 0, 1))</f>
        <v>1</v>
      </c>
      <c r="AE26" s="63">
        <f>_xlfn.IFS(ISBLANK(Table2[[#This Row],[GAMENUM]]),"", Table2[[#This Row],[GameOver]]=0,"",Table2[[#This Row],[AAWAYSCORE]]&gt;Table2[[#This Row],[AHOMESCORE]], 1,1,0)</f>
        <v>1</v>
      </c>
      <c r="AF26" s="63">
        <f>_xlfn.IFS(ISBLANK(Table2[[#This Row],[GAMENUM]]),"",Table2[[#This Row],[GameOver]]=0,"",Table2[[#This Row],[AAWAYSCORE]]&lt;Table2[[#This Row],[AHOMESCORE]], 1,1,0)</f>
        <v>0</v>
      </c>
      <c r="AG26" s="63">
        <f>_xlfn.IFS(ISBLANK(Table2[[#This Row],[GAMENUM]]),"",Table2[[#This Row],[GameOver]]=0,"",Table2[[#This Row],[OTROUNDNUM]]&gt;0,1,1,0)</f>
        <v>0</v>
      </c>
      <c r="AH26" s="63">
        <f>_xlfn.IFS(ISBLANK(Table2[[#This Row],[GAMENUM]]),"",Table2[[#This Row],[GameOver]]=0,"",Table2[[#This Row],[AAWAYSCORE]]=0,1,1,0)</f>
        <v>0</v>
      </c>
      <c r="AI26" s="63">
        <f>_xlfn.IFS(ISBLANK(Table2[[#This Row],[GAMENUM]]),"", Table2[[#This Row],[GameOver]]=0,"",Table2[[#This Row],[AHOMESCORE]]=0,1,1,0)</f>
        <v>0</v>
      </c>
      <c r="AJ26" s="57" t="s">
        <v>179</v>
      </c>
      <c r="AK26" s="65"/>
      <c r="AL26" s="11"/>
      <c r="AM26" s="11"/>
      <c r="AN26" s="16"/>
      <c r="AO26" s="11"/>
      <c r="AP26" s="11"/>
      <c r="AQ26" s="42"/>
      <c r="AR26" s="47" t="s">
        <v>34</v>
      </c>
      <c r="AS26" s="137">
        <f>SUMIFS(Table2[Periods], Table2[TOPSEED], Table4[[#This Row],[Team]], Table2[ROUNDNUM], 1)+SUMIFS(Table2[Periods], Table2[LOWSEED], Table4[[#This Row],[Team]], Table2[ROUNDNUM],1)</f>
        <v>22.268333333333334</v>
      </c>
      <c r="AT26" s="57">
        <f>SUMIFS(Table2[TimeInSeconds], Table2[TOPSEED], Table4[[#This Row],[Team]], Table2[ROUNDNUM], 1)+SUMIFS(Table2[TimeInSeconds], Table2[LOWSEED], Table4[[#This Row],[Team]], Table2[ROUNDNUM],1)</f>
        <v>26722</v>
      </c>
      <c r="AU26" s="137">
        <f>Table4[[#This Row],[SecondsPlayed]]/3600</f>
        <v>7.4227777777777781</v>
      </c>
      <c r="AV26" s="57">
        <v>2021</v>
      </c>
      <c r="AW26" s="57">
        <f>COUNTIFS(Table2[LOWSEED], AR26, Table2[ROUNDNUM], 1, Table2[GameOver], 1) + COUNTIFS(Table2[TOPSEED], AR26, Table2[ROUNDNUM], 1, Table2[GameOver], 1)</f>
        <v>7</v>
      </c>
      <c r="AX26" s="57">
        <f>COUNTIFS(Table2[LOWSEED], AR26, Table2[ROUNDNUM], 2, Table2[GameOver], 1) + COUNTIFS(Table2[TOPSEED], AR26, Table2[ROUNDNUM], 2, Table2[GameOver], 1)</f>
        <v>0</v>
      </c>
      <c r="AY26" s="57">
        <f>COUNTIFS(Table2[LOWSEED], AR26, Table2[ROUNDNUM], 3, Table2[GameOver], 1) + COUNTIFS(Table2[TOPSEED], AR26, Table2[ROUNDNUM], 3, Table2[GameOver], 1)</f>
        <v>0</v>
      </c>
      <c r="AZ26" s="57">
        <f>COUNTIFS(Table2[LOWSEED], AR26, Table2[ROUNDNUM], 4, Table2[GameOver], 1) + COUNTIFS(Table2[TOPSEED], AR26, Table2[ROUNDNUM], 4, Table2[GameOver], 1)</f>
        <v>0</v>
      </c>
      <c r="BA26" s="57">
        <f t="shared" si="49"/>
        <v>7</v>
      </c>
      <c r="BB26" s="57">
        <f t="shared" si="8"/>
        <v>4</v>
      </c>
      <c r="BC26" s="57">
        <f t="shared" si="9"/>
        <v>4</v>
      </c>
      <c r="BD26" s="57">
        <f t="shared" si="10"/>
        <v>4</v>
      </c>
      <c r="BE26" s="57">
        <f t="shared" si="11"/>
        <v>3</v>
      </c>
      <c r="BF26" s="57">
        <f t="shared" si="12"/>
        <v>0</v>
      </c>
      <c r="BG26" s="57">
        <f t="shared" si="13"/>
        <v>4</v>
      </c>
      <c r="BH26" s="57">
        <f t="shared" si="14"/>
        <v>4</v>
      </c>
      <c r="BI26" s="57">
        <f t="shared" si="15"/>
        <v>0</v>
      </c>
      <c r="BJ26" s="57">
        <f t="shared" si="16"/>
        <v>4</v>
      </c>
      <c r="BK26" s="57">
        <f t="shared" si="17"/>
        <v>4</v>
      </c>
      <c r="BL26" s="57">
        <f t="shared" si="18"/>
        <v>2</v>
      </c>
      <c r="BM26" s="57">
        <f t="shared" si="19"/>
        <v>9</v>
      </c>
      <c r="BN26" s="57">
        <f t="shared" si="20"/>
        <v>9</v>
      </c>
      <c r="BO26" s="57">
        <f t="shared" si="21"/>
        <v>2</v>
      </c>
      <c r="BP26" s="57">
        <f t="shared" si="50"/>
        <v>-7</v>
      </c>
      <c r="BQ26" s="57">
        <f t="shared" si="50"/>
        <v>7</v>
      </c>
      <c r="BR26" s="57">
        <f t="shared" si="51"/>
        <v>11</v>
      </c>
      <c r="BS26" s="57">
        <f t="shared" si="52"/>
        <v>11</v>
      </c>
      <c r="BT26" s="57">
        <f t="shared" si="53"/>
        <v>0</v>
      </c>
      <c r="BU26" s="57">
        <f t="shared" si="54"/>
        <v>0.5</v>
      </c>
      <c r="BV26" s="57">
        <f t="shared" si="54"/>
        <v>2.25</v>
      </c>
      <c r="BW26" s="57">
        <f t="shared" si="55"/>
        <v>2.25</v>
      </c>
      <c r="BX26" s="57">
        <f t="shared" si="55"/>
        <v>0.5</v>
      </c>
      <c r="BY26" s="57">
        <f t="shared" si="22"/>
        <v>1.5714285714285714</v>
      </c>
      <c r="BZ26" s="57">
        <f t="shared" si="23"/>
        <v>1.5714285714285714</v>
      </c>
      <c r="CA26" s="65"/>
      <c r="CB26" s="144">
        <v>4</v>
      </c>
      <c r="CC26" s="47" t="str">
        <f t="shared" si="24"/>
        <v>TBL</v>
      </c>
      <c r="CD26" s="56">
        <f>SUMIFS(Table2[Periods], Table2[TOPSEED], Table1[[#This Row],[Team]])+SUMIFS(Table2[Periods], Table2[LOWSEED], Table1[[#This Row],[Team]])</f>
        <v>22.268333333333334</v>
      </c>
      <c r="CE26" s="55">
        <f>SUMIFS(Table2[TimeInSeconds], Table2[TOPSEED], Table1[[#This Row],[Team]])+SUMIFS(Table2[TimeInSeconds], Table2[LOWSEED], Table1[[#This Row],[Team]])</f>
        <v>26722</v>
      </c>
      <c r="CF26" s="57">
        <f>Table1[[#This Row],[SecondsPlayed]]/3600</f>
        <v>7.4227777777777781</v>
      </c>
      <c r="CG26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14</v>
      </c>
      <c r="CH26" s="56">
        <f>Table1[[#This Row],[PeriodsPlayed]]/Table1[[#This Row],[DaysPast]]</f>
        <v>1.5905952380952382</v>
      </c>
      <c r="CI26" s="56">
        <f>Table1[[#This Row],[PeriodsPlayed]]/Table1[[#This Row],[GP TOT]]</f>
        <v>3.1811904761904763</v>
      </c>
      <c r="CJ26" s="57">
        <v>2021</v>
      </c>
      <c r="CK26" s="55">
        <f t="shared" si="25"/>
        <v>7</v>
      </c>
      <c r="CL26" s="55">
        <f t="shared" si="26"/>
        <v>4</v>
      </c>
      <c r="CM26" s="55">
        <f t="shared" si="27"/>
        <v>4</v>
      </c>
      <c r="CN26" s="55">
        <f t="shared" si="28"/>
        <v>4</v>
      </c>
      <c r="CO26" s="55">
        <f t="shared" si="29"/>
        <v>3</v>
      </c>
      <c r="CP26" s="55">
        <f t="shared" si="30"/>
        <v>0</v>
      </c>
      <c r="CQ26" s="55">
        <f t="shared" si="31"/>
        <v>4</v>
      </c>
      <c r="CR26" s="55">
        <f t="shared" si="32"/>
        <v>4</v>
      </c>
      <c r="CS26" s="55">
        <f t="shared" si="33"/>
        <v>0</v>
      </c>
      <c r="CT26" s="55">
        <f t="shared" si="34"/>
        <v>2</v>
      </c>
      <c r="CU26" s="55">
        <f t="shared" si="35"/>
        <v>9</v>
      </c>
      <c r="CV26" s="55">
        <f t="shared" si="36"/>
        <v>9</v>
      </c>
      <c r="CW26" s="55">
        <f t="shared" si="37"/>
        <v>2</v>
      </c>
      <c r="CX26" s="55">
        <f t="shared" si="38"/>
        <v>-7</v>
      </c>
      <c r="CY26" s="55">
        <f t="shared" si="39"/>
        <v>7</v>
      </c>
      <c r="CZ26" s="55">
        <f t="shared" si="40"/>
        <v>11</v>
      </c>
      <c r="DA26" s="55">
        <f t="shared" si="41"/>
        <v>11</v>
      </c>
      <c r="DB26" s="55">
        <f t="shared" si="42"/>
        <v>0</v>
      </c>
      <c r="DC26" s="56">
        <f t="shared" si="43"/>
        <v>0.5</v>
      </c>
      <c r="DD26" s="56">
        <f t="shared" si="44"/>
        <v>2.25</v>
      </c>
      <c r="DE26" s="56">
        <f t="shared" si="45"/>
        <v>2.25</v>
      </c>
      <c r="DF26" s="56">
        <f t="shared" si="46"/>
        <v>0.5</v>
      </c>
      <c r="DG26" s="56">
        <f t="shared" si="47"/>
        <v>1.5714285714285714</v>
      </c>
      <c r="DH26" s="56">
        <f t="shared" si="48"/>
        <v>1.5714285714285714</v>
      </c>
    </row>
    <row r="27" spans="1:112" x14ac:dyDescent="0.25">
      <c r="A27" s="55" t="str">
        <f>IF(ISBLANK(Table2[[#This Row],[GAMENUM]]), "", _xlfn.TEXTJOIN("", 1, "2025030", Table2[[#This Row],[ROUNDNUM]], Table2[[#This Row],[SeriesID]], Table2[[#This Row],[GAMENUM]]))</f>
        <v>2025030164</v>
      </c>
      <c r="B27" s="63">
        <f>IF(ISBLANK(Table2[[#This Row],[GAMENUM]]), "", INDEX(Table3[SeriesID], MATCH(Table2[[#This Row],[SERIESCODE]],Table3[SeriesCode],0)))</f>
        <v>6</v>
      </c>
      <c r="C27" s="57" t="str">
        <f t="shared" si="0"/>
        <v>Saturday</v>
      </c>
      <c r="D27" s="59">
        <v>46137</v>
      </c>
      <c r="E27" s="60">
        <v>0.77083333333333337</v>
      </c>
      <c r="F27" s="59" t="s">
        <v>38</v>
      </c>
      <c r="G27" s="62">
        <v>1</v>
      </c>
      <c r="H27" s="63" t="s">
        <v>39</v>
      </c>
      <c r="I27" s="62">
        <v>4</v>
      </c>
      <c r="J27" s="94" t="str">
        <f>INDEX(Table3[TopSeed],MATCH(Table2[[#This Row],[SERIESCODE]], Table3[SeriesCode], 0))</f>
        <v>DAL</v>
      </c>
      <c r="K27" s="95" t="str">
        <f>INDEX(Table3[LowSeed],MATCH(Table2[[#This Row],[SERIESCODE]], Table3[SeriesCode], 0))</f>
        <v>MIN</v>
      </c>
      <c r="L27" s="62">
        <v>2</v>
      </c>
      <c r="M27" s="62">
        <v>2</v>
      </c>
      <c r="N27" s="26" t="str">
        <f>IF(Table2[[#This Row],[GAMENUM]] = 6, Table2[[#This Row],[TOPSEED]], IF(Table2[[#This Row],[GAMENUM]] = 4, Table2[[#This Row],[TOPSEED]], IF(Table2[[#This Row],[GAMENUM]] = 3, Table2[[#This Row],[TOPSEED]], Table2[LOWSEED])))</f>
        <v>DAL</v>
      </c>
      <c r="O27" s="27" t="str">
        <f>IF(Table2[[#This Row],[GAMENUM]] = 6, Table2[[#This Row],[LOWSEED]], IF(Table2[[#This Row],[GAMENUM]] = 4, Table2[[#This Row],[LOWSEED]], IF(Table2[[#This Row],[GAMENUM]] = 3, Table2[[#This Row],[LOWSEED]], Table2[TOPSEED])))</f>
        <v>MIN</v>
      </c>
      <c r="P27" s="95" t="str">
        <f t="shared" si="1"/>
        <v>MIN</v>
      </c>
      <c r="Q27" s="62">
        <v>2</v>
      </c>
      <c r="R27" s="62">
        <v>3</v>
      </c>
      <c r="S27" s="63" t="s">
        <v>155</v>
      </c>
      <c r="T27" s="59">
        <v>46137</v>
      </c>
      <c r="U27" s="62">
        <v>2</v>
      </c>
      <c r="V27" s="62">
        <v>3</v>
      </c>
      <c r="W27" s="62">
        <v>1</v>
      </c>
      <c r="X27" s="62">
        <v>4771</v>
      </c>
      <c r="Y27" s="63">
        <f>Table2[[#This Row],[TimeInSeconds]]/1200</f>
        <v>3.9758333333333336</v>
      </c>
      <c r="Z27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27" s="95" t="str">
        <f t="shared" si="2"/>
        <v>MIN</v>
      </c>
      <c r="AB27" s="63">
        <f>IF(ISBLANK(Table2[[#This Row],[OTROUNDNUM]]), "", Table2[[#This Row],[PAWAYSCORE]]-Table2[[#This Row],[AAWAYSCORE]])</f>
        <v>0</v>
      </c>
      <c r="AC27" s="63">
        <f>IF(ISBLANK(Table2[[#This Row],[OTROUNDNUM]]), "", Table2[[#This Row],[PHOMESCORE]]-Table2[[#This Row],[AHOMESCORE]])</f>
        <v>0</v>
      </c>
      <c r="AD27" s="63">
        <f>_xlfn.IFS(ISBLANK(Table2[[#This Row],[GAMENUM]]), " ", 1, IF((Table2[[#This Row],[TOPSEEDWINS]]+Table2[[#This Row],[LOWSEEDWINS]]) &lt;&gt; Table2[[#This Row],[GAMENUM]], 0, 1))</f>
        <v>1</v>
      </c>
      <c r="AE27" s="63">
        <f>_xlfn.IFS(ISBLANK(Table2[[#This Row],[GAMENUM]]),"", Table2[[#This Row],[GameOver]]=0,"",Table2[[#This Row],[AAWAYSCORE]]&gt;Table2[[#This Row],[AHOMESCORE]], 1,1,0)</f>
        <v>0</v>
      </c>
      <c r="AF27" s="63">
        <f>_xlfn.IFS(ISBLANK(Table2[[#This Row],[GAMENUM]]),"",Table2[[#This Row],[GameOver]]=0,"",Table2[[#This Row],[AAWAYSCORE]]&lt;Table2[[#This Row],[AHOMESCORE]], 1,1,0)</f>
        <v>1</v>
      </c>
      <c r="AG27" s="63">
        <f>_xlfn.IFS(ISBLANK(Table2[[#This Row],[GAMENUM]]),"",Table2[[#This Row],[GameOver]]=0,"",Table2[[#This Row],[OTROUNDNUM]]&gt;0,1,1,0)</f>
        <v>1</v>
      </c>
      <c r="AH27" s="63">
        <f>_xlfn.IFS(ISBLANK(Table2[[#This Row],[GAMENUM]]),"",Table2[[#This Row],[GameOver]]=0,"",Table2[[#This Row],[AAWAYSCORE]]=0,1,1,0)</f>
        <v>0</v>
      </c>
      <c r="AI27" s="63">
        <f>_xlfn.IFS(ISBLANK(Table2[[#This Row],[GAMENUM]]),"", Table2[[#This Row],[GameOver]]=0,"",Table2[[#This Row],[AHOMESCORE]]=0,1,1,0)</f>
        <v>0</v>
      </c>
      <c r="AJ27" s="57"/>
      <c r="AK27" s="65"/>
      <c r="AL27" s="11"/>
      <c r="AM27" s="11"/>
      <c r="AN27" s="16"/>
      <c r="AO27" s="11"/>
      <c r="AP27" s="11"/>
      <c r="AQ27" s="42"/>
      <c r="AR27" s="44" t="s">
        <v>158</v>
      </c>
      <c r="AS27" s="137">
        <f>SUMIFS(Table2[Periods], Table2[TOPSEED], Table4[[#This Row],[Team]], Table2[ROUNDNUM], 1)+SUMIFS(Table2[Periods], Table2[LOWSEED], Table4[[#This Row],[Team]], Table2[ROUNDNUM],1)</f>
        <v>22.268333333333334</v>
      </c>
      <c r="AT27" s="57">
        <f>SUMIFS(Table2[TimeInSeconds], Table2[TOPSEED], Table4[[#This Row],[Team]], Table2[ROUNDNUM], 1)+SUMIFS(Table2[TimeInSeconds], Table2[LOWSEED], Table4[[#This Row],[Team]], Table2[ROUNDNUM],1)</f>
        <v>26722</v>
      </c>
      <c r="AU27" s="137">
        <f>Table4[[#This Row],[SecondsPlayed]]/3600</f>
        <v>7.4227777777777781</v>
      </c>
      <c r="AV27" s="57">
        <v>1993</v>
      </c>
      <c r="AW27" s="57">
        <f>COUNTIFS(Table2[LOWSEED], AR27, Table2[ROUNDNUM], 1, Table2[GameOver], 1) + COUNTIFS(Table2[TOPSEED], AR27, Table2[ROUNDNUM], 1, Table2[GameOver], 1)</f>
        <v>7</v>
      </c>
      <c r="AX27" s="57">
        <f>COUNTIFS(Table2[LOWSEED], AR27, Table2[ROUNDNUM], 2, Table2[GameOver], 1) + COUNTIFS(Table2[TOPSEED], AR27, Table2[ROUNDNUM], 2, Table2[GameOver], 1)</f>
        <v>7</v>
      </c>
      <c r="AY27" s="57">
        <f>COUNTIFS(Table2[LOWSEED], AR27, Table2[ROUNDNUM], 3, Table2[GameOver], 1) + COUNTIFS(Table2[TOPSEED], AR27, Table2[ROUNDNUM], 3, Table2[GameOver], 1)</f>
        <v>5</v>
      </c>
      <c r="AZ27" s="57">
        <f>COUNTIFS(Table2[LOWSEED], AR27, Table2[ROUNDNUM], 4, Table2[GameOver], 1) + COUNTIFS(Table2[TOPSEED], AR27, Table2[ROUNDNUM], 4, Table2[GameOver], 1)</f>
        <v>0</v>
      </c>
      <c r="BA27" s="57">
        <f t="shared" si="49"/>
        <v>19</v>
      </c>
      <c r="BB27" s="57">
        <f t="shared" si="8"/>
        <v>10</v>
      </c>
      <c r="BC27" s="57">
        <f t="shared" si="9"/>
        <v>8</v>
      </c>
      <c r="BD27" s="57">
        <f t="shared" si="10"/>
        <v>7</v>
      </c>
      <c r="BE27" s="57">
        <f t="shared" si="11"/>
        <v>12</v>
      </c>
      <c r="BF27" s="57">
        <f t="shared" si="12"/>
        <v>1</v>
      </c>
      <c r="BG27" s="57">
        <f t="shared" si="13"/>
        <v>8</v>
      </c>
      <c r="BH27" s="57">
        <f t="shared" si="14"/>
        <v>6</v>
      </c>
      <c r="BI27" s="57">
        <f t="shared" si="15"/>
        <v>1</v>
      </c>
      <c r="BJ27" s="57">
        <f t="shared" si="16"/>
        <v>3</v>
      </c>
      <c r="BK27" s="57">
        <f t="shared" si="17"/>
        <v>3</v>
      </c>
      <c r="BL27" s="57">
        <f t="shared" si="18"/>
        <v>2</v>
      </c>
      <c r="BM27" s="57">
        <f t="shared" si="19"/>
        <v>5</v>
      </c>
      <c r="BN27" s="57">
        <f t="shared" si="20"/>
        <v>5</v>
      </c>
      <c r="BO27" s="57">
        <f t="shared" si="21"/>
        <v>2</v>
      </c>
      <c r="BP27" s="57">
        <f t="shared" si="50"/>
        <v>-3</v>
      </c>
      <c r="BQ27" s="57">
        <f t="shared" si="50"/>
        <v>3</v>
      </c>
      <c r="BR27" s="57">
        <f t="shared" si="51"/>
        <v>7</v>
      </c>
      <c r="BS27" s="57">
        <f t="shared" si="52"/>
        <v>7</v>
      </c>
      <c r="BT27" s="57">
        <f t="shared" si="53"/>
        <v>0</v>
      </c>
      <c r="BU27" s="57">
        <f t="shared" si="54"/>
        <v>0.66666666666666663</v>
      </c>
      <c r="BV27" s="57">
        <f t="shared" si="54"/>
        <v>1.6666666666666667</v>
      </c>
      <c r="BW27" s="57">
        <f t="shared" si="55"/>
        <v>1.6666666666666667</v>
      </c>
      <c r="BX27" s="57">
        <f t="shared" si="55"/>
        <v>0.66666666666666663</v>
      </c>
      <c r="BY27" s="57">
        <f t="shared" si="22"/>
        <v>1</v>
      </c>
      <c r="BZ27" s="57">
        <f t="shared" si="23"/>
        <v>1</v>
      </c>
      <c r="CA27" s="65"/>
      <c r="CB27" s="145">
        <v>5</v>
      </c>
      <c r="CC27" s="44" t="str">
        <f t="shared" si="24"/>
        <v>MTL</v>
      </c>
      <c r="CD27" s="56">
        <f>SUMIFS(Table2[Periods], Table2[TOPSEED], Table1[[#This Row],[Team]])+SUMIFS(Table2[Periods], Table2[LOWSEED], Table1[[#This Row],[Team]])</f>
        <v>59.715833333333329</v>
      </c>
      <c r="CE27" s="55">
        <f>SUMIFS(Table2[TimeInSeconds], Table2[TOPSEED], Table1[[#This Row],[Team]])+SUMIFS(Table2[TimeInSeconds], Table2[LOWSEED], Table1[[#This Row],[Team]])</f>
        <v>71659</v>
      </c>
      <c r="CF27" s="57">
        <f>Table1[[#This Row],[SecondsPlayed]]/3600</f>
        <v>19.905277777777776</v>
      </c>
      <c r="CG27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40</v>
      </c>
      <c r="CH27" s="56">
        <f>Table1[[#This Row],[PeriodsPlayed]]/Table1[[#This Row],[DaysPast]]</f>
        <v>1.4928958333333333</v>
      </c>
      <c r="CI27" s="56">
        <f>Table1[[#This Row],[PeriodsPlayed]]/Table1[[#This Row],[GP TOT]]</f>
        <v>3.142938596491228</v>
      </c>
      <c r="CJ27" s="57">
        <v>1993</v>
      </c>
      <c r="CK27" s="55">
        <f t="shared" si="25"/>
        <v>19</v>
      </c>
      <c r="CL27" s="55">
        <f t="shared" si="26"/>
        <v>10</v>
      </c>
      <c r="CM27" s="55">
        <f t="shared" si="27"/>
        <v>8</v>
      </c>
      <c r="CN27" s="55">
        <f t="shared" si="28"/>
        <v>7</v>
      </c>
      <c r="CO27" s="55">
        <f t="shared" si="29"/>
        <v>12</v>
      </c>
      <c r="CP27" s="55">
        <f t="shared" si="30"/>
        <v>1</v>
      </c>
      <c r="CQ27" s="55">
        <f t="shared" si="31"/>
        <v>8</v>
      </c>
      <c r="CR27" s="55">
        <f t="shared" si="32"/>
        <v>6</v>
      </c>
      <c r="CS27" s="55">
        <f t="shared" si="33"/>
        <v>1</v>
      </c>
      <c r="CT27" s="55">
        <f t="shared" si="34"/>
        <v>2</v>
      </c>
      <c r="CU27" s="55">
        <f t="shared" si="35"/>
        <v>18</v>
      </c>
      <c r="CV27" s="55">
        <f t="shared" si="36"/>
        <v>25</v>
      </c>
      <c r="CW27" s="55">
        <f t="shared" si="37"/>
        <v>3</v>
      </c>
      <c r="CX27" s="55">
        <f t="shared" si="38"/>
        <v>-23</v>
      </c>
      <c r="CY27" s="55">
        <f t="shared" si="39"/>
        <v>15</v>
      </c>
      <c r="CZ27" s="55">
        <f t="shared" si="40"/>
        <v>20</v>
      </c>
      <c r="DA27" s="55">
        <f t="shared" si="41"/>
        <v>28</v>
      </c>
      <c r="DB27" s="55">
        <f t="shared" si="42"/>
        <v>-8</v>
      </c>
      <c r="DC27" s="56">
        <f t="shared" si="43"/>
        <v>0.2</v>
      </c>
      <c r="DD27" s="56">
        <f t="shared" si="44"/>
        <v>2.25</v>
      </c>
      <c r="DE27" s="56">
        <f t="shared" si="45"/>
        <v>2.5</v>
      </c>
      <c r="DF27" s="56">
        <f t="shared" si="46"/>
        <v>0.375</v>
      </c>
      <c r="DG27" s="56">
        <f t="shared" si="47"/>
        <v>1.0526315789473684</v>
      </c>
      <c r="DH27" s="56">
        <f t="shared" si="48"/>
        <v>1.4736842105263157</v>
      </c>
    </row>
    <row r="28" spans="1:112" x14ac:dyDescent="0.25">
      <c r="A28" s="55" t="str">
        <f>IF(ISBLANK(Table2[[#This Row],[GAMENUM]]), "", _xlfn.TEXTJOIN("", 1, "2025030", Table2[[#This Row],[ROUNDNUM]], Table2[[#This Row],[SeriesID]], Table2[[#This Row],[GAMENUM]]))</f>
        <v>2025030144</v>
      </c>
      <c r="B28" s="63">
        <f>IF(ISBLANK(Table2[[#This Row],[GAMENUM]]), "", INDEX(Table3[SeriesID], MATCH(Table2[[#This Row],[SERIESCODE]],Table3[SeriesCode],0)))</f>
        <v>4</v>
      </c>
      <c r="C28" s="57" t="str">
        <f t="shared" si="0"/>
        <v>Saturday</v>
      </c>
      <c r="D28" s="59">
        <v>46137</v>
      </c>
      <c r="E28" s="60">
        <v>0.875</v>
      </c>
      <c r="F28" s="59" t="s">
        <v>16</v>
      </c>
      <c r="G28" s="62">
        <v>1</v>
      </c>
      <c r="H28" s="63" t="s">
        <v>17</v>
      </c>
      <c r="I28" s="62">
        <v>4</v>
      </c>
      <c r="J28" s="93" t="str">
        <f>INDEX(Table3[TopSeed],MATCH(Table2[[#This Row],[SERIESCODE]], Table3[SeriesCode], 0))</f>
        <v>PIT</v>
      </c>
      <c r="K28" s="92" t="str">
        <f>INDEX(Table3[LowSeed],MATCH(Table2[[#This Row],[SERIESCODE]], Table3[SeriesCode], 0))</f>
        <v>PHI</v>
      </c>
      <c r="L28" s="62">
        <v>1</v>
      </c>
      <c r="M28" s="62">
        <v>3</v>
      </c>
      <c r="N28" s="31" t="str">
        <f>IF(Table2[[#This Row],[GAMENUM]] = 6, Table2[[#This Row],[TOPSEED]], IF(Table2[[#This Row],[GAMENUM]] = 4, Table2[[#This Row],[TOPSEED]], IF(Table2[[#This Row],[GAMENUM]] = 3, Table2[[#This Row],[TOPSEED]], Table2[LOWSEED])))</f>
        <v>PIT</v>
      </c>
      <c r="O28" s="32" t="str">
        <f>IF(Table2[[#This Row],[GAMENUM]] = 6, Table2[[#This Row],[LOWSEED]], IF(Table2[[#This Row],[GAMENUM]] = 4, Table2[[#This Row],[LOWSEED]], IF(Table2[[#This Row],[GAMENUM]] = 3, Table2[[#This Row],[LOWSEED]], Table2[TOPSEED])))</f>
        <v>PHI</v>
      </c>
      <c r="P28" s="31" t="str">
        <f t="shared" si="1"/>
        <v>PIT</v>
      </c>
      <c r="Q28" s="62">
        <v>3</v>
      </c>
      <c r="R28" s="62">
        <v>2</v>
      </c>
      <c r="S28" s="63" t="s">
        <v>154</v>
      </c>
      <c r="T28" s="59">
        <v>46137</v>
      </c>
      <c r="U28" s="62">
        <v>4</v>
      </c>
      <c r="V28" s="62">
        <v>2</v>
      </c>
      <c r="W28" s="62">
        <v>0</v>
      </c>
      <c r="X28" s="62">
        <v>3600</v>
      </c>
      <c r="Y28" s="63">
        <f>Table2[[#This Row],[TimeInSeconds]]/1200</f>
        <v>3</v>
      </c>
      <c r="Z28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28" s="31" t="str">
        <f t="shared" si="2"/>
        <v>PIT</v>
      </c>
      <c r="AB28" s="63">
        <f>IF(ISBLANK(Table2[[#This Row],[OTROUNDNUM]]), "", Table2[[#This Row],[PAWAYSCORE]]-Table2[[#This Row],[AAWAYSCORE]])</f>
        <v>-1</v>
      </c>
      <c r="AC28" s="63">
        <f>IF(ISBLANK(Table2[[#This Row],[OTROUNDNUM]]), "", Table2[[#This Row],[PHOMESCORE]]-Table2[[#This Row],[AHOMESCORE]])</f>
        <v>0</v>
      </c>
      <c r="AD28" s="63">
        <f>_xlfn.IFS(ISBLANK(Table2[[#This Row],[GAMENUM]]), " ", 1, IF((Table2[[#This Row],[TOPSEEDWINS]]+Table2[[#This Row],[LOWSEEDWINS]]) &lt;&gt; Table2[[#This Row],[GAMENUM]], 0, 1))</f>
        <v>1</v>
      </c>
      <c r="AE28" s="63">
        <f>_xlfn.IFS(ISBLANK(Table2[[#This Row],[GAMENUM]]),"", Table2[[#This Row],[GameOver]]=0,"",Table2[[#This Row],[AAWAYSCORE]]&gt;Table2[[#This Row],[AHOMESCORE]], 1,1,0)</f>
        <v>1</v>
      </c>
      <c r="AF28" s="63">
        <f>_xlfn.IFS(ISBLANK(Table2[[#This Row],[GAMENUM]]),"",Table2[[#This Row],[GameOver]]=0,"",Table2[[#This Row],[AAWAYSCORE]]&lt;Table2[[#This Row],[AHOMESCORE]], 1,1,0)</f>
        <v>0</v>
      </c>
      <c r="AG28" s="63">
        <f>_xlfn.IFS(ISBLANK(Table2[[#This Row],[GAMENUM]]),"",Table2[[#This Row],[GameOver]]=0,"",Table2[[#This Row],[OTROUNDNUM]]&gt;0,1,1,0)</f>
        <v>0</v>
      </c>
      <c r="AH28" s="63">
        <f>_xlfn.IFS(ISBLANK(Table2[[#This Row],[GAMENUM]]),"",Table2[[#This Row],[GameOver]]=0,"",Table2[[#This Row],[AAWAYSCORE]]=0,1,1,0)</f>
        <v>0</v>
      </c>
      <c r="AI28" s="63">
        <f>_xlfn.IFS(ISBLANK(Table2[[#This Row],[GAMENUM]]),"", Table2[[#This Row],[GameOver]]=0,"",Table2[[#This Row],[AHOMESCORE]]=0,1,1,0)</f>
        <v>0</v>
      </c>
      <c r="AJ28" s="57"/>
      <c r="AK28" s="65"/>
      <c r="AL28" s="11"/>
      <c r="AM28" s="11"/>
      <c r="AN28" s="16"/>
      <c r="AO28" s="11"/>
      <c r="AP28" s="11"/>
      <c r="AQ28" s="42"/>
      <c r="AR28" s="115" t="s">
        <v>170</v>
      </c>
      <c r="AS28" s="137">
        <f>SUMIFS(Table2[Periods], Table2[TOPSEED], Table4[[#This Row],[Team]], Table2[ROUNDNUM], 1)+SUMIFS(Table2[Periods], Table2[LOWSEED], Table4[[#This Row],[Team]], Table2[ROUNDNUM],1)</f>
        <v>18.461666666666666</v>
      </c>
      <c r="AT28" s="57">
        <f>SUMIFS(Table2[TimeInSeconds], Table2[TOPSEED], Table4[[#This Row],[Team]], Table2[ROUNDNUM], 1)+SUMIFS(Table2[TimeInSeconds], Table2[LOWSEED], Table4[[#This Row],[Team]], Table2[ROUNDNUM],1)</f>
        <v>22154</v>
      </c>
      <c r="AU28" s="137">
        <f>Table4[[#This Row],[SecondsPlayed]]/3600</f>
        <v>6.153888888888889</v>
      </c>
      <c r="AV28" s="57"/>
      <c r="AW28" s="57">
        <f>COUNTIFS(Table2[LOWSEED], AR28, Table2[ROUNDNUM], 1, Table2[GameOver], 1) + COUNTIFS(Table2[TOPSEED], AR28, Table2[ROUNDNUM], 1, Table2[GameOver], 1)</f>
        <v>6</v>
      </c>
      <c r="AX28" s="57">
        <f>COUNTIFS(Table2[LOWSEED], AR28, Table2[ROUNDNUM], 2, Table2[GameOver], 1) + COUNTIFS(Table2[TOPSEED], AR28, Table2[ROUNDNUM], 2, Table2[GameOver], 1)</f>
        <v>7</v>
      </c>
      <c r="AY28" s="57">
        <f>COUNTIFS(Table2[LOWSEED], AR28, Table2[ROUNDNUM], 3, Table2[GameOver], 1) + COUNTIFS(Table2[TOPSEED], AR28, Table2[ROUNDNUM], 3, Table2[GameOver], 1)</f>
        <v>0</v>
      </c>
      <c r="AZ28" s="57">
        <f>COUNTIFS(Table2[LOWSEED], AR28, Table2[ROUNDNUM], 4, Table2[GameOver], 1) + COUNTIFS(Table2[TOPSEED], AR28, Table2[ROUNDNUM], 4, Table2[GameOver], 1)</f>
        <v>0</v>
      </c>
      <c r="BA28" s="57">
        <f t="shared" si="49"/>
        <v>13</v>
      </c>
      <c r="BB28" s="57">
        <f t="shared" si="8"/>
        <v>6</v>
      </c>
      <c r="BC28" s="57">
        <f t="shared" si="9"/>
        <v>7</v>
      </c>
      <c r="BD28" s="57">
        <f t="shared" si="10"/>
        <v>6</v>
      </c>
      <c r="BE28" s="57">
        <f t="shared" si="11"/>
        <v>7</v>
      </c>
      <c r="BF28" s="57">
        <f t="shared" si="12"/>
        <v>0</v>
      </c>
      <c r="BG28" s="57">
        <f t="shared" si="13"/>
        <v>5</v>
      </c>
      <c r="BH28" s="57">
        <f t="shared" si="14"/>
        <v>6</v>
      </c>
      <c r="BI28" s="57">
        <f t="shared" si="15"/>
        <v>0</v>
      </c>
      <c r="BJ28" s="57">
        <f t="shared" si="16"/>
        <v>4</v>
      </c>
      <c r="BK28" s="57">
        <f t="shared" si="17"/>
        <v>3</v>
      </c>
      <c r="BL28" s="57">
        <f t="shared" si="18"/>
        <v>1</v>
      </c>
      <c r="BM28" s="57">
        <f t="shared" si="19"/>
        <v>7</v>
      </c>
      <c r="BN28" s="57">
        <f t="shared" si="20"/>
        <v>8</v>
      </c>
      <c r="BO28" s="57">
        <f t="shared" si="21"/>
        <v>1</v>
      </c>
      <c r="BP28" s="57">
        <f t="shared" si="50"/>
        <v>-7</v>
      </c>
      <c r="BQ28" s="57">
        <f t="shared" si="50"/>
        <v>6</v>
      </c>
      <c r="BR28" s="57">
        <f t="shared" si="51"/>
        <v>8</v>
      </c>
      <c r="BS28" s="57">
        <f t="shared" si="52"/>
        <v>9</v>
      </c>
      <c r="BT28" s="57">
        <f t="shared" si="53"/>
        <v>-1</v>
      </c>
      <c r="BU28" s="57">
        <f t="shared" si="54"/>
        <v>0.25</v>
      </c>
      <c r="BV28" s="57">
        <f t="shared" si="54"/>
        <v>2.3333333333333335</v>
      </c>
      <c r="BW28" s="57">
        <f t="shared" si="55"/>
        <v>2</v>
      </c>
      <c r="BX28" s="57">
        <f t="shared" si="55"/>
        <v>0.33333333333333331</v>
      </c>
      <c r="BY28" s="57">
        <f t="shared" si="22"/>
        <v>1.3333333333333333</v>
      </c>
      <c r="BZ28" s="57">
        <f t="shared" si="23"/>
        <v>1.5</v>
      </c>
      <c r="CA28" s="65"/>
      <c r="CB28" s="146">
        <v>6</v>
      </c>
      <c r="CC28" s="115" t="str">
        <f t="shared" si="24"/>
        <v>BUF</v>
      </c>
      <c r="CD28" s="56">
        <f>SUMIFS(Table2[Periods], Table2[TOPSEED], Table1[[#This Row],[Team]])+SUMIFS(Table2[Periods], Table2[LOWSEED], Table1[[#This Row],[Team]])</f>
        <v>40.03</v>
      </c>
      <c r="CE28" s="55">
        <f>SUMIFS(Table2[TimeInSeconds], Table2[TOPSEED], Table1[[#This Row],[Team]])+SUMIFS(Table2[TimeInSeconds], Table2[LOWSEED], Table1[[#This Row],[Team]])</f>
        <v>48036</v>
      </c>
      <c r="CF28" s="57">
        <f>Table1[[#This Row],[SecondsPlayed]]/3600</f>
        <v>13.343333333333334</v>
      </c>
      <c r="CG28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29</v>
      </c>
      <c r="CH28" s="56">
        <f>Table1[[#This Row],[PeriodsPlayed]]/Table1[[#This Row],[DaysPast]]</f>
        <v>1.3803448275862069</v>
      </c>
      <c r="CI28" s="56">
        <f>Table1[[#This Row],[PeriodsPlayed]]/Table1[[#This Row],[GP TOT]]</f>
        <v>3.0792307692307692</v>
      </c>
      <c r="CJ28" s="57"/>
      <c r="CK28" s="55">
        <f t="shared" si="25"/>
        <v>13</v>
      </c>
      <c r="CL28" s="55">
        <f t="shared" si="26"/>
        <v>6</v>
      </c>
      <c r="CM28" s="55">
        <f t="shared" si="27"/>
        <v>7</v>
      </c>
      <c r="CN28" s="55">
        <f t="shared" si="28"/>
        <v>6</v>
      </c>
      <c r="CO28" s="55">
        <f t="shared" si="29"/>
        <v>7</v>
      </c>
      <c r="CP28" s="55">
        <f t="shared" si="30"/>
        <v>0</v>
      </c>
      <c r="CQ28" s="55">
        <f t="shared" si="31"/>
        <v>5</v>
      </c>
      <c r="CR28" s="55">
        <f t="shared" si="32"/>
        <v>6</v>
      </c>
      <c r="CS28" s="55">
        <f t="shared" si="33"/>
        <v>0</v>
      </c>
      <c r="CT28" s="55">
        <f t="shared" si="34"/>
        <v>2</v>
      </c>
      <c r="CU28" s="55">
        <f t="shared" si="35"/>
        <v>18</v>
      </c>
      <c r="CV28" s="55">
        <f t="shared" si="36"/>
        <v>16</v>
      </c>
      <c r="CW28" s="55">
        <f t="shared" si="37"/>
        <v>2</v>
      </c>
      <c r="CX28" s="55">
        <f t="shared" si="38"/>
        <v>-14</v>
      </c>
      <c r="CY28" s="55">
        <f t="shared" si="39"/>
        <v>16</v>
      </c>
      <c r="CZ28" s="55">
        <f t="shared" si="40"/>
        <v>20</v>
      </c>
      <c r="DA28" s="55">
        <f t="shared" si="41"/>
        <v>18</v>
      </c>
      <c r="DB28" s="55">
        <f t="shared" si="42"/>
        <v>2</v>
      </c>
      <c r="DC28" s="56">
        <f t="shared" si="43"/>
        <v>0.33333333333333331</v>
      </c>
      <c r="DD28" s="56">
        <f t="shared" si="44"/>
        <v>2.5714285714285716</v>
      </c>
      <c r="DE28" s="56">
        <f t="shared" si="45"/>
        <v>2.6666666666666665</v>
      </c>
      <c r="DF28" s="56">
        <f t="shared" si="46"/>
        <v>0.2857142857142857</v>
      </c>
      <c r="DG28" s="56">
        <f t="shared" si="47"/>
        <v>1.5384615384615385</v>
      </c>
      <c r="DH28" s="56">
        <f t="shared" si="48"/>
        <v>1.3846153846153846</v>
      </c>
    </row>
    <row r="29" spans="1:112" x14ac:dyDescent="0.25">
      <c r="A29" s="55" t="str">
        <f>IF(ISBLANK(Table2[[#This Row],[GAMENUM]]), "", _xlfn.TEXTJOIN("", 1, "2025030", Table2[[#This Row],[ROUNDNUM]], Table2[[#This Row],[SeriesID]], Table2[[#This Row],[GAMENUM]]))</f>
        <v>2025030114</v>
      </c>
      <c r="B29" s="63">
        <f>IF(ISBLANK(Table2[[#This Row],[GAMENUM]]), "", INDEX(Table3[SeriesID], MATCH(Table2[[#This Row],[SERIESCODE]],Table3[SeriesCode],0)))</f>
        <v>1</v>
      </c>
      <c r="C29" s="57" t="str">
        <f t="shared" si="0"/>
        <v>Sunday</v>
      </c>
      <c r="D29" s="59">
        <v>46138</v>
      </c>
      <c r="E29" s="60">
        <v>0.625</v>
      </c>
      <c r="F29" s="59" t="s">
        <v>16</v>
      </c>
      <c r="G29" s="62">
        <v>1</v>
      </c>
      <c r="H29" s="63" t="s">
        <v>33</v>
      </c>
      <c r="I29" s="62">
        <v>4</v>
      </c>
      <c r="J29" s="78" t="str">
        <f>INDEX(Table3[TopSeed],MATCH(Table2[[#This Row],[SERIESCODE]], Table3[SeriesCode], 0))</f>
        <v>BUF</v>
      </c>
      <c r="K29" s="80" t="str">
        <f>INDEX(Table3[LowSeed],MATCH(Table2[[#This Row],[SERIESCODE]], Table3[SeriesCode], 0))</f>
        <v>BOS</v>
      </c>
      <c r="L29" s="62">
        <v>3</v>
      </c>
      <c r="M29" s="62">
        <v>1</v>
      </c>
      <c r="N29" s="73" t="str">
        <f>IF(Table2[[#This Row],[GAMENUM]] = 6, Table2[[#This Row],[TOPSEED]], IF(Table2[[#This Row],[GAMENUM]] = 4, Table2[[#This Row],[TOPSEED]], IF(Table2[[#This Row],[GAMENUM]] = 3, Table2[[#This Row],[TOPSEED]], Table2[LOWSEED])))</f>
        <v>BUF</v>
      </c>
      <c r="O29" s="75" t="str">
        <f>IF(Table2[[#This Row],[GAMENUM]] = 6, Table2[[#This Row],[LOWSEED]], IF(Table2[[#This Row],[GAMENUM]] = 4, Table2[[#This Row],[LOWSEED]], IF(Table2[[#This Row],[GAMENUM]] = 3, Table2[[#This Row],[LOWSEED]], Table2[TOPSEED])))</f>
        <v>BOS</v>
      </c>
      <c r="P29" s="75" t="str">
        <f t="shared" si="1"/>
        <v>BOS</v>
      </c>
      <c r="Q29" s="62">
        <v>2</v>
      </c>
      <c r="R29" s="62">
        <v>3</v>
      </c>
      <c r="S29" s="63" t="s">
        <v>154</v>
      </c>
      <c r="T29" s="59">
        <v>46138</v>
      </c>
      <c r="U29" s="62">
        <v>6</v>
      </c>
      <c r="V29" s="62">
        <v>1</v>
      </c>
      <c r="W29" s="62">
        <v>0</v>
      </c>
      <c r="X29" s="62">
        <v>3600</v>
      </c>
      <c r="Y29" s="63">
        <f>Table2[[#This Row],[TimeInSeconds]]/1200</f>
        <v>3</v>
      </c>
      <c r="Z29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29" s="73" t="str">
        <f t="shared" si="2"/>
        <v>BUF</v>
      </c>
      <c r="AB29" s="63">
        <f>IF(ISBLANK(Table2[[#This Row],[OTROUNDNUM]]), "", Table2[[#This Row],[PAWAYSCORE]]-Table2[[#This Row],[AAWAYSCORE]])</f>
        <v>-4</v>
      </c>
      <c r="AC29" s="63">
        <f>IF(ISBLANK(Table2[[#This Row],[OTROUNDNUM]]), "", Table2[[#This Row],[PHOMESCORE]]-Table2[[#This Row],[AHOMESCORE]])</f>
        <v>2</v>
      </c>
      <c r="AD29" s="63">
        <f>_xlfn.IFS(ISBLANK(Table2[[#This Row],[GAMENUM]]), " ", 1, IF((Table2[[#This Row],[TOPSEEDWINS]]+Table2[[#This Row],[LOWSEEDWINS]]) &lt;&gt; Table2[[#This Row],[GAMENUM]], 0, 1))</f>
        <v>1</v>
      </c>
      <c r="AE29" s="63">
        <f>_xlfn.IFS(ISBLANK(Table2[[#This Row],[GAMENUM]]),"", Table2[[#This Row],[GameOver]]=0,"",Table2[[#This Row],[AAWAYSCORE]]&gt;Table2[[#This Row],[AHOMESCORE]], 1,1,0)</f>
        <v>1</v>
      </c>
      <c r="AF29" s="63">
        <f>_xlfn.IFS(ISBLANK(Table2[[#This Row],[GAMENUM]]),"",Table2[[#This Row],[GameOver]]=0,"",Table2[[#This Row],[AAWAYSCORE]]&lt;Table2[[#This Row],[AHOMESCORE]], 1,1,0)</f>
        <v>0</v>
      </c>
      <c r="AG29" s="63">
        <f>_xlfn.IFS(ISBLANK(Table2[[#This Row],[GAMENUM]]),"",Table2[[#This Row],[GameOver]]=0,"",Table2[[#This Row],[OTROUNDNUM]]&gt;0,1,1,0)</f>
        <v>0</v>
      </c>
      <c r="AH29" s="63">
        <f>_xlfn.IFS(ISBLANK(Table2[[#This Row],[GAMENUM]]),"",Table2[[#This Row],[GameOver]]=0,"",Table2[[#This Row],[AAWAYSCORE]]=0,1,1,0)</f>
        <v>0</v>
      </c>
      <c r="AI29" s="63">
        <f>_xlfn.IFS(ISBLANK(Table2[[#This Row],[GAMENUM]]),"", Table2[[#This Row],[GameOver]]=0,"",Table2[[#This Row],[AHOMESCORE]]=0,1,1,0)</f>
        <v>0</v>
      </c>
      <c r="AJ29" s="57" t="s">
        <v>182</v>
      </c>
      <c r="AK29" s="65"/>
      <c r="AL29" s="11"/>
      <c r="AM29" s="11"/>
      <c r="AN29" s="16"/>
      <c r="AO29" s="11"/>
      <c r="AP29" s="11"/>
      <c r="AQ29" s="42"/>
      <c r="AR29" s="116" t="s">
        <v>171</v>
      </c>
      <c r="AS29" s="137">
        <f>SUMIFS(Table2[Periods], Table2[TOPSEED], Table4[[#This Row],[Team]], Table2[ROUNDNUM], 1)+SUMIFS(Table2[Periods], Table2[LOWSEED], Table4[[#This Row],[Team]], Table2[ROUNDNUM],1)</f>
        <v>18.461666666666666</v>
      </c>
      <c r="AT29" s="57">
        <f>SUMIFS(Table2[TimeInSeconds], Table2[TOPSEED], Table4[[#This Row],[Team]], Table2[ROUNDNUM], 1)+SUMIFS(Table2[TimeInSeconds], Table2[LOWSEED], Table4[[#This Row],[Team]], Table2[ROUNDNUM],1)</f>
        <v>22154</v>
      </c>
      <c r="AU29" s="137">
        <f>Table4[[#This Row],[SecondsPlayed]]/3600</f>
        <v>6.153888888888889</v>
      </c>
      <c r="AV29" s="57">
        <v>2011</v>
      </c>
      <c r="AW29" s="57">
        <f>COUNTIFS(Table2[LOWSEED], AR29, Table2[ROUNDNUM], 1, Table2[GameOver], 1) + COUNTIFS(Table2[TOPSEED], AR29, Table2[ROUNDNUM], 1, Table2[GameOver], 1)</f>
        <v>6</v>
      </c>
      <c r="AX29" s="57">
        <f>COUNTIFS(Table2[LOWSEED], AR29, Table2[ROUNDNUM], 2, Table2[GameOver], 1) + COUNTIFS(Table2[TOPSEED], AR29, Table2[ROUNDNUM], 2, Table2[GameOver], 1)</f>
        <v>0</v>
      </c>
      <c r="AY29" s="57">
        <f>COUNTIFS(Table2[LOWSEED], AR29, Table2[ROUNDNUM], 3, Table2[GameOver], 1) + COUNTIFS(Table2[TOPSEED], AR29, Table2[ROUNDNUM], 3, Table2[GameOver], 1)</f>
        <v>0</v>
      </c>
      <c r="AZ29" s="57">
        <f>COUNTIFS(Table2[LOWSEED], AR29, Table2[ROUNDNUM], 4, Table2[GameOver], 1) + COUNTIFS(Table2[TOPSEED], AR29, Table2[ROUNDNUM], 4, Table2[GameOver], 1)</f>
        <v>0</v>
      </c>
      <c r="BA29" s="57">
        <f t="shared" si="49"/>
        <v>6</v>
      </c>
      <c r="BB29" s="57">
        <f t="shared" si="8"/>
        <v>2</v>
      </c>
      <c r="BC29" s="57">
        <f t="shared" si="9"/>
        <v>3</v>
      </c>
      <c r="BD29" s="57">
        <f t="shared" si="10"/>
        <v>3</v>
      </c>
      <c r="BE29" s="57">
        <f t="shared" si="11"/>
        <v>3</v>
      </c>
      <c r="BF29" s="57">
        <f t="shared" si="12"/>
        <v>0</v>
      </c>
      <c r="BG29" s="57">
        <f t="shared" si="13"/>
        <v>2</v>
      </c>
      <c r="BH29" s="57">
        <f t="shared" si="14"/>
        <v>3</v>
      </c>
      <c r="BI29" s="57">
        <f t="shared" si="15"/>
        <v>0</v>
      </c>
      <c r="BJ29" s="57">
        <f t="shared" si="16"/>
        <v>2</v>
      </c>
      <c r="BK29" s="57">
        <f t="shared" si="17"/>
        <v>3</v>
      </c>
      <c r="BL29" s="57">
        <f t="shared" si="18"/>
        <v>0</v>
      </c>
      <c r="BM29" s="57">
        <f t="shared" si="19"/>
        <v>3</v>
      </c>
      <c r="BN29" s="57">
        <f t="shared" si="20"/>
        <v>2</v>
      </c>
      <c r="BO29" s="57">
        <f t="shared" si="21"/>
        <v>0</v>
      </c>
      <c r="BP29" s="57">
        <f t="shared" si="50"/>
        <v>-2</v>
      </c>
      <c r="BQ29" s="57">
        <f t="shared" si="50"/>
        <v>3</v>
      </c>
      <c r="BR29" s="57">
        <f t="shared" si="51"/>
        <v>3</v>
      </c>
      <c r="BS29" s="57">
        <f t="shared" si="52"/>
        <v>2</v>
      </c>
      <c r="BT29" s="57">
        <f t="shared" si="53"/>
        <v>1</v>
      </c>
      <c r="BU29" s="57">
        <f t="shared" si="54"/>
        <v>0</v>
      </c>
      <c r="BV29" s="57">
        <f t="shared" si="54"/>
        <v>1</v>
      </c>
      <c r="BW29" s="57">
        <f t="shared" si="55"/>
        <v>1</v>
      </c>
      <c r="BX29" s="57">
        <f t="shared" si="55"/>
        <v>0</v>
      </c>
      <c r="BY29" s="57">
        <f t="shared" si="22"/>
        <v>0.5</v>
      </c>
      <c r="BZ29" s="57">
        <f t="shared" si="23"/>
        <v>0.33333333333333331</v>
      </c>
      <c r="CA29" s="65"/>
      <c r="CB29" s="147">
        <v>7</v>
      </c>
      <c r="CC29" s="116" t="str">
        <f t="shared" si="24"/>
        <v>BOS</v>
      </c>
      <c r="CD29" s="56">
        <f>SUMIFS(Table2[Periods], Table2[TOPSEED], Table1[[#This Row],[Team]])+SUMIFS(Table2[Periods], Table2[LOWSEED], Table1[[#This Row],[Team]])</f>
        <v>18.461666666666666</v>
      </c>
      <c r="CE29" s="55">
        <f>SUMIFS(Table2[TimeInSeconds], Table2[TOPSEED], Table1[[#This Row],[Team]])+SUMIFS(Table2[TimeInSeconds], Table2[LOWSEED], Table1[[#This Row],[Team]])</f>
        <v>22154</v>
      </c>
      <c r="CF29" s="57">
        <f>Table1[[#This Row],[SecondsPlayed]]/3600</f>
        <v>6.153888888888889</v>
      </c>
      <c r="CG29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12</v>
      </c>
      <c r="CH29" s="56">
        <f>Table1[[#This Row],[PeriodsPlayed]]/Table1[[#This Row],[DaysPast]]</f>
        <v>1.5384722222222222</v>
      </c>
      <c r="CI29" s="56">
        <f>Table1[[#This Row],[PeriodsPlayed]]/Table1[[#This Row],[GP TOT]]</f>
        <v>3.0769444444444445</v>
      </c>
      <c r="CJ29" s="57">
        <v>2011</v>
      </c>
      <c r="CK29" s="55">
        <f t="shared" si="25"/>
        <v>6</v>
      </c>
      <c r="CL29" s="55">
        <f t="shared" si="26"/>
        <v>2</v>
      </c>
      <c r="CM29" s="55">
        <f t="shared" si="27"/>
        <v>3</v>
      </c>
      <c r="CN29" s="55">
        <f t="shared" si="28"/>
        <v>3</v>
      </c>
      <c r="CO29" s="55">
        <f t="shared" si="29"/>
        <v>3</v>
      </c>
      <c r="CP29" s="55">
        <f t="shared" si="30"/>
        <v>0</v>
      </c>
      <c r="CQ29" s="55">
        <f t="shared" si="31"/>
        <v>2</v>
      </c>
      <c r="CR29" s="55">
        <f t="shared" si="32"/>
        <v>3</v>
      </c>
      <c r="CS29" s="55">
        <f t="shared" si="33"/>
        <v>0</v>
      </c>
      <c r="CT29" s="55">
        <f t="shared" si="34"/>
        <v>0</v>
      </c>
      <c r="CU29" s="55">
        <f t="shared" si="35"/>
        <v>3</v>
      </c>
      <c r="CV29" s="55">
        <f t="shared" si="36"/>
        <v>2</v>
      </c>
      <c r="CW29" s="55">
        <f t="shared" si="37"/>
        <v>0</v>
      </c>
      <c r="CX29" s="55">
        <f t="shared" si="38"/>
        <v>-2</v>
      </c>
      <c r="CY29" s="55">
        <f t="shared" si="39"/>
        <v>3</v>
      </c>
      <c r="CZ29" s="55">
        <f t="shared" si="40"/>
        <v>3</v>
      </c>
      <c r="DA29" s="55">
        <f t="shared" si="41"/>
        <v>2</v>
      </c>
      <c r="DB29" s="55">
        <f t="shared" si="42"/>
        <v>1</v>
      </c>
      <c r="DC29" s="56">
        <f t="shared" si="43"/>
        <v>0</v>
      </c>
      <c r="DD29" s="56">
        <f t="shared" si="44"/>
        <v>1</v>
      </c>
      <c r="DE29" s="56">
        <f t="shared" si="45"/>
        <v>1</v>
      </c>
      <c r="DF29" s="56">
        <f t="shared" si="46"/>
        <v>0</v>
      </c>
      <c r="DG29" s="56">
        <f t="shared" si="47"/>
        <v>0.5</v>
      </c>
      <c r="DH29" s="56">
        <f t="shared" si="48"/>
        <v>0.33333333333333331</v>
      </c>
    </row>
    <row r="30" spans="1:112" x14ac:dyDescent="0.25">
      <c r="A30" s="55" t="str">
        <f>IF(ISBLANK(Table2[[#This Row],[GAMENUM]]), "", _xlfn.TEXTJOIN("", 1, "2025030", Table2[[#This Row],[ROUNDNUM]], Table2[[#This Row],[SeriesID]], Table2[[#This Row],[GAMENUM]]))</f>
        <v>2025030154</v>
      </c>
      <c r="B30" s="63">
        <f>IF(ISBLANK(Table2[[#This Row],[GAMENUM]]), "", INDEX(Table3[SeriesID], MATCH(Table2[[#This Row],[SERIESCODE]],Table3[SeriesCode],0)))</f>
        <v>5</v>
      </c>
      <c r="C30" s="57" t="str">
        <f t="shared" si="0"/>
        <v>Sunday</v>
      </c>
      <c r="D30" s="59">
        <v>46138</v>
      </c>
      <c r="E30" s="60">
        <v>0.72916666666666663</v>
      </c>
      <c r="F30" s="59" t="s">
        <v>38</v>
      </c>
      <c r="G30" s="62">
        <v>1</v>
      </c>
      <c r="H30" s="63" t="s">
        <v>45</v>
      </c>
      <c r="I30" s="62">
        <v>4</v>
      </c>
      <c r="J30" s="98" t="str">
        <f>INDEX(Table3[TopSeed],MATCH(Table2[[#This Row],[SERIESCODE]], Table3[SeriesCode], 0))</f>
        <v>COL</v>
      </c>
      <c r="K30" s="99" t="str">
        <f>INDEX(Table3[LowSeed],MATCH(Table2[[#This Row],[SERIESCODE]], Table3[SeriesCode], 0))</f>
        <v>LAK</v>
      </c>
      <c r="L30" s="62">
        <v>4</v>
      </c>
      <c r="M30" s="62">
        <v>0</v>
      </c>
      <c r="N30" s="72" t="str">
        <f>IF(Table2[[#This Row],[GAMENUM]] = 6, Table2[[#This Row],[TOPSEED]], IF(Table2[[#This Row],[GAMENUM]] = 4, Table2[[#This Row],[TOPSEED]], IF(Table2[[#This Row],[GAMENUM]] = 3, Table2[[#This Row],[TOPSEED]], Table2[LOWSEED])))</f>
        <v>COL</v>
      </c>
      <c r="O30" s="74" t="str">
        <f>IF(Table2[[#This Row],[GAMENUM]] = 6, Table2[[#This Row],[LOWSEED]], IF(Table2[[#This Row],[GAMENUM]] = 4, Table2[[#This Row],[LOWSEED]], IF(Table2[[#This Row],[GAMENUM]] = 3, Table2[[#This Row],[LOWSEED]], Table2[TOPSEED])))</f>
        <v>LAK</v>
      </c>
      <c r="P30" s="74" t="str">
        <f t="shared" si="1"/>
        <v>LAK</v>
      </c>
      <c r="Q30" s="62">
        <v>2</v>
      </c>
      <c r="R30" s="62">
        <v>3</v>
      </c>
      <c r="S30" s="63" t="s">
        <v>154</v>
      </c>
      <c r="T30" s="59">
        <v>46138</v>
      </c>
      <c r="U30" s="62">
        <v>5</v>
      </c>
      <c r="V30" s="62">
        <v>1</v>
      </c>
      <c r="W30" s="62">
        <v>0</v>
      </c>
      <c r="X30" s="62">
        <v>3600</v>
      </c>
      <c r="Y30" s="63">
        <f>Table2[[#This Row],[TimeInSeconds]]/1200</f>
        <v>3</v>
      </c>
      <c r="Z30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30" s="72" t="str">
        <f t="shared" si="2"/>
        <v>COL</v>
      </c>
      <c r="AB30" s="63">
        <f>IF(ISBLANK(Table2[[#This Row],[OTROUNDNUM]]), "", Table2[[#This Row],[PAWAYSCORE]]-Table2[[#This Row],[AAWAYSCORE]])</f>
        <v>-3</v>
      </c>
      <c r="AC30" s="63">
        <f>IF(ISBLANK(Table2[[#This Row],[OTROUNDNUM]]), "", Table2[[#This Row],[PHOMESCORE]]-Table2[[#This Row],[AHOMESCORE]])</f>
        <v>2</v>
      </c>
      <c r="AD30" s="63">
        <f>_xlfn.IFS(ISBLANK(Table2[[#This Row],[GAMENUM]]), " ", 1, IF((Table2[[#This Row],[TOPSEEDWINS]]+Table2[[#This Row],[LOWSEEDWINS]]) &lt;&gt; Table2[[#This Row],[GAMENUM]], 0, 1))</f>
        <v>1</v>
      </c>
      <c r="AE30" s="63">
        <f>_xlfn.IFS(ISBLANK(Table2[[#This Row],[GAMENUM]]),"", Table2[[#This Row],[GameOver]]=0,"",Table2[[#This Row],[AAWAYSCORE]]&gt;Table2[[#This Row],[AHOMESCORE]], 1,1,0)</f>
        <v>1</v>
      </c>
      <c r="AF30" s="63">
        <f>_xlfn.IFS(ISBLANK(Table2[[#This Row],[GAMENUM]]),"",Table2[[#This Row],[GameOver]]=0,"",Table2[[#This Row],[AAWAYSCORE]]&lt;Table2[[#This Row],[AHOMESCORE]], 1,1,0)</f>
        <v>0</v>
      </c>
      <c r="AG30" s="63">
        <f>_xlfn.IFS(ISBLANK(Table2[[#This Row],[GAMENUM]]),"",Table2[[#This Row],[GameOver]]=0,"",Table2[[#This Row],[OTROUNDNUM]]&gt;0,1,1,0)</f>
        <v>0</v>
      </c>
      <c r="AH30" s="63">
        <f>_xlfn.IFS(ISBLANK(Table2[[#This Row],[GAMENUM]]),"",Table2[[#This Row],[GameOver]]=0,"",Table2[[#This Row],[AAWAYSCORE]]=0,1,1,0)</f>
        <v>0</v>
      </c>
      <c r="AI30" s="63">
        <f>_xlfn.IFS(ISBLANK(Table2[[#This Row],[GAMENUM]]),"", Table2[[#This Row],[GameOver]]=0,"",Table2[[#This Row],[AHOMESCORE]]=0,1,1,0)</f>
        <v>0</v>
      </c>
      <c r="AJ30" s="57" t="s">
        <v>181</v>
      </c>
      <c r="AK30" s="65"/>
      <c r="AL30" s="11"/>
      <c r="AM30" s="11"/>
      <c r="AN30" s="16"/>
      <c r="AO30" s="11"/>
      <c r="AP30" s="11"/>
      <c r="AQ30" s="42"/>
      <c r="AR30" s="49" t="s">
        <v>40</v>
      </c>
      <c r="AS30" s="137">
        <f>SUMIFS(Table2[Periods], Table2[TOPSEED], Table4[[#This Row],[Team]], Table2[ROUNDNUM], 1)+SUMIFS(Table2[Periods], Table2[LOWSEED], Table4[[#This Row],[Team]], Table2[ROUNDNUM],1)</f>
        <v>12.386666666666667</v>
      </c>
      <c r="AT30" s="57">
        <f>SUMIFS(Table2[TimeInSeconds], Table2[TOPSEED], Table4[[#This Row],[Team]], Table2[ROUNDNUM], 1)+SUMIFS(Table2[TimeInSeconds], Table2[LOWSEED], Table4[[#This Row],[Team]], Table2[ROUNDNUM],1)</f>
        <v>14864</v>
      </c>
      <c r="AU30" s="137">
        <f>Table4[[#This Row],[SecondsPlayed]]/3600</f>
        <v>4.1288888888888886</v>
      </c>
      <c r="AV30" s="57">
        <v>2022</v>
      </c>
      <c r="AW30" s="57">
        <f>COUNTIFS(Table2[LOWSEED], AR30, Table2[ROUNDNUM], 1, Table2[GameOver], 1) + COUNTIFS(Table2[TOPSEED], AR30, Table2[ROUNDNUM], 1, Table2[GameOver], 1)</f>
        <v>4</v>
      </c>
      <c r="AX30" s="57">
        <f>COUNTIFS(Table2[LOWSEED], AR30, Table2[ROUNDNUM], 2, Table2[GameOver], 1) + COUNTIFS(Table2[TOPSEED], AR30, Table2[ROUNDNUM], 2, Table2[GameOver], 1)</f>
        <v>5</v>
      </c>
      <c r="AY30" s="57">
        <f>COUNTIFS(Table2[LOWSEED], AR30, Table2[ROUNDNUM], 3, Table2[GameOver], 1) + COUNTIFS(Table2[TOPSEED], AR30, Table2[ROUNDNUM], 3, Table2[GameOver], 1)</f>
        <v>4</v>
      </c>
      <c r="AZ30" s="57">
        <f>COUNTIFS(Table2[LOWSEED], AR30, Table2[ROUNDNUM], 4, Table2[GameOver], 1) + COUNTIFS(Table2[TOPSEED], AR30, Table2[ROUNDNUM], 4, Table2[GameOver], 1)</f>
        <v>0</v>
      </c>
      <c r="BA30" s="57">
        <f t="shared" si="49"/>
        <v>13</v>
      </c>
      <c r="BB30" s="57">
        <f t="shared" si="8"/>
        <v>10</v>
      </c>
      <c r="BC30" s="57">
        <f t="shared" si="9"/>
        <v>7</v>
      </c>
      <c r="BD30" s="57">
        <f t="shared" si="10"/>
        <v>7</v>
      </c>
      <c r="BE30" s="57">
        <f t="shared" si="11"/>
        <v>6</v>
      </c>
      <c r="BF30" s="57">
        <f t="shared" si="12"/>
        <v>0</v>
      </c>
      <c r="BG30" s="57">
        <f t="shared" si="13"/>
        <v>10</v>
      </c>
      <c r="BH30" s="57">
        <f t="shared" si="14"/>
        <v>7</v>
      </c>
      <c r="BI30" s="57">
        <f t="shared" si="15"/>
        <v>0</v>
      </c>
      <c r="BJ30" s="57">
        <f t="shared" si="16"/>
        <v>3</v>
      </c>
      <c r="BK30" s="57">
        <f t="shared" si="17"/>
        <v>2</v>
      </c>
      <c r="BL30" s="57">
        <f t="shared" si="18"/>
        <v>1</v>
      </c>
      <c r="BM30" s="57">
        <f t="shared" si="19"/>
        <v>4</v>
      </c>
      <c r="BN30" s="57">
        <f t="shared" si="20"/>
        <v>6</v>
      </c>
      <c r="BO30" s="57">
        <f t="shared" si="21"/>
        <v>1</v>
      </c>
      <c r="BP30" s="57">
        <f t="shared" si="50"/>
        <v>-5</v>
      </c>
      <c r="BQ30" s="57">
        <f t="shared" si="50"/>
        <v>3</v>
      </c>
      <c r="BR30" s="57">
        <f t="shared" si="51"/>
        <v>5</v>
      </c>
      <c r="BS30" s="57">
        <f t="shared" si="52"/>
        <v>7</v>
      </c>
      <c r="BT30" s="57">
        <f t="shared" si="53"/>
        <v>-2</v>
      </c>
      <c r="BU30" s="57">
        <f t="shared" si="54"/>
        <v>0.33333333333333331</v>
      </c>
      <c r="BV30" s="57">
        <f t="shared" si="54"/>
        <v>2</v>
      </c>
      <c r="BW30" s="57">
        <f t="shared" si="55"/>
        <v>2</v>
      </c>
      <c r="BX30" s="57">
        <f t="shared" si="55"/>
        <v>0.5</v>
      </c>
      <c r="BY30" s="57">
        <f t="shared" si="22"/>
        <v>1.25</v>
      </c>
      <c r="BZ30" s="57">
        <f t="shared" si="23"/>
        <v>1.75</v>
      </c>
      <c r="CA30" s="65"/>
      <c r="CB30" s="148">
        <v>8</v>
      </c>
      <c r="CC30" s="49" t="str">
        <f t="shared" si="24"/>
        <v>COL</v>
      </c>
      <c r="CD30" s="56">
        <f>SUMIFS(Table2[Periods], Table2[TOPSEED], Table1[[#This Row],[Team]])+SUMIFS(Table2[Periods], Table2[LOWSEED], Table1[[#This Row],[Team]])</f>
        <v>39.58</v>
      </c>
      <c r="CE30" s="55">
        <f>SUMIFS(Table2[TimeInSeconds], Table2[TOPSEED], Table1[[#This Row],[Team]])+SUMIFS(Table2[TimeInSeconds], Table2[LOWSEED], Table1[[#This Row],[Team]])</f>
        <v>47496</v>
      </c>
      <c r="CF30" s="57">
        <f>Table1[[#This Row],[SecondsPlayed]]/3600</f>
        <v>13.193333333333333</v>
      </c>
      <c r="CG30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37</v>
      </c>
      <c r="CH30" s="56">
        <f>Table1[[#This Row],[PeriodsPlayed]]/Table1[[#This Row],[DaysPast]]</f>
        <v>1.0697297297297297</v>
      </c>
      <c r="CI30" s="56">
        <f>Table1[[#This Row],[PeriodsPlayed]]/Table1[[#This Row],[GP TOT]]</f>
        <v>3.0446153846153843</v>
      </c>
      <c r="CJ30" s="57">
        <v>2022</v>
      </c>
      <c r="CK30" s="55">
        <f t="shared" si="25"/>
        <v>13</v>
      </c>
      <c r="CL30" s="55">
        <f t="shared" si="26"/>
        <v>10</v>
      </c>
      <c r="CM30" s="55">
        <f t="shared" si="27"/>
        <v>7</v>
      </c>
      <c r="CN30" s="55">
        <f t="shared" si="28"/>
        <v>7</v>
      </c>
      <c r="CO30" s="55">
        <f t="shared" si="29"/>
        <v>6</v>
      </c>
      <c r="CP30" s="55">
        <f t="shared" si="30"/>
        <v>0</v>
      </c>
      <c r="CQ30" s="55">
        <f t="shared" si="31"/>
        <v>10</v>
      </c>
      <c r="CR30" s="55">
        <f t="shared" si="32"/>
        <v>7</v>
      </c>
      <c r="CS30" s="55">
        <f t="shared" si="33"/>
        <v>0</v>
      </c>
      <c r="CT30" s="55">
        <f t="shared" si="34"/>
        <v>2</v>
      </c>
      <c r="CU30" s="55">
        <f t="shared" si="35"/>
        <v>25</v>
      </c>
      <c r="CV30" s="55">
        <f t="shared" si="36"/>
        <v>34</v>
      </c>
      <c r="CW30" s="55">
        <f t="shared" si="37"/>
        <v>2</v>
      </c>
      <c r="CX30" s="55">
        <f t="shared" si="38"/>
        <v>-32</v>
      </c>
      <c r="CY30" s="55">
        <f t="shared" si="39"/>
        <v>23</v>
      </c>
      <c r="CZ30" s="55">
        <f t="shared" si="40"/>
        <v>27</v>
      </c>
      <c r="DA30" s="55">
        <f t="shared" si="41"/>
        <v>36</v>
      </c>
      <c r="DB30" s="55">
        <f t="shared" si="42"/>
        <v>-9</v>
      </c>
      <c r="DC30" s="56">
        <f t="shared" si="43"/>
        <v>0.2</v>
      </c>
      <c r="DD30" s="56">
        <f t="shared" si="44"/>
        <v>3.5714285714285716</v>
      </c>
      <c r="DE30" s="56">
        <f t="shared" si="45"/>
        <v>3.4</v>
      </c>
      <c r="DF30" s="56">
        <f t="shared" si="46"/>
        <v>0.2857142857142857</v>
      </c>
      <c r="DG30" s="56">
        <f t="shared" si="47"/>
        <v>2.0769230769230771</v>
      </c>
      <c r="DH30" s="56">
        <f t="shared" si="48"/>
        <v>2.7692307692307692</v>
      </c>
    </row>
    <row r="31" spans="1:112" x14ac:dyDescent="0.25">
      <c r="A31" s="55" t="str">
        <f>IF(ISBLANK(Table2[[#This Row],[GAMENUM]]), "", _xlfn.TEXTJOIN("", 1, "2025030", Table2[[#This Row],[ROUNDNUM]], Table2[[#This Row],[SeriesID]], Table2[[#This Row],[GAMENUM]]))</f>
        <v>2025030124</v>
      </c>
      <c r="B31" s="63">
        <f>IF(ISBLANK(Table2[[#This Row],[GAMENUM]]), "", INDEX(Table3[SeriesID], MATCH(Table2[[#This Row],[SERIESCODE]],Table3[SeriesCode],0)))</f>
        <v>2</v>
      </c>
      <c r="C31" s="57" t="str">
        <f t="shared" si="0"/>
        <v>Sunday</v>
      </c>
      <c r="D31" s="59">
        <v>46138</v>
      </c>
      <c r="E31" s="60">
        <v>0.83333333333333337</v>
      </c>
      <c r="F31" s="59" t="s">
        <v>16</v>
      </c>
      <c r="G31" s="62">
        <v>1</v>
      </c>
      <c r="H31" s="63" t="s">
        <v>31</v>
      </c>
      <c r="I31" s="62">
        <v>4</v>
      </c>
      <c r="J31" s="96" t="str">
        <f>INDEX(Table3[TopSeed],MATCH(Table2[[#This Row],[SERIESCODE]], Table3[SeriesCode], 0))</f>
        <v>TBL</v>
      </c>
      <c r="K31" s="97" t="str">
        <f>INDEX(Table3[LowSeed],MATCH(Table2[[#This Row],[SERIESCODE]], Table3[SeriesCode], 0))</f>
        <v>MTL</v>
      </c>
      <c r="L31" s="62">
        <v>2</v>
      </c>
      <c r="M31" s="62">
        <v>2</v>
      </c>
      <c r="N31" s="77" t="str">
        <f>IF(Table2[[#This Row],[GAMENUM]] = 6, Table2[[#This Row],[TOPSEED]], IF(Table2[[#This Row],[GAMENUM]] = 4, Table2[[#This Row],[TOPSEED]], IF(Table2[[#This Row],[GAMENUM]] = 3, Table2[[#This Row],[TOPSEED]], Table2[LOWSEED])))</f>
        <v>TBL</v>
      </c>
      <c r="O31" s="79" t="str">
        <f>IF(Table2[[#This Row],[GAMENUM]] = 6, Table2[[#This Row],[LOWSEED]], IF(Table2[[#This Row],[GAMENUM]] = 4, Table2[[#This Row],[LOWSEED]], IF(Table2[[#This Row],[GAMENUM]] = 3, Table2[[#This Row],[LOWSEED]], Table2[TOPSEED])))</f>
        <v>MTL</v>
      </c>
      <c r="P31" s="79" t="str">
        <f t="shared" si="1"/>
        <v>MTL</v>
      </c>
      <c r="Q31" s="62">
        <v>2</v>
      </c>
      <c r="R31" s="62">
        <v>3</v>
      </c>
      <c r="S31" s="63" t="s">
        <v>154</v>
      </c>
      <c r="T31" s="59">
        <v>46138</v>
      </c>
      <c r="U31" s="62">
        <v>3</v>
      </c>
      <c r="V31" s="62">
        <v>2</v>
      </c>
      <c r="W31" s="62">
        <v>0</v>
      </c>
      <c r="X31" s="62">
        <v>3600</v>
      </c>
      <c r="Y31" s="63">
        <f>Table2[[#This Row],[TimeInSeconds]]/1200</f>
        <v>3</v>
      </c>
      <c r="Z31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31" s="77" t="str">
        <f t="shared" si="2"/>
        <v>TBL</v>
      </c>
      <c r="AB31" s="63">
        <f>IF(ISBLANK(Table2[[#This Row],[OTROUNDNUM]]), "", Table2[[#This Row],[PAWAYSCORE]]-Table2[[#This Row],[AAWAYSCORE]])</f>
        <v>-1</v>
      </c>
      <c r="AC31" s="63">
        <f>IF(ISBLANK(Table2[[#This Row],[OTROUNDNUM]]), "", Table2[[#This Row],[PHOMESCORE]]-Table2[[#This Row],[AHOMESCORE]])</f>
        <v>1</v>
      </c>
      <c r="AD31" s="63">
        <f>_xlfn.IFS(ISBLANK(Table2[[#This Row],[GAMENUM]]), " ", 1, IF((Table2[[#This Row],[TOPSEEDWINS]]+Table2[[#This Row],[LOWSEEDWINS]]) &lt;&gt; Table2[[#This Row],[GAMENUM]], 0, 1))</f>
        <v>1</v>
      </c>
      <c r="AE31" s="63">
        <f>_xlfn.IFS(ISBLANK(Table2[[#This Row],[GAMENUM]]),"", Table2[[#This Row],[GameOver]]=0,"",Table2[[#This Row],[AAWAYSCORE]]&gt;Table2[[#This Row],[AHOMESCORE]], 1,1,0)</f>
        <v>1</v>
      </c>
      <c r="AF31" s="63">
        <f>_xlfn.IFS(ISBLANK(Table2[[#This Row],[GAMENUM]]),"",Table2[[#This Row],[GameOver]]=0,"",Table2[[#This Row],[AAWAYSCORE]]&lt;Table2[[#This Row],[AHOMESCORE]], 1,1,0)</f>
        <v>0</v>
      </c>
      <c r="AG31" s="63">
        <f>_xlfn.IFS(ISBLANK(Table2[[#This Row],[GAMENUM]]),"",Table2[[#This Row],[GameOver]]=0,"",Table2[[#This Row],[OTROUNDNUM]]&gt;0,1,1,0)</f>
        <v>0</v>
      </c>
      <c r="AH31" s="63">
        <f>_xlfn.IFS(ISBLANK(Table2[[#This Row],[GAMENUM]]),"",Table2[[#This Row],[GameOver]]=0,"",Table2[[#This Row],[AAWAYSCORE]]=0,1,1,0)</f>
        <v>0</v>
      </c>
      <c r="AI31" s="63">
        <f>_xlfn.IFS(ISBLANK(Table2[[#This Row],[GAMENUM]]),"", Table2[[#This Row],[GameOver]]=0,"",Table2[[#This Row],[AHOMESCORE]]=0,1,1,0)</f>
        <v>0</v>
      </c>
      <c r="AJ31" s="57"/>
      <c r="AK31" s="65"/>
      <c r="AL31" s="11"/>
      <c r="AM31" s="11"/>
      <c r="AN31" s="16"/>
      <c r="AO31" s="11"/>
      <c r="AP31" s="11"/>
      <c r="AQ31" s="42"/>
      <c r="AR31" s="52" t="s">
        <v>49</v>
      </c>
      <c r="AS31" s="137">
        <f>SUMIFS(Table2[Periods], Table2[TOPSEED], Table4[[#This Row],[Team]], Table2[ROUNDNUM], 1)+SUMIFS(Table2[Periods], Table2[LOWSEED], Table4[[#This Row],[Team]], Table2[ROUNDNUM],1)</f>
        <v>12.386666666666667</v>
      </c>
      <c r="AT31" s="57">
        <f>SUMIFS(Table2[TimeInSeconds], Table2[TOPSEED], Table4[[#This Row],[Team]], Table2[ROUNDNUM], 1)+SUMIFS(Table2[TimeInSeconds], Table2[LOWSEED], Table4[[#This Row],[Team]], Table2[ROUNDNUM],1)</f>
        <v>14864</v>
      </c>
      <c r="AU31" s="137">
        <f>Table4[[#This Row],[SecondsPlayed]]/3600</f>
        <v>4.1288888888888886</v>
      </c>
      <c r="AV31" s="57">
        <v>2014</v>
      </c>
      <c r="AW31" s="57">
        <f>COUNTIFS(Table2[LOWSEED], AR31, Table2[ROUNDNUM], 1, Table2[GameOver], 1) + COUNTIFS(Table2[TOPSEED], AR31, Table2[ROUNDNUM], 1, Table2[GameOver], 1)</f>
        <v>4</v>
      </c>
      <c r="AX31" s="57">
        <f>COUNTIFS(Table2[LOWSEED], AR31, Table2[ROUNDNUM], 2, Table2[GameOver], 1) + COUNTIFS(Table2[TOPSEED], AR31, Table2[ROUNDNUM], 2, Table2[GameOver], 1)</f>
        <v>0</v>
      </c>
      <c r="AY31" s="57">
        <f>COUNTIFS(Table2[LOWSEED], AR31, Table2[ROUNDNUM], 3, Table2[GameOver], 1) + COUNTIFS(Table2[TOPSEED], AR31, Table2[ROUNDNUM], 3, Table2[GameOver], 1)</f>
        <v>0</v>
      </c>
      <c r="AZ31" s="57">
        <f>COUNTIFS(Table2[LOWSEED], AR31, Table2[ROUNDNUM], 4, Table2[GameOver], 1) + COUNTIFS(Table2[TOPSEED], AR31, Table2[ROUNDNUM], 4, Table2[GameOver], 1)</f>
        <v>0</v>
      </c>
      <c r="BA31" s="57">
        <f t="shared" si="49"/>
        <v>4</v>
      </c>
      <c r="BB31" s="57">
        <f t="shared" si="8"/>
        <v>1</v>
      </c>
      <c r="BC31" s="57">
        <f t="shared" si="9"/>
        <v>2</v>
      </c>
      <c r="BD31" s="57">
        <f t="shared" si="10"/>
        <v>2</v>
      </c>
      <c r="BE31" s="57">
        <f t="shared" si="11"/>
        <v>2</v>
      </c>
      <c r="BF31" s="57">
        <f t="shared" si="12"/>
        <v>0</v>
      </c>
      <c r="BG31" s="57">
        <f t="shared" si="13"/>
        <v>1</v>
      </c>
      <c r="BH31" s="57">
        <f t="shared" si="14"/>
        <v>2</v>
      </c>
      <c r="BI31" s="57">
        <f t="shared" si="15"/>
        <v>0</v>
      </c>
      <c r="BJ31" s="57">
        <f t="shared" si="16"/>
        <v>1</v>
      </c>
      <c r="BK31" s="57">
        <f t="shared" si="17"/>
        <v>2</v>
      </c>
      <c r="BL31" s="57">
        <f t="shared" si="18"/>
        <v>0</v>
      </c>
      <c r="BM31" s="57">
        <f t="shared" si="19"/>
        <v>3</v>
      </c>
      <c r="BN31" s="57">
        <f t="shared" si="20"/>
        <v>1</v>
      </c>
      <c r="BO31" s="57">
        <f t="shared" si="21"/>
        <v>0</v>
      </c>
      <c r="BP31" s="57">
        <f t="shared" si="50"/>
        <v>-1</v>
      </c>
      <c r="BQ31" s="57">
        <f t="shared" si="50"/>
        <v>3</v>
      </c>
      <c r="BR31" s="57">
        <f t="shared" si="51"/>
        <v>3</v>
      </c>
      <c r="BS31" s="57">
        <f t="shared" si="52"/>
        <v>1</v>
      </c>
      <c r="BT31" s="57">
        <f t="shared" si="53"/>
        <v>2</v>
      </c>
      <c r="BU31" s="57">
        <f t="shared" si="54"/>
        <v>0</v>
      </c>
      <c r="BV31" s="57">
        <f t="shared" si="54"/>
        <v>1.5</v>
      </c>
      <c r="BW31" s="57">
        <f t="shared" si="55"/>
        <v>1</v>
      </c>
      <c r="BX31" s="57">
        <f t="shared" si="55"/>
        <v>0</v>
      </c>
      <c r="BY31" s="57">
        <f t="shared" si="22"/>
        <v>0.75</v>
      </c>
      <c r="BZ31" s="57">
        <f t="shared" si="23"/>
        <v>0.25</v>
      </c>
      <c r="CA31" s="65"/>
      <c r="CB31" s="149">
        <v>9</v>
      </c>
      <c r="CC31" s="52" t="str">
        <f t="shared" si="24"/>
        <v>LAK</v>
      </c>
      <c r="CD31" s="56">
        <f>SUMIFS(Table2[Periods], Table2[TOPSEED], Table1[[#This Row],[Team]])+SUMIFS(Table2[Periods], Table2[LOWSEED], Table1[[#This Row],[Team]])</f>
        <v>12.386666666666667</v>
      </c>
      <c r="CE31" s="55">
        <f>SUMIFS(Table2[TimeInSeconds], Table2[TOPSEED], Table1[[#This Row],[Team]])+SUMIFS(Table2[TimeInSeconds], Table2[LOWSEED], Table1[[#This Row],[Team]])</f>
        <v>14864</v>
      </c>
      <c r="CF31" s="57">
        <f>Table1[[#This Row],[SecondsPlayed]]/3600</f>
        <v>4.1288888888888886</v>
      </c>
      <c r="CG31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7</v>
      </c>
      <c r="CH31" s="56">
        <f>Table1[[#This Row],[PeriodsPlayed]]/Table1[[#This Row],[DaysPast]]</f>
        <v>1.7695238095238095</v>
      </c>
      <c r="CI31" s="56">
        <f>Table1[[#This Row],[PeriodsPlayed]]/Table1[[#This Row],[GP TOT]]</f>
        <v>3.0966666666666667</v>
      </c>
      <c r="CJ31" s="57">
        <v>2014</v>
      </c>
      <c r="CK31" s="55">
        <f t="shared" si="25"/>
        <v>4</v>
      </c>
      <c r="CL31" s="55">
        <f t="shared" si="26"/>
        <v>1</v>
      </c>
      <c r="CM31" s="55">
        <f t="shared" si="27"/>
        <v>2</v>
      </c>
      <c r="CN31" s="55">
        <f t="shared" si="28"/>
        <v>2</v>
      </c>
      <c r="CO31" s="55">
        <f t="shared" si="29"/>
        <v>2</v>
      </c>
      <c r="CP31" s="55">
        <f t="shared" si="30"/>
        <v>0</v>
      </c>
      <c r="CQ31" s="55">
        <f t="shared" si="31"/>
        <v>1</v>
      </c>
      <c r="CR31" s="55">
        <f t="shared" si="32"/>
        <v>2</v>
      </c>
      <c r="CS31" s="55">
        <f t="shared" si="33"/>
        <v>0</v>
      </c>
      <c r="CT31" s="55">
        <f t="shared" si="34"/>
        <v>0</v>
      </c>
      <c r="CU31" s="55">
        <f t="shared" si="35"/>
        <v>3</v>
      </c>
      <c r="CV31" s="55">
        <f t="shared" si="36"/>
        <v>1</v>
      </c>
      <c r="CW31" s="55">
        <f t="shared" si="37"/>
        <v>0</v>
      </c>
      <c r="CX31" s="55">
        <f t="shared" si="38"/>
        <v>-1</v>
      </c>
      <c r="CY31" s="55">
        <f t="shared" si="39"/>
        <v>3</v>
      </c>
      <c r="CZ31" s="55">
        <f t="shared" si="40"/>
        <v>3</v>
      </c>
      <c r="DA31" s="55">
        <f t="shared" si="41"/>
        <v>1</v>
      </c>
      <c r="DB31" s="55">
        <f t="shared" si="42"/>
        <v>2</v>
      </c>
      <c r="DC31" s="56">
        <f t="shared" si="43"/>
        <v>0</v>
      </c>
      <c r="DD31" s="56">
        <f t="shared" si="44"/>
        <v>1.5</v>
      </c>
      <c r="DE31" s="56">
        <f t="shared" si="45"/>
        <v>1</v>
      </c>
      <c r="DF31" s="56">
        <f t="shared" si="46"/>
        <v>0</v>
      </c>
      <c r="DG31" s="56">
        <f t="shared" si="47"/>
        <v>0.75</v>
      </c>
      <c r="DH31" s="56">
        <f t="shared" si="48"/>
        <v>0.25</v>
      </c>
    </row>
    <row r="32" spans="1:112" x14ac:dyDescent="0.25">
      <c r="A32" s="55" t="str">
        <f>IF(ISBLANK(Table2[[#This Row],[GAMENUM]]), "", _xlfn.TEXTJOIN("", 1, "2025030", Table2[[#This Row],[ROUNDNUM]], Table2[[#This Row],[SeriesID]], Table2[[#This Row],[GAMENUM]]))</f>
        <v>2025030184</v>
      </c>
      <c r="B32" s="63">
        <f>IF(ISBLANK(Table2[[#This Row],[GAMENUM]]), "", INDEX(Table3[SeriesID], MATCH(Table2[[#This Row],[SERIESCODE]],Table3[SeriesCode],0)))</f>
        <v>8</v>
      </c>
      <c r="C32" s="57" t="str">
        <f t="shared" si="0"/>
        <v>Sunday</v>
      </c>
      <c r="D32" s="59">
        <v>46138</v>
      </c>
      <c r="E32" s="60">
        <v>0.9375</v>
      </c>
      <c r="F32" s="59" t="s">
        <v>38</v>
      </c>
      <c r="G32" s="62">
        <v>1</v>
      </c>
      <c r="H32" s="63" t="s">
        <v>44</v>
      </c>
      <c r="I32" s="62">
        <v>4</v>
      </c>
      <c r="J32" s="85" t="str">
        <f>INDEX(Table3[TopSeed],MATCH(Table2[[#This Row],[SERIESCODE]], Table3[SeriesCode], 0))</f>
        <v>EDM</v>
      </c>
      <c r="K32" s="86" t="str">
        <f>INDEX(Table3[LowSeed],MATCH(Table2[[#This Row],[SERIESCODE]], Table3[SeriesCode], 0))</f>
        <v>ANA</v>
      </c>
      <c r="L32" s="62">
        <v>1</v>
      </c>
      <c r="M32" s="62">
        <v>3</v>
      </c>
      <c r="N32" s="67" t="str">
        <f>IF(Table2[[#This Row],[GAMENUM]] = 6, Table2[[#This Row],[TOPSEED]], IF(Table2[[#This Row],[GAMENUM]] = 4, Table2[[#This Row],[TOPSEED]], IF(Table2[[#This Row],[GAMENUM]] = 3, Table2[[#This Row],[TOPSEED]], Table2[LOWSEED])))</f>
        <v>EDM</v>
      </c>
      <c r="O32" s="87" t="str">
        <f>IF(Table2[[#This Row],[GAMENUM]] = 6, Table2[[#This Row],[LOWSEED]], IF(Table2[[#This Row],[GAMENUM]] = 4, Table2[[#This Row],[LOWSEED]], IF(Table2[[#This Row],[GAMENUM]] = 3, Table2[[#This Row],[LOWSEED]], Table2[TOPSEED])))</f>
        <v>ANA</v>
      </c>
      <c r="P32" s="67" t="str">
        <f t="shared" si="1"/>
        <v>EDM</v>
      </c>
      <c r="Q32" s="62">
        <v>4</v>
      </c>
      <c r="R32" s="62">
        <v>3</v>
      </c>
      <c r="S32" s="63" t="s">
        <v>155</v>
      </c>
      <c r="T32" s="59">
        <v>46138</v>
      </c>
      <c r="U32" s="62">
        <v>3</v>
      </c>
      <c r="V32" s="62">
        <v>4</v>
      </c>
      <c r="W32" s="62">
        <v>1</v>
      </c>
      <c r="X32" s="62">
        <v>3749</v>
      </c>
      <c r="Y32" s="63">
        <f>Table2[[#This Row],[TimeInSeconds]]/1200</f>
        <v>3.1241666666666665</v>
      </c>
      <c r="Z32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32" s="87" t="str">
        <f t="shared" si="2"/>
        <v>ANA</v>
      </c>
      <c r="AB32" s="63">
        <f>IF(ISBLANK(Table2[[#This Row],[OTROUNDNUM]]), "", Table2[[#This Row],[PAWAYSCORE]]-Table2[[#This Row],[AAWAYSCORE]])</f>
        <v>1</v>
      </c>
      <c r="AC32" s="63">
        <f>IF(ISBLANK(Table2[[#This Row],[OTROUNDNUM]]), "", Table2[[#This Row],[PHOMESCORE]]-Table2[[#This Row],[AHOMESCORE]])</f>
        <v>-1</v>
      </c>
      <c r="AD32" s="63">
        <f>_xlfn.IFS(ISBLANK(Table2[[#This Row],[GAMENUM]]), " ", 1, IF((Table2[[#This Row],[TOPSEEDWINS]]+Table2[[#This Row],[LOWSEEDWINS]]) &lt;&gt; Table2[[#This Row],[GAMENUM]], 0, 1))</f>
        <v>1</v>
      </c>
      <c r="AE32" s="63">
        <f>_xlfn.IFS(ISBLANK(Table2[[#This Row],[GAMENUM]]),"", Table2[[#This Row],[GameOver]]=0,"",Table2[[#This Row],[AAWAYSCORE]]&gt;Table2[[#This Row],[AHOMESCORE]], 1,1,0)</f>
        <v>0</v>
      </c>
      <c r="AF32" s="63">
        <f>_xlfn.IFS(ISBLANK(Table2[[#This Row],[GAMENUM]]),"",Table2[[#This Row],[GameOver]]=0,"",Table2[[#This Row],[AAWAYSCORE]]&lt;Table2[[#This Row],[AHOMESCORE]], 1,1,0)</f>
        <v>1</v>
      </c>
      <c r="AG32" s="63">
        <f>_xlfn.IFS(ISBLANK(Table2[[#This Row],[GAMENUM]]),"",Table2[[#This Row],[GameOver]]=0,"",Table2[[#This Row],[OTROUNDNUM]]&gt;0,1,1,0)</f>
        <v>1</v>
      </c>
      <c r="AH32" s="63">
        <f>_xlfn.IFS(ISBLANK(Table2[[#This Row],[GAMENUM]]),"",Table2[[#This Row],[GameOver]]=0,"",Table2[[#This Row],[AAWAYSCORE]]=0,1,1,0)</f>
        <v>0</v>
      </c>
      <c r="AI32" s="63">
        <f>_xlfn.IFS(ISBLANK(Table2[[#This Row],[GAMENUM]]),"", Table2[[#This Row],[GameOver]]=0,"",Table2[[#This Row],[AHOMESCORE]]=0,1,1,0)</f>
        <v>0</v>
      </c>
      <c r="AJ32" s="57" t="s">
        <v>178</v>
      </c>
      <c r="AK32" s="65"/>
      <c r="AL32" s="11"/>
      <c r="AM32" s="11"/>
      <c r="AN32" s="16"/>
      <c r="AO32" s="11"/>
      <c r="AP32" s="11"/>
      <c r="AQ32" s="42"/>
      <c r="AR32" s="48" t="s">
        <v>46</v>
      </c>
      <c r="AS32" s="137">
        <f>SUMIFS(Table2[Periods], Table2[TOPSEED], Table4[[#This Row],[Team]], Table2[ROUNDNUM], 1)+SUMIFS(Table2[Periods], Table2[LOWSEED], Table4[[#This Row],[Team]], Table2[ROUNDNUM],1)</f>
        <v>21.584166666666668</v>
      </c>
      <c r="AT32" s="57">
        <f>SUMIFS(Table2[TimeInSeconds], Table2[TOPSEED], Table4[[#This Row],[Team]], Table2[ROUNDNUM], 1)+SUMIFS(Table2[TimeInSeconds], Table2[LOWSEED], Table4[[#This Row],[Team]], Table2[ROUNDNUM],1)</f>
        <v>25901</v>
      </c>
      <c r="AU32" s="137">
        <f>Table4[[#This Row],[SecondsPlayed]]/3600</f>
        <v>7.1947222222222225</v>
      </c>
      <c r="AV32" s="57">
        <v>1999</v>
      </c>
      <c r="AW32" s="57">
        <f>COUNTIFS(Table2[LOWSEED], AR32, Table2[ROUNDNUM], 1, Table2[GameOver], 1) + COUNTIFS(Table2[TOPSEED], AR32, Table2[ROUNDNUM], 1, Table2[GameOver], 1)</f>
        <v>6</v>
      </c>
      <c r="AX32" s="57">
        <f>COUNTIFS(Table2[LOWSEED], AR32, Table2[ROUNDNUM], 2, Table2[GameOver], 1) + COUNTIFS(Table2[TOPSEED], AR32, Table2[ROUNDNUM], 2, Table2[GameOver], 1)</f>
        <v>0</v>
      </c>
      <c r="AY32" s="57">
        <f>COUNTIFS(Table2[LOWSEED], AR32, Table2[ROUNDNUM], 3, Table2[GameOver], 1) + COUNTIFS(Table2[TOPSEED], AR32, Table2[ROUNDNUM], 3, Table2[GameOver], 1)</f>
        <v>0</v>
      </c>
      <c r="AZ32" s="57">
        <f>COUNTIFS(Table2[LOWSEED], AR32, Table2[ROUNDNUM], 4, Table2[GameOver], 1) + COUNTIFS(Table2[TOPSEED], AR32, Table2[ROUNDNUM], 4, Table2[GameOver], 1)</f>
        <v>0</v>
      </c>
      <c r="BA32" s="57">
        <f t="shared" si="49"/>
        <v>6</v>
      </c>
      <c r="BB32" s="57">
        <f t="shared" si="8"/>
        <v>2</v>
      </c>
      <c r="BC32" s="57">
        <f t="shared" si="9"/>
        <v>3</v>
      </c>
      <c r="BD32" s="57">
        <f t="shared" si="10"/>
        <v>3</v>
      </c>
      <c r="BE32" s="57">
        <f t="shared" si="11"/>
        <v>3</v>
      </c>
      <c r="BF32" s="57">
        <f t="shared" si="12"/>
        <v>0</v>
      </c>
      <c r="BG32" s="57">
        <f t="shared" si="13"/>
        <v>2</v>
      </c>
      <c r="BH32" s="57">
        <f t="shared" si="14"/>
        <v>3</v>
      </c>
      <c r="BI32" s="57">
        <f t="shared" si="15"/>
        <v>0</v>
      </c>
      <c r="BJ32" s="57">
        <f t="shared" si="16"/>
        <v>2</v>
      </c>
      <c r="BK32" s="57">
        <f t="shared" si="17"/>
        <v>3</v>
      </c>
      <c r="BL32" s="57">
        <f t="shared" si="18"/>
        <v>2</v>
      </c>
      <c r="BM32" s="57">
        <f t="shared" si="19"/>
        <v>7</v>
      </c>
      <c r="BN32" s="57">
        <f t="shared" si="20"/>
        <v>4</v>
      </c>
      <c r="BO32" s="57">
        <f t="shared" si="21"/>
        <v>0</v>
      </c>
      <c r="BP32" s="57">
        <f t="shared" si="50"/>
        <v>-2</v>
      </c>
      <c r="BQ32" s="57">
        <f t="shared" si="50"/>
        <v>7</v>
      </c>
      <c r="BR32" s="57">
        <f t="shared" si="51"/>
        <v>9</v>
      </c>
      <c r="BS32" s="57">
        <f t="shared" si="52"/>
        <v>4</v>
      </c>
      <c r="BT32" s="57">
        <f t="shared" si="53"/>
        <v>5</v>
      </c>
      <c r="BU32" s="57">
        <f t="shared" si="54"/>
        <v>1</v>
      </c>
      <c r="BV32" s="57">
        <f t="shared" si="54"/>
        <v>2.3333333333333335</v>
      </c>
      <c r="BW32" s="57">
        <f t="shared" si="55"/>
        <v>2</v>
      </c>
      <c r="BX32" s="57">
        <f t="shared" si="55"/>
        <v>0</v>
      </c>
      <c r="BY32" s="57">
        <f t="shared" si="22"/>
        <v>1.5</v>
      </c>
      <c r="BZ32" s="57">
        <f t="shared" si="23"/>
        <v>0.66666666666666663</v>
      </c>
      <c r="CA32" s="65"/>
      <c r="CB32" s="150">
        <v>10</v>
      </c>
      <c r="CC32" s="48" t="str">
        <f t="shared" si="24"/>
        <v>DAL</v>
      </c>
      <c r="CD32" s="56">
        <f>SUMIFS(Table2[Periods], Table2[TOPSEED], Table1[[#This Row],[Team]])+SUMIFS(Table2[Periods], Table2[LOWSEED], Table1[[#This Row],[Team]])</f>
        <v>21.584166666666668</v>
      </c>
      <c r="CE32" s="55">
        <f>SUMIFS(Table2[TimeInSeconds], Table2[TOPSEED], Table1[[#This Row],[Team]])+SUMIFS(Table2[TimeInSeconds], Table2[LOWSEED], Table1[[#This Row],[Team]])</f>
        <v>25901</v>
      </c>
      <c r="CF32" s="57">
        <f>Table1[[#This Row],[SecondsPlayed]]/3600</f>
        <v>7.1947222222222225</v>
      </c>
      <c r="CG32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12</v>
      </c>
      <c r="CH32" s="56">
        <f>Table1[[#This Row],[PeriodsPlayed]]/Table1[[#This Row],[DaysPast]]</f>
        <v>1.7986805555555556</v>
      </c>
      <c r="CI32" s="56">
        <f>Table1[[#This Row],[PeriodsPlayed]]/Table1[[#This Row],[GP TOT]]</f>
        <v>3.5973611111111112</v>
      </c>
      <c r="CJ32" s="57">
        <v>1999</v>
      </c>
      <c r="CK32" s="55">
        <f t="shared" si="25"/>
        <v>6</v>
      </c>
      <c r="CL32" s="55">
        <f t="shared" si="26"/>
        <v>2</v>
      </c>
      <c r="CM32" s="55">
        <f t="shared" si="27"/>
        <v>3</v>
      </c>
      <c r="CN32" s="55">
        <f t="shared" si="28"/>
        <v>3</v>
      </c>
      <c r="CO32" s="55">
        <f t="shared" si="29"/>
        <v>3</v>
      </c>
      <c r="CP32" s="55">
        <f t="shared" si="30"/>
        <v>0</v>
      </c>
      <c r="CQ32" s="55">
        <f t="shared" si="31"/>
        <v>2</v>
      </c>
      <c r="CR32" s="55">
        <f t="shared" si="32"/>
        <v>3</v>
      </c>
      <c r="CS32" s="55">
        <f t="shared" si="33"/>
        <v>0</v>
      </c>
      <c r="CT32" s="55">
        <f t="shared" si="34"/>
        <v>2</v>
      </c>
      <c r="CU32" s="55">
        <f t="shared" si="35"/>
        <v>7</v>
      </c>
      <c r="CV32" s="55">
        <f t="shared" si="36"/>
        <v>4</v>
      </c>
      <c r="CW32" s="55">
        <f t="shared" si="37"/>
        <v>0</v>
      </c>
      <c r="CX32" s="55">
        <f t="shared" si="38"/>
        <v>-2</v>
      </c>
      <c r="CY32" s="55">
        <f t="shared" si="39"/>
        <v>7</v>
      </c>
      <c r="CZ32" s="55">
        <f t="shared" si="40"/>
        <v>9</v>
      </c>
      <c r="DA32" s="55">
        <f t="shared" si="41"/>
        <v>4</v>
      </c>
      <c r="DB32" s="55">
        <f t="shared" si="42"/>
        <v>5</v>
      </c>
      <c r="DC32" s="56">
        <f t="shared" si="43"/>
        <v>1</v>
      </c>
      <c r="DD32" s="56">
        <f t="shared" si="44"/>
        <v>2.3333333333333335</v>
      </c>
      <c r="DE32" s="56">
        <f t="shared" si="45"/>
        <v>2</v>
      </c>
      <c r="DF32" s="56">
        <f t="shared" si="46"/>
        <v>0</v>
      </c>
      <c r="DG32" s="56">
        <f t="shared" si="47"/>
        <v>1.5</v>
      </c>
      <c r="DH32" s="56">
        <f t="shared" si="48"/>
        <v>0.66666666666666663</v>
      </c>
    </row>
    <row r="33" spans="1:112" x14ac:dyDescent="0.25">
      <c r="A33" s="55" t="str">
        <f>IF(ISBLANK(Table2[[#This Row],[GAMENUM]]), "", _xlfn.TEXTJOIN("", 1, "2025030", Table2[[#This Row],[ROUNDNUM]], Table2[[#This Row],[SeriesID]], Table2[[#This Row],[GAMENUM]]))</f>
        <v>2025030145</v>
      </c>
      <c r="B33" s="63">
        <f>IF(ISBLANK(Table2[[#This Row],[GAMENUM]]), "", INDEX(Table3[SeriesID], MATCH(Table2[[#This Row],[SERIESCODE]],Table3[SeriesCode],0)))</f>
        <v>4</v>
      </c>
      <c r="C33" s="57" t="str">
        <f t="shared" si="0"/>
        <v>Monday</v>
      </c>
      <c r="D33" s="59">
        <v>46139</v>
      </c>
      <c r="E33" s="60">
        <v>0.83333333333333337</v>
      </c>
      <c r="F33" s="59" t="s">
        <v>16</v>
      </c>
      <c r="G33" s="62">
        <v>1</v>
      </c>
      <c r="H33" s="63" t="s">
        <v>17</v>
      </c>
      <c r="I33" s="62">
        <v>5</v>
      </c>
      <c r="J33" s="93" t="str">
        <f>INDEX(Table3[TopSeed],MATCH(Table2[[#This Row],[SERIESCODE]], Table3[SeriesCode], 0))</f>
        <v>PIT</v>
      </c>
      <c r="K33" s="92" t="str">
        <f>INDEX(Table3[LowSeed],MATCH(Table2[[#This Row],[SERIESCODE]], Table3[SeriesCode], 0))</f>
        <v>PHI</v>
      </c>
      <c r="L33" s="62">
        <v>2</v>
      </c>
      <c r="M33" s="62">
        <v>3</v>
      </c>
      <c r="N33" s="32" t="str">
        <f>IF(Table2[[#This Row],[GAMENUM]] = 6, Table2[[#This Row],[TOPSEED]], IF(Table2[[#This Row],[GAMENUM]] = 4, Table2[[#This Row],[TOPSEED]], IF(Table2[[#This Row],[GAMENUM]] = 3, Table2[[#This Row],[TOPSEED]], Table2[LOWSEED])))</f>
        <v>PHI</v>
      </c>
      <c r="O33" s="31" t="str">
        <f>IF(Table2[[#This Row],[GAMENUM]] = 6, Table2[[#This Row],[LOWSEED]], IF(Table2[[#This Row],[GAMENUM]] = 4, Table2[[#This Row],[LOWSEED]], IF(Table2[[#This Row],[GAMENUM]] = 3, Table2[[#This Row],[LOWSEED]], Table2[TOPSEED])))</f>
        <v>PIT</v>
      </c>
      <c r="P33" s="31" t="str">
        <f t="shared" si="1"/>
        <v>PIT</v>
      </c>
      <c r="Q33" s="62">
        <v>2</v>
      </c>
      <c r="R33" s="62">
        <v>3</v>
      </c>
      <c r="S33" s="63" t="s">
        <v>154</v>
      </c>
      <c r="T33" s="59">
        <v>46139</v>
      </c>
      <c r="U33" s="62">
        <v>2</v>
      </c>
      <c r="V33" s="62">
        <v>3</v>
      </c>
      <c r="W33" s="62">
        <v>0</v>
      </c>
      <c r="X33" s="62">
        <v>3600</v>
      </c>
      <c r="Y33" s="63">
        <f>Table2[[#This Row],[TimeInSeconds]]/1200</f>
        <v>3</v>
      </c>
      <c r="Z33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33" s="31" t="str">
        <f t="shared" si="2"/>
        <v>PIT</v>
      </c>
      <c r="AB33" s="63">
        <f>IF(ISBLANK(Table2[[#This Row],[OTROUNDNUM]]), "", Table2[[#This Row],[PAWAYSCORE]]-Table2[[#This Row],[AAWAYSCORE]])</f>
        <v>0</v>
      </c>
      <c r="AC33" s="63">
        <f>IF(ISBLANK(Table2[[#This Row],[OTROUNDNUM]]), "", Table2[[#This Row],[PHOMESCORE]]-Table2[[#This Row],[AHOMESCORE]])</f>
        <v>0</v>
      </c>
      <c r="AD33" s="63">
        <f>_xlfn.IFS(ISBLANK(Table2[[#This Row],[GAMENUM]]), " ", 1, IF((Table2[[#This Row],[TOPSEEDWINS]]+Table2[[#This Row],[LOWSEEDWINS]]) &lt;&gt; Table2[[#This Row],[GAMENUM]], 0, 1))</f>
        <v>1</v>
      </c>
      <c r="AE33" s="63">
        <f>_xlfn.IFS(ISBLANK(Table2[[#This Row],[GAMENUM]]),"", Table2[[#This Row],[GameOver]]=0,"",Table2[[#This Row],[AAWAYSCORE]]&gt;Table2[[#This Row],[AHOMESCORE]], 1,1,0)</f>
        <v>0</v>
      </c>
      <c r="AF33" s="63">
        <f>_xlfn.IFS(ISBLANK(Table2[[#This Row],[GAMENUM]]),"",Table2[[#This Row],[GameOver]]=0,"",Table2[[#This Row],[AAWAYSCORE]]&lt;Table2[[#This Row],[AHOMESCORE]], 1,1,0)</f>
        <v>1</v>
      </c>
      <c r="AG33" s="63">
        <f>_xlfn.IFS(ISBLANK(Table2[[#This Row],[GAMENUM]]),"",Table2[[#This Row],[GameOver]]=0,"",Table2[[#This Row],[OTROUNDNUM]]&gt;0,1,1,0)</f>
        <v>0</v>
      </c>
      <c r="AH33" s="63">
        <f>_xlfn.IFS(ISBLANK(Table2[[#This Row],[GAMENUM]]),"",Table2[[#This Row],[GameOver]]=0,"",Table2[[#This Row],[AAWAYSCORE]]=0,1,1,0)</f>
        <v>0</v>
      </c>
      <c r="AI33" s="63">
        <f>_xlfn.IFS(ISBLANK(Table2[[#This Row],[GAMENUM]]),"", Table2[[#This Row],[GameOver]]=0,"",Table2[[#This Row],[AHOMESCORE]]=0,1,1,0)</f>
        <v>0</v>
      </c>
      <c r="AJ33" s="57"/>
      <c r="AK33" s="65"/>
      <c r="AL33" s="11"/>
      <c r="AM33" s="11"/>
      <c r="AN33" s="16"/>
      <c r="AO33" s="11"/>
      <c r="AP33" s="11"/>
      <c r="AQ33" s="42"/>
      <c r="AR33" s="51" t="s">
        <v>157</v>
      </c>
      <c r="AS33" s="137">
        <f>SUMIFS(Table2[Periods], Table2[TOPSEED], Table4[[#This Row],[Team]], Table2[ROUNDNUM], 1)+SUMIFS(Table2[Periods], Table2[LOWSEED], Table4[[#This Row],[Team]], Table2[ROUNDNUM],1)</f>
        <v>21.584166666666668</v>
      </c>
      <c r="AT33" s="57">
        <f>SUMIFS(Table2[TimeInSeconds], Table2[TOPSEED], Table4[[#This Row],[Team]], Table2[ROUNDNUM], 1)+SUMIFS(Table2[TimeInSeconds], Table2[LOWSEED], Table4[[#This Row],[Team]], Table2[ROUNDNUM],1)</f>
        <v>25901</v>
      </c>
      <c r="AU33" s="137">
        <f>Table4[[#This Row],[SecondsPlayed]]/3600</f>
        <v>7.1947222222222225</v>
      </c>
      <c r="AV33" s="57"/>
      <c r="AW33" s="57">
        <f>COUNTIFS(Table2[LOWSEED], AR33, Table2[ROUNDNUM], 1, Table2[GameOver], 1) + COUNTIFS(Table2[TOPSEED], AR33, Table2[ROUNDNUM], 1, Table2[GameOver], 1)</f>
        <v>6</v>
      </c>
      <c r="AX33" s="57">
        <f>COUNTIFS(Table2[LOWSEED], AR33, Table2[ROUNDNUM], 2, Table2[GameOver], 1) + COUNTIFS(Table2[TOPSEED], AR33, Table2[ROUNDNUM], 2, Table2[GameOver], 1)</f>
        <v>5</v>
      </c>
      <c r="AY33" s="57">
        <f>COUNTIFS(Table2[LOWSEED], AR33, Table2[ROUNDNUM], 3, Table2[GameOver], 1) + COUNTIFS(Table2[TOPSEED], AR33, Table2[ROUNDNUM], 3, Table2[GameOver], 1)</f>
        <v>0</v>
      </c>
      <c r="AZ33" s="57">
        <f>COUNTIFS(Table2[LOWSEED], AR33, Table2[ROUNDNUM], 4, Table2[GameOver], 1) + COUNTIFS(Table2[TOPSEED], AR33, Table2[ROUNDNUM], 4, Table2[GameOver], 1)</f>
        <v>0</v>
      </c>
      <c r="BA33" s="57">
        <f t="shared" si="49"/>
        <v>11</v>
      </c>
      <c r="BB33" s="57">
        <f t="shared" si="8"/>
        <v>5</v>
      </c>
      <c r="BC33" s="57">
        <f t="shared" si="9"/>
        <v>5</v>
      </c>
      <c r="BD33" s="57">
        <f t="shared" si="10"/>
        <v>5</v>
      </c>
      <c r="BE33" s="57">
        <f t="shared" si="11"/>
        <v>6</v>
      </c>
      <c r="BF33" s="57">
        <f t="shared" si="12"/>
        <v>0</v>
      </c>
      <c r="BG33" s="57">
        <f t="shared" si="13"/>
        <v>5</v>
      </c>
      <c r="BH33" s="57">
        <f t="shared" si="14"/>
        <v>5</v>
      </c>
      <c r="BI33" s="57">
        <f t="shared" si="15"/>
        <v>0</v>
      </c>
      <c r="BJ33" s="57">
        <f t="shared" si="16"/>
        <v>4</v>
      </c>
      <c r="BK33" s="57">
        <f t="shared" si="17"/>
        <v>3</v>
      </c>
      <c r="BL33" s="57">
        <f t="shared" si="18"/>
        <v>1</v>
      </c>
      <c r="BM33" s="57">
        <f t="shared" si="19"/>
        <v>11</v>
      </c>
      <c r="BN33" s="57">
        <f t="shared" si="20"/>
        <v>14</v>
      </c>
      <c r="BO33" s="57">
        <f t="shared" si="21"/>
        <v>3</v>
      </c>
      <c r="BP33" s="57">
        <f t="shared" si="50"/>
        <v>-13</v>
      </c>
      <c r="BQ33" s="57">
        <f t="shared" si="50"/>
        <v>8</v>
      </c>
      <c r="BR33" s="57">
        <f t="shared" si="51"/>
        <v>12</v>
      </c>
      <c r="BS33" s="57">
        <f t="shared" si="52"/>
        <v>17</v>
      </c>
      <c r="BT33" s="57">
        <f t="shared" si="53"/>
        <v>-5</v>
      </c>
      <c r="BU33" s="57">
        <f t="shared" si="54"/>
        <v>0.25</v>
      </c>
      <c r="BV33" s="57">
        <f t="shared" si="54"/>
        <v>3.6666666666666665</v>
      </c>
      <c r="BW33" s="57">
        <f t="shared" si="55"/>
        <v>3.5</v>
      </c>
      <c r="BX33" s="57">
        <f t="shared" si="55"/>
        <v>1</v>
      </c>
      <c r="BY33" s="57">
        <f t="shared" si="22"/>
        <v>2</v>
      </c>
      <c r="BZ33" s="57">
        <f t="shared" si="23"/>
        <v>2.8333333333333335</v>
      </c>
      <c r="CA33" s="65"/>
      <c r="CB33" s="151">
        <v>11</v>
      </c>
      <c r="CC33" s="51" t="str">
        <f t="shared" si="24"/>
        <v>MIN</v>
      </c>
      <c r="CD33" s="56">
        <f>SUMIFS(Table2[Periods], Table2[TOPSEED], Table1[[#This Row],[Team]])+SUMIFS(Table2[Periods], Table2[LOWSEED], Table1[[#This Row],[Team]])</f>
        <v>36.777500000000003</v>
      </c>
      <c r="CE33" s="55">
        <f>SUMIFS(Table2[TimeInSeconds], Table2[TOPSEED], Table1[[#This Row],[Team]])+SUMIFS(Table2[TimeInSeconds], Table2[LOWSEED], Table1[[#This Row],[Team]])</f>
        <v>44133</v>
      </c>
      <c r="CF33" s="57">
        <f>Table1[[#This Row],[SecondsPlayed]]/3600</f>
        <v>12.259166666666667</v>
      </c>
      <c r="CG33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25</v>
      </c>
      <c r="CH33" s="56">
        <f>Table1[[#This Row],[PeriodsPlayed]]/Table1[[#This Row],[DaysPast]]</f>
        <v>1.4711000000000001</v>
      </c>
      <c r="CI33" s="56">
        <f>Table1[[#This Row],[PeriodsPlayed]]/Table1[[#This Row],[GP TOT]]</f>
        <v>3.3434090909090912</v>
      </c>
      <c r="CJ33" s="57"/>
      <c r="CK33" s="55">
        <f t="shared" si="25"/>
        <v>11</v>
      </c>
      <c r="CL33" s="55">
        <f t="shared" si="26"/>
        <v>5</v>
      </c>
      <c r="CM33" s="55">
        <f t="shared" si="27"/>
        <v>5</v>
      </c>
      <c r="CN33" s="55">
        <f t="shared" si="28"/>
        <v>5</v>
      </c>
      <c r="CO33" s="55">
        <f t="shared" si="29"/>
        <v>6</v>
      </c>
      <c r="CP33" s="55">
        <f t="shared" si="30"/>
        <v>0</v>
      </c>
      <c r="CQ33" s="55">
        <f t="shared" si="31"/>
        <v>5</v>
      </c>
      <c r="CR33" s="55">
        <f t="shared" si="32"/>
        <v>5</v>
      </c>
      <c r="CS33" s="55">
        <f t="shared" si="33"/>
        <v>0</v>
      </c>
      <c r="CT33" s="55">
        <f t="shared" si="34"/>
        <v>1</v>
      </c>
      <c r="CU33" s="55">
        <f t="shared" si="35"/>
        <v>18</v>
      </c>
      <c r="CV33" s="55">
        <f t="shared" si="36"/>
        <v>19</v>
      </c>
      <c r="CW33" s="55">
        <f t="shared" si="37"/>
        <v>3</v>
      </c>
      <c r="CX33" s="55">
        <f t="shared" si="38"/>
        <v>-18</v>
      </c>
      <c r="CY33" s="55">
        <f t="shared" si="39"/>
        <v>15</v>
      </c>
      <c r="CZ33" s="55">
        <f t="shared" si="40"/>
        <v>19</v>
      </c>
      <c r="DA33" s="55">
        <f t="shared" si="41"/>
        <v>22</v>
      </c>
      <c r="DB33" s="55">
        <f t="shared" si="42"/>
        <v>-3</v>
      </c>
      <c r="DC33" s="56">
        <f t="shared" si="43"/>
        <v>0.2</v>
      </c>
      <c r="DD33" s="56">
        <f t="shared" si="44"/>
        <v>3.6</v>
      </c>
      <c r="DE33" s="56">
        <f t="shared" si="45"/>
        <v>3.8</v>
      </c>
      <c r="DF33" s="56">
        <f t="shared" si="46"/>
        <v>0.6</v>
      </c>
      <c r="DG33" s="56">
        <f t="shared" si="47"/>
        <v>1.7272727272727273</v>
      </c>
      <c r="DH33" s="56">
        <f t="shared" si="48"/>
        <v>2</v>
      </c>
    </row>
    <row r="34" spans="1:112" x14ac:dyDescent="0.25">
      <c r="A34" s="55" t="str">
        <f>IF(ISBLANK(Table2[[#This Row],[GAMENUM]]), "", _xlfn.TEXTJOIN("", 1, "2025030", Table2[[#This Row],[ROUNDNUM]], Table2[[#This Row],[SeriesID]], Table2[[#This Row],[GAMENUM]]))</f>
        <v>2025030174</v>
      </c>
      <c r="B34" s="63">
        <f>IF(ISBLANK(Table2[[#This Row],[GAMENUM]]), "", INDEX(Table3[SeriesID], MATCH(Table2[[#This Row],[SERIESCODE]],Table3[SeriesCode],0)))</f>
        <v>7</v>
      </c>
      <c r="C34" s="57" t="str">
        <f t="shared" ref="C34:C67" si="56">TEXT($D34,"dddd")</f>
        <v>Monday</v>
      </c>
      <c r="D34" s="59">
        <v>46139</v>
      </c>
      <c r="E34" s="60">
        <v>0.9375</v>
      </c>
      <c r="F34" s="59" t="s">
        <v>38</v>
      </c>
      <c r="G34" s="62">
        <v>1</v>
      </c>
      <c r="H34" s="63" t="s">
        <v>42</v>
      </c>
      <c r="I34" s="62">
        <v>4</v>
      </c>
      <c r="J34" s="81" t="str">
        <f>INDEX(Table3[TopSeed],MATCH(Table2[[#This Row],[SERIESCODE]], Table3[SeriesCode], 0))</f>
        <v>VGK</v>
      </c>
      <c r="K34" s="82" t="str">
        <f>INDEX(Table3[LowSeed],MATCH(Table2[[#This Row],[SERIESCODE]], Table3[SeriesCode], 0))</f>
        <v>UTA</v>
      </c>
      <c r="L34" s="62">
        <v>2</v>
      </c>
      <c r="M34" s="62">
        <v>2</v>
      </c>
      <c r="N34" s="81" t="str">
        <f>IF(Table2[[#This Row],[GAMENUM]] = 6, Table2[[#This Row],[TOPSEED]], IF(Table2[[#This Row],[GAMENUM]] = 4, Table2[[#This Row],[TOPSEED]], IF(Table2[[#This Row],[GAMENUM]] = 3, Table2[[#This Row],[TOPSEED]], Table2[LOWSEED])))</f>
        <v>VGK</v>
      </c>
      <c r="O34" s="82" t="str">
        <f>IF(Table2[[#This Row],[GAMENUM]] = 6, Table2[[#This Row],[LOWSEED]], IF(Table2[[#This Row],[GAMENUM]] = 4, Table2[[#This Row],[LOWSEED]], IF(Table2[[#This Row],[GAMENUM]] = 3, Table2[[#This Row],[LOWSEED]], Table2[TOPSEED])))</f>
        <v>UTA</v>
      </c>
      <c r="P34" s="83" t="str">
        <f t="shared" ref="P34:P64" si="57">IF(OR(ISBLANK(Q34), ISBLANK($R34)), "", IF($Q34&gt;$R34, $N34,$O34))</f>
        <v>UTA</v>
      </c>
      <c r="Q34" s="62">
        <v>2</v>
      </c>
      <c r="R34" s="62">
        <v>3</v>
      </c>
      <c r="S34" s="63" t="s">
        <v>154</v>
      </c>
      <c r="T34" s="59">
        <v>46139</v>
      </c>
      <c r="U34" s="62">
        <v>5</v>
      </c>
      <c r="V34" s="62">
        <v>4</v>
      </c>
      <c r="W34" s="62">
        <v>1</v>
      </c>
      <c r="X34" s="62">
        <v>4748</v>
      </c>
      <c r="Y34" s="63">
        <f>Table2[[#This Row],[TimeInSeconds]]/1200</f>
        <v>3.9566666666666666</v>
      </c>
      <c r="Z34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34" s="81" t="str">
        <f t="shared" ref="AA34:AA68" si="58">IF(OR(ISBLANK($U34), ISBLANK($V34), ISBLANK($W34)), "", IF(U34&gt;V34,N34,O34))</f>
        <v>VGK</v>
      </c>
      <c r="AB34" s="63">
        <f>IF(ISBLANK(Table2[[#This Row],[OTROUNDNUM]]), "", Table2[[#This Row],[PAWAYSCORE]]-Table2[[#This Row],[AAWAYSCORE]])</f>
        <v>-3</v>
      </c>
      <c r="AC34" s="63">
        <f>IF(ISBLANK(Table2[[#This Row],[OTROUNDNUM]]), "", Table2[[#This Row],[PHOMESCORE]]-Table2[[#This Row],[AHOMESCORE]])</f>
        <v>-1</v>
      </c>
      <c r="AD34" s="63">
        <f>_xlfn.IFS(ISBLANK(Table2[[#This Row],[GAMENUM]]), " ", 1, IF((Table2[[#This Row],[TOPSEEDWINS]]+Table2[[#This Row],[LOWSEEDWINS]]) &lt;&gt; Table2[[#This Row],[GAMENUM]], 0, 1))</f>
        <v>1</v>
      </c>
      <c r="AE34" s="63">
        <f>_xlfn.IFS(ISBLANK(Table2[[#This Row],[GAMENUM]]),"", Table2[[#This Row],[GameOver]]=0,"",Table2[[#This Row],[AAWAYSCORE]]&gt;Table2[[#This Row],[AHOMESCORE]], 1,1,0)</f>
        <v>1</v>
      </c>
      <c r="AF34" s="63">
        <f>_xlfn.IFS(ISBLANK(Table2[[#This Row],[GAMENUM]]),"",Table2[[#This Row],[GameOver]]=0,"",Table2[[#This Row],[AAWAYSCORE]]&lt;Table2[[#This Row],[AHOMESCORE]], 1,1,0)</f>
        <v>0</v>
      </c>
      <c r="AG34" s="63">
        <f>_xlfn.IFS(ISBLANK(Table2[[#This Row],[GAMENUM]]),"",Table2[[#This Row],[GameOver]]=0,"",Table2[[#This Row],[OTROUNDNUM]]&gt;0,1,1,0)</f>
        <v>1</v>
      </c>
      <c r="AH34" s="63">
        <f>_xlfn.IFS(ISBLANK(Table2[[#This Row],[GAMENUM]]),"",Table2[[#This Row],[GameOver]]=0,"",Table2[[#This Row],[AAWAYSCORE]]=0,1,1,0)</f>
        <v>0</v>
      </c>
      <c r="AI34" s="63">
        <f>_xlfn.IFS(ISBLANK(Table2[[#This Row],[GAMENUM]]),"", Table2[[#This Row],[GameOver]]=0,"",Table2[[#This Row],[AHOMESCORE]]=0,1,1,0)</f>
        <v>0</v>
      </c>
      <c r="AJ34" s="57"/>
      <c r="AK34" s="65"/>
      <c r="AL34" s="11"/>
      <c r="AM34" s="11"/>
      <c r="AN34" s="16"/>
      <c r="AO34" s="11"/>
      <c r="AP34" s="11"/>
      <c r="AQ34" s="42"/>
      <c r="AR34" s="53" t="s">
        <v>48</v>
      </c>
      <c r="AS34" s="137">
        <f>SUMIFS(Table2[Periods], Table2[TOPSEED], Table4[[#This Row],[Team]], Table2[ROUNDNUM], 1)+SUMIFS(Table2[Periods], Table2[LOWSEED], Table4[[#This Row],[Team]], Table2[ROUNDNUM],1)</f>
        <v>18.124166666666667</v>
      </c>
      <c r="AT34" s="57">
        <f>SUMIFS(Table2[TimeInSeconds], Table2[TOPSEED], Table4[[#This Row],[Team]], Table2[ROUNDNUM], 1)+SUMIFS(Table2[TimeInSeconds], Table2[LOWSEED], Table4[[#This Row],[Team]], Table2[ROUNDNUM],1)</f>
        <v>21749</v>
      </c>
      <c r="AU34" s="137">
        <f>Table4[[#This Row],[SecondsPlayed]]/3600</f>
        <v>6.0413888888888891</v>
      </c>
      <c r="AV34" s="57">
        <v>1990</v>
      </c>
      <c r="AW34" s="57">
        <f>COUNTIFS(Table2[LOWSEED], AR34, Table2[ROUNDNUM], 1, Table2[GameOver], 1) + COUNTIFS(Table2[TOPSEED], AR34, Table2[ROUNDNUM], 1, Table2[GameOver], 1)</f>
        <v>6</v>
      </c>
      <c r="AX34" s="57">
        <f>COUNTIFS(Table2[LOWSEED], AR34, Table2[ROUNDNUM], 2, Table2[GameOver], 1) + COUNTIFS(Table2[TOPSEED], AR34, Table2[ROUNDNUM], 2, Table2[GameOver], 1)</f>
        <v>0</v>
      </c>
      <c r="AY34" s="57">
        <f>COUNTIFS(Table2[LOWSEED], AR34, Table2[ROUNDNUM], 3, Table2[GameOver], 1) + COUNTIFS(Table2[TOPSEED], AR34, Table2[ROUNDNUM], 3, Table2[GameOver], 1)</f>
        <v>0</v>
      </c>
      <c r="AZ34" s="57">
        <f>COUNTIFS(Table2[LOWSEED], AR34, Table2[ROUNDNUM], 4, Table2[GameOver], 1) + COUNTIFS(Table2[TOPSEED], AR34, Table2[ROUNDNUM], 4, Table2[GameOver], 1)</f>
        <v>0</v>
      </c>
      <c r="BA34" s="57">
        <f t="shared" si="49"/>
        <v>6</v>
      </c>
      <c r="BB34" s="57">
        <f t="shared" si="8"/>
        <v>5</v>
      </c>
      <c r="BC34" s="57">
        <f t="shared" si="9"/>
        <v>3</v>
      </c>
      <c r="BD34" s="57">
        <f t="shared" si="10"/>
        <v>3</v>
      </c>
      <c r="BE34" s="57">
        <f t="shared" si="11"/>
        <v>3</v>
      </c>
      <c r="BF34" s="57">
        <f t="shared" si="12"/>
        <v>0</v>
      </c>
      <c r="BG34" s="57">
        <f t="shared" si="13"/>
        <v>5</v>
      </c>
      <c r="BH34" s="57">
        <f t="shared" si="14"/>
        <v>3</v>
      </c>
      <c r="BI34" s="57">
        <f t="shared" si="15"/>
        <v>0</v>
      </c>
      <c r="BJ34" s="57">
        <f t="shared" si="16"/>
        <v>5</v>
      </c>
      <c r="BK34" s="57">
        <f t="shared" si="17"/>
        <v>3</v>
      </c>
      <c r="BL34" s="57">
        <f t="shared" si="18"/>
        <v>1</v>
      </c>
      <c r="BM34" s="57">
        <f t="shared" si="19"/>
        <v>12</v>
      </c>
      <c r="BN34" s="57">
        <f t="shared" si="20"/>
        <v>21</v>
      </c>
      <c r="BO34" s="57">
        <f t="shared" si="21"/>
        <v>0</v>
      </c>
      <c r="BP34" s="57">
        <f t="shared" si="50"/>
        <v>-20</v>
      </c>
      <c r="BQ34" s="57">
        <f t="shared" si="50"/>
        <v>12</v>
      </c>
      <c r="BR34" s="57">
        <f t="shared" si="51"/>
        <v>13</v>
      </c>
      <c r="BS34" s="57">
        <f t="shared" si="52"/>
        <v>21</v>
      </c>
      <c r="BT34" s="57">
        <f t="shared" si="53"/>
        <v>-8</v>
      </c>
      <c r="BU34" s="57">
        <f t="shared" si="54"/>
        <v>0.2</v>
      </c>
      <c r="BV34" s="57">
        <f t="shared" si="54"/>
        <v>4</v>
      </c>
      <c r="BW34" s="57">
        <f t="shared" si="55"/>
        <v>4.2</v>
      </c>
      <c r="BX34" s="57">
        <f t="shared" si="55"/>
        <v>0</v>
      </c>
      <c r="BY34" s="57">
        <f t="shared" si="22"/>
        <v>2.1666666666666665</v>
      </c>
      <c r="BZ34" s="57">
        <f t="shared" si="23"/>
        <v>3.5</v>
      </c>
      <c r="CA34" s="65"/>
      <c r="CB34" s="152">
        <v>12</v>
      </c>
      <c r="CC34" s="53" t="str">
        <f t="shared" si="24"/>
        <v>EDM</v>
      </c>
      <c r="CD34" s="56">
        <f>SUMIFS(Table2[Periods], Table2[TOPSEED], Table1[[#This Row],[Team]])+SUMIFS(Table2[Periods], Table2[LOWSEED], Table1[[#This Row],[Team]])</f>
        <v>18.124166666666667</v>
      </c>
      <c r="CE34" s="55">
        <f>SUMIFS(Table2[TimeInSeconds], Table2[TOPSEED], Table1[[#This Row],[Team]])+SUMIFS(Table2[TimeInSeconds], Table2[LOWSEED], Table1[[#This Row],[Team]])</f>
        <v>21749</v>
      </c>
      <c r="CF34" s="57">
        <f>Table1[[#This Row],[SecondsPlayed]]/3600</f>
        <v>6.0413888888888891</v>
      </c>
      <c r="CG34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10</v>
      </c>
      <c r="CH34" s="56">
        <f>Table1[[#This Row],[PeriodsPlayed]]/Table1[[#This Row],[DaysPast]]</f>
        <v>1.8124166666666668</v>
      </c>
      <c r="CI34" s="56">
        <f>Table1[[#This Row],[PeriodsPlayed]]/Table1[[#This Row],[GP TOT]]</f>
        <v>3.0206944444444446</v>
      </c>
      <c r="CJ34" s="57">
        <v>1990</v>
      </c>
      <c r="CK34" s="55">
        <f t="shared" si="25"/>
        <v>6</v>
      </c>
      <c r="CL34" s="55">
        <f t="shared" si="26"/>
        <v>5</v>
      </c>
      <c r="CM34" s="55">
        <f t="shared" si="27"/>
        <v>3</v>
      </c>
      <c r="CN34" s="55">
        <f t="shared" si="28"/>
        <v>3</v>
      </c>
      <c r="CO34" s="55">
        <f t="shared" si="29"/>
        <v>3</v>
      </c>
      <c r="CP34" s="55">
        <f t="shared" si="30"/>
        <v>0</v>
      </c>
      <c r="CQ34" s="55">
        <f t="shared" si="31"/>
        <v>5</v>
      </c>
      <c r="CR34" s="55">
        <f t="shared" si="32"/>
        <v>3</v>
      </c>
      <c r="CS34" s="55">
        <f t="shared" si="33"/>
        <v>0</v>
      </c>
      <c r="CT34" s="55">
        <f t="shared" si="34"/>
        <v>1</v>
      </c>
      <c r="CU34" s="55">
        <f t="shared" si="35"/>
        <v>12</v>
      </c>
      <c r="CV34" s="55">
        <f t="shared" si="36"/>
        <v>21</v>
      </c>
      <c r="CW34" s="55">
        <f t="shared" si="37"/>
        <v>0</v>
      </c>
      <c r="CX34" s="55">
        <f t="shared" si="38"/>
        <v>-20</v>
      </c>
      <c r="CY34" s="55">
        <f t="shared" si="39"/>
        <v>12</v>
      </c>
      <c r="CZ34" s="55">
        <f t="shared" si="40"/>
        <v>13</v>
      </c>
      <c r="DA34" s="55">
        <f t="shared" si="41"/>
        <v>21</v>
      </c>
      <c r="DB34" s="55">
        <f t="shared" si="42"/>
        <v>-8</v>
      </c>
      <c r="DC34" s="56">
        <f t="shared" si="43"/>
        <v>0.2</v>
      </c>
      <c r="DD34" s="56">
        <f t="shared" si="44"/>
        <v>4</v>
      </c>
      <c r="DE34" s="56">
        <f t="shared" si="45"/>
        <v>4.2</v>
      </c>
      <c r="DF34" s="56">
        <f t="shared" si="46"/>
        <v>0</v>
      </c>
      <c r="DG34" s="56">
        <f t="shared" si="47"/>
        <v>2.1666666666666665</v>
      </c>
      <c r="DH34" s="56">
        <f t="shared" si="48"/>
        <v>3.5</v>
      </c>
    </row>
    <row r="35" spans="1:112" x14ac:dyDescent="0.25">
      <c r="A35" s="55" t="str">
        <f>IF(ISBLANK(Table2[[#This Row],[GAMENUM]]), "", _xlfn.TEXTJOIN("", 1, "2025030", Table2[[#This Row],[ROUNDNUM]], Table2[[#This Row],[SeriesID]], Table2[[#This Row],[GAMENUM]]))</f>
        <v>2025030115</v>
      </c>
      <c r="B35" s="63">
        <f>IF(ISBLANK(Table2[[#This Row],[GAMENUM]]), "", INDEX(Table3[SeriesID], MATCH(Table2[[#This Row],[SERIESCODE]],Table3[SeriesCode],0)))</f>
        <v>1</v>
      </c>
      <c r="C35" s="57" t="str">
        <f t="shared" si="56"/>
        <v>Tuesday</v>
      </c>
      <c r="D35" s="59">
        <v>46140</v>
      </c>
      <c r="E35" s="60">
        <v>0.85416666666666663</v>
      </c>
      <c r="F35" s="59" t="s">
        <v>16</v>
      </c>
      <c r="G35" s="62">
        <v>1</v>
      </c>
      <c r="H35" s="63" t="s">
        <v>33</v>
      </c>
      <c r="I35" s="62">
        <v>5</v>
      </c>
      <c r="J35" s="78" t="str">
        <f>INDEX(Table3[TopSeed],MATCH(Table2[[#This Row],[SERIESCODE]], Table3[SeriesCode], 0))</f>
        <v>BUF</v>
      </c>
      <c r="K35" s="80" t="str">
        <f>INDEX(Table3[LowSeed],MATCH(Table2[[#This Row],[SERIESCODE]], Table3[SeriesCode], 0))</f>
        <v>BOS</v>
      </c>
      <c r="L35" s="62">
        <v>3</v>
      </c>
      <c r="M35" s="62">
        <v>2</v>
      </c>
      <c r="N35" s="75" t="str">
        <f>IF(Table2[[#This Row],[GAMENUM]] = 6, Table2[[#This Row],[TOPSEED]], IF(Table2[[#This Row],[GAMENUM]] = 4, Table2[[#This Row],[TOPSEED]], IF(Table2[[#This Row],[GAMENUM]] = 3, Table2[[#This Row],[TOPSEED]], Table2[LOWSEED])))</f>
        <v>BOS</v>
      </c>
      <c r="O35" s="73" t="str">
        <f>IF(Table2[[#This Row],[GAMENUM]] = 6, Table2[[#This Row],[LOWSEED]], IF(Table2[[#This Row],[GAMENUM]] = 4, Table2[[#This Row],[LOWSEED]], IF(Table2[[#This Row],[GAMENUM]] = 3, Table2[[#This Row],[LOWSEED]], Table2[TOPSEED])))</f>
        <v>BUF</v>
      </c>
      <c r="P35" s="73" t="str">
        <f t="shared" si="57"/>
        <v>BUF</v>
      </c>
      <c r="Q35" s="62">
        <v>2</v>
      </c>
      <c r="R35" s="62">
        <v>4</v>
      </c>
      <c r="S35" s="63" t="s">
        <v>155</v>
      </c>
      <c r="T35" s="59">
        <v>46140</v>
      </c>
      <c r="U35" s="62">
        <v>2</v>
      </c>
      <c r="V35" s="62">
        <v>1</v>
      </c>
      <c r="W35" s="62">
        <v>1</v>
      </c>
      <c r="X35" s="62">
        <v>4154</v>
      </c>
      <c r="Y35" s="63">
        <f>Table2[[#This Row],[TimeInSeconds]]/1200</f>
        <v>3.4616666666666664</v>
      </c>
      <c r="Z35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35" s="75" t="str">
        <f t="shared" si="58"/>
        <v>BOS</v>
      </c>
      <c r="AB35" s="63">
        <f>IF(ISBLANK(Table2[[#This Row],[OTROUNDNUM]]), "", Table2[[#This Row],[PAWAYSCORE]]-Table2[[#This Row],[AAWAYSCORE]])</f>
        <v>0</v>
      </c>
      <c r="AC35" s="63">
        <f>IF(ISBLANK(Table2[[#This Row],[OTROUNDNUM]]), "", Table2[[#This Row],[PHOMESCORE]]-Table2[[#This Row],[AHOMESCORE]])</f>
        <v>3</v>
      </c>
      <c r="AD35" s="63">
        <f>_xlfn.IFS(ISBLANK(Table2[[#This Row],[GAMENUM]]), " ", 1, IF((Table2[[#This Row],[TOPSEEDWINS]]+Table2[[#This Row],[LOWSEEDWINS]]) &lt;&gt; Table2[[#This Row],[GAMENUM]], 0, 1))</f>
        <v>1</v>
      </c>
      <c r="AE35" s="63">
        <f>_xlfn.IFS(ISBLANK(Table2[[#This Row],[GAMENUM]]),"", Table2[[#This Row],[GameOver]]=0,"",Table2[[#This Row],[AAWAYSCORE]]&gt;Table2[[#This Row],[AHOMESCORE]], 1,1,0)</f>
        <v>1</v>
      </c>
      <c r="AF35" s="63">
        <f>_xlfn.IFS(ISBLANK(Table2[[#This Row],[GAMENUM]]),"",Table2[[#This Row],[GameOver]]=0,"",Table2[[#This Row],[AAWAYSCORE]]&lt;Table2[[#This Row],[AHOMESCORE]], 1,1,0)</f>
        <v>0</v>
      </c>
      <c r="AG35" s="63">
        <f>_xlfn.IFS(ISBLANK(Table2[[#This Row],[GAMENUM]]),"",Table2[[#This Row],[GameOver]]=0,"",Table2[[#This Row],[OTROUNDNUM]]&gt;0,1,1,0)</f>
        <v>1</v>
      </c>
      <c r="AH35" s="63">
        <f>_xlfn.IFS(ISBLANK(Table2[[#This Row],[GAMENUM]]),"",Table2[[#This Row],[GameOver]]=0,"",Table2[[#This Row],[AAWAYSCORE]]=0,1,1,0)</f>
        <v>0</v>
      </c>
      <c r="AI35" s="63">
        <f>_xlfn.IFS(ISBLANK(Table2[[#This Row],[GAMENUM]]),"", Table2[[#This Row],[GameOver]]=0,"",Table2[[#This Row],[AHOMESCORE]]=0,1,1,0)</f>
        <v>0</v>
      </c>
      <c r="AJ35" s="57"/>
      <c r="AK35" s="65"/>
      <c r="AL35" s="11"/>
      <c r="AM35" s="11"/>
      <c r="AN35" s="16"/>
      <c r="AO35" s="11"/>
      <c r="AP35" s="11"/>
      <c r="AQ35" s="42"/>
      <c r="AR35" s="117" t="s">
        <v>173</v>
      </c>
      <c r="AS35" s="137">
        <f>SUMIFS(Table2[Periods], Table2[TOPSEED], Table4[[#This Row],[Team]], Table2[ROUNDNUM], 1)+SUMIFS(Table2[Periods], Table2[LOWSEED], Table4[[#This Row],[Team]], Table2[ROUNDNUM],1)</f>
        <v>18.124166666666667</v>
      </c>
      <c r="AT35" s="57">
        <f>SUMIFS(Table2[TimeInSeconds], Table2[TOPSEED], Table4[[#This Row],[Team]], Table2[ROUNDNUM], 1)+SUMIFS(Table2[TimeInSeconds], Table2[LOWSEED], Table4[[#This Row],[Team]], Table2[ROUNDNUM],1)</f>
        <v>21749</v>
      </c>
      <c r="AU35" s="137">
        <f>Table4[[#This Row],[SecondsPlayed]]/3600</f>
        <v>6.0413888888888891</v>
      </c>
      <c r="AV35" s="57">
        <v>2007</v>
      </c>
      <c r="AW35" s="57">
        <f>COUNTIFS(Table2[LOWSEED], AR35, Table2[ROUNDNUM], 1, Table2[GameOver], 1) + COUNTIFS(Table2[TOPSEED], AR35, Table2[ROUNDNUM], 1, Table2[GameOver], 1)</f>
        <v>6</v>
      </c>
      <c r="AX35" s="57">
        <f>COUNTIFS(Table2[LOWSEED], AR35, Table2[ROUNDNUM], 2, Table2[GameOver], 1) + COUNTIFS(Table2[TOPSEED], AR35, Table2[ROUNDNUM], 2, Table2[GameOver], 1)</f>
        <v>6</v>
      </c>
      <c r="AY35" s="57">
        <f>COUNTIFS(Table2[LOWSEED], AR35, Table2[ROUNDNUM], 3, Table2[GameOver], 1) + COUNTIFS(Table2[TOPSEED], AR35, Table2[ROUNDNUM], 3, Table2[GameOver], 1)</f>
        <v>0</v>
      </c>
      <c r="AZ35" s="57">
        <f>COUNTIFS(Table2[LOWSEED], AR35, Table2[ROUNDNUM], 4, Table2[GameOver], 1) + COUNTIFS(Table2[TOPSEED], AR35, Table2[ROUNDNUM], 4, Table2[GameOver], 1)</f>
        <v>0</v>
      </c>
      <c r="BA35" s="57">
        <f t="shared" si="49"/>
        <v>12</v>
      </c>
      <c r="BB35" s="57">
        <f t="shared" si="8"/>
        <v>5</v>
      </c>
      <c r="BC35" s="57">
        <f t="shared" si="9"/>
        <v>6</v>
      </c>
      <c r="BD35" s="57">
        <f t="shared" si="10"/>
        <v>6</v>
      </c>
      <c r="BE35" s="57">
        <f t="shared" si="11"/>
        <v>6</v>
      </c>
      <c r="BF35" s="57">
        <f t="shared" si="12"/>
        <v>0</v>
      </c>
      <c r="BG35" s="57">
        <f t="shared" si="13"/>
        <v>5</v>
      </c>
      <c r="BH35" s="57">
        <f t="shared" si="14"/>
        <v>6</v>
      </c>
      <c r="BI35" s="57">
        <f t="shared" si="15"/>
        <v>0</v>
      </c>
      <c r="BJ35" s="57">
        <f t="shared" si="16"/>
        <v>1</v>
      </c>
      <c r="BK35" s="57">
        <f t="shared" si="17"/>
        <v>3</v>
      </c>
      <c r="BL35" s="57">
        <f t="shared" si="18"/>
        <v>0</v>
      </c>
      <c r="BM35" s="57">
        <f t="shared" si="19"/>
        <v>16</v>
      </c>
      <c r="BN35" s="57">
        <f t="shared" si="20"/>
        <v>7</v>
      </c>
      <c r="BO35" s="57">
        <f t="shared" si="21"/>
        <v>1</v>
      </c>
      <c r="BP35" s="57">
        <f t="shared" si="50"/>
        <v>-7</v>
      </c>
      <c r="BQ35" s="57">
        <f t="shared" si="50"/>
        <v>15</v>
      </c>
      <c r="BR35" s="57">
        <f t="shared" si="51"/>
        <v>16</v>
      </c>
      <c r="BS35" s="57">
        <f t="shared" si="52"/>
        <v>8</v>
      </c>
      <c r="BT35" s="57">
        <f t="shared" si="53"/>
        <v>8</v>
      </c>
      <c r="BU35" s="57">
        <f t="shared" si="54"/>
        <v>0</v>
      </c>
      <c r="BV35" s="57">
        <f t="shared" si="54"/>
        <v>5.333333333333333</v>
      </c>
      <c r="BW35" s="57">
        <f t="shared" si="55"/>
        <v>7</v>
      </c>
      <c r="BX35" s="57">
        <f t="shared" si="55"/>
        <v>0.33333333333333331</v>
      </c>
      <c r="BY35" s="57">
        <f t="shared" si="22"/>
        <v>2.6666666666666665</v>
      </c>
      <c r="BZ35" s="57">
        <f t="shared" si="23"/>
        <v>1.3333333333333333</v>
      </c>
      <c r="CA35" s="65"/>
      <c r="CB35" s="153">
        <v>13</v>
      </c>
      <c r="CC35" s="117" t="str">
        <f t="shared" si="24"/>
        <v>ANA</v>
      </c>
      <c r="CD35" s="56">
        <f>SUMIFS(Table2[Periods], Table2[TOPSEED], Table1[[#This Row],[Team]])+SUMIFS(Table2[Periods], Table2[LOWSEED], Table1[[#This Row],[Team]])</f>
        <v>36.332500000000003</v>
      </c>
      <c r="CE35" s="55">
        <f>SUMIFS(Table2[TimeInSeconds], Table2[TOPSEED], Table1[[#This Row],[Team]])+SUMIFS(Table2[TimeInSeconds], Table2[LOWSEED], Table1[[#This Row],[Team]])</f>
        <v>43599</v>
      </c>
      <c r="CF35" s="57">
        <f>Table1[[#This Row],[SecondsPlayed]]/3600</f>
        <v>12.110833333333334</v>
      </c>
      <c r="CG35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24</v>
      </c>
      <c r="CH35" s="56">
        <f>Table1[[#This Row],[PeriodsPlayed]]/Table1[[#This Row],[DaysPast]]</f>
        <v>1.5138541666666667</v>
      </c>
      <c r="CI35" s="56">
        <f>Table1[[#This Row],[PeriodsPlayed]]/Table1[[#This Row],[GP TOT]]</f>
        <v>3.0277083333333334</v>
      </c>
      <c r="CJ35" s="57">
        <v>2007</v>
      </c>
      <c r="CK35" s="55">
        <f t="shared" si="25"/>
        <v>12</v>
      </c>
      <c r="CL35" s="55">
        <f t="shared" si="26"/>
        <v>5</v>
      </c>
      <c r="CM35" s="55">
        <f t="shared" si="27"/>
        <v>6</v>
      </c>
      <c r="CN35" s="55">
        <f t="shared" si="28"/>
        <v>6</v>
      </c>
      <c r="CO35" s="55">
        <f t="shared" si="29"/>
        <v>6</v>
      </c>
      <c r="CP35" s="55">
        <f t="shared" si="30"/>
        <v>0</v>
      </c>
      <c r="CQ35" s="55">
        <f t="shared" si="31"/>
        <v>5</v>
      </c>
      <c r="CR35" s="55">
        <f t="shared" si="32"/>
        <v>6</v>
      </c>
      <c r="CS35" s="55">
        <f t="shared" si="33"/>
        <v>0</v>
      </c>
      <c r="CT35" s="55">
        <f t="shared" si="34"/>
        <v>0</v>
      </c>
      <c r="CU35" s="55">
        <f t="shared" si="35"/>
        <v>23</v>
      </c>
      <c r="CV35" s="55">
        <f t="shared" si="36"/>
        <v>15</v>
      </c>
      <c r="CW35" s="55">
        <f t="shared" si="37"/>
        <v>1</v>
      </c>
      <c r="CX35" s="55">
        <f t="shared" si="38"/>
        <v>-15</v>
      </c>
      <c r="CY35" s="55">
        <f t="shared" si="39"/>
        <v>22</v>
      </c>
      <c r="CZ35" s="55">
        <f t="shared" si="40"/>
        <v>23</v>
      </c>
      <c r="DA35" s="55">
        <f t="shared" si="41"/>
        <v>16</v>
      </c>
      <c r="DB35" s="55">
        <f t="shared" si="42"/>
        <v>7</v>
      </c>
      <c r="DC35" s="56">
        <f t="shared" si="43"/>
        <v>0</v>
      </c>
      <c r="DD35" s="56">
        <f t="shared" si="44"/>
        <v>3.8333333333333335</v>
      </c>
      <c r="DE35" s="56">
        <f t="shared" si="45"/>
        <v>3</v>
      </c>
      <c r="DF35" s="56">
        <f t="shared" si="46"/>
        <v>0.16666666666666666</v>
      </c>
      <c r="DG35" s="56">
        <f t="shared" si="47"/>
        <v>1.9166666666666667</v>
      </c>
      <c r="DH35" s="56">
        <f t="shared" si="48"/>
        <v>1.3333333333333333</v>
      </c>
    </row>
    <row r="36" spans="1:112" x14ac:dyDescent="0.25">
      <c r="A36" s="55" t="str">
        <f>IF(ISBLANK(Table2[[#This Row],[GAMENUM]]), "", _xlfn.TEXTJOIN("", 1, "2025030", Table2[[#This Row],[ROUNDNUM]], Table2[[#This Row],[SeriesID]], Table2[[#This Row],[GAMENUM]]))</f>
        <v>2025030165</v>
      </c>
      <c r="B36" s="63">
        <f>IF(ISBLANK(Table2[[#This Row],[GAMENUM]]), "", INDEX(Table3[SeriesID], MATCH(Table2[[#This Row],[SERIESCODE]],Table3[SeriesCode],0)))</f>
        <v>6</v>
      </c>
      <c r="C36" s="57" t="str">
        <f t="shared" si="56"/>
        <v>Tuesday</v>
      </c>
      <c r="D36" s="59">
        <v>46140</v>
      </c>
      <c r="E36" s="60">
        <v>0.875</v>
      </c>
      <c r="F36" s="59" t="s">
        <v>38</v>
      </c>
      <c r="G36" s="62">
        <v>1</v>
      </c>
      <c r="H36" s="63" t="s">
        <v>39</v>
      </c>
      <c r="I36" s="62">
        <v>5</v>
      </c>
      <c r="J36" s="94" t="str">
        <f>INDEX(Table3[TopSeed],MATCH(Table2[[#This Row],[SERIESCODE]], Table3[SeriesCode], 0))</f>
        <v>DAL</v>
      </c>
      <c r="K36" s="95" t="str">
        <f>INDEX(Table3[LowSeed],MATCH(Table2[[#This Row],[SERIESCODE]], Table3[SeriesCode], 0))</f>
        <v>MIN</v>
      </c>
      <c r="L36" s="62">
        <v>2</v>
      </c>
      <c r="M36" s="62">
        <v>3</v>
      </c>
      <c r="N36" s="27" t="str">
        <f>IF(Table2[[#This Row],[GAMENUM]] = 6, Table2[[#This Row],[TOPSEED]], IF(Table2[[#This Row],[GAMENUM]] = 4, Table2[[#This Row],[TOPSEED]], IF(Table2[[#This Row],[GAMENUM]] = 3, Table2[[#This Row],[TOPSEED]], Table2[LOWSEED])))</f>
        <v>MIN</v>
      </c>
      <c r="O36" s="26" t="str">
        <f>IF(Table2[[#This Row],[GAMENUM]] = 6, Table2[[#This Row],[LOWSEED]], IF(Table2[[#This Row],[GAMENUM]] = 4, Table2[[#This Row],[LOWSEED]], IF(Table2[[#This Row],[GAMENUM]] = 3, Table2[[#This Row],[LOWSEED]], Table2[TOPSEED])))</f>
        <v>DAL</v>
      </c>
      <c r="P36" s="27" t="str">
        <f t="shared" si="57"/>
        <v>MIN</v>
      </c>
      <c r="Q36" s="62">
        <v>3</v>
      </c>
      <c r="R36" s="62">
        <v>2</v>
      </c>
      <c r="S36" s="63" t="s">
        <v>154</v>
      </c>
      <c r="T36" s="59">
        <v>46140</v>
      </c>
      <c r="U36" s="62">
        <v>4</v>
      </c>
      <c r="V36" s="62">
        <v>2</v>
      </c>
      <c r="W36" s="62">
        <v>0</v>
      </c>
      <c r="X36" s="62">
        <v>3600</v>
      </c>
      <c r="Y36" s="63">
        <f>Table2[[#This Row],[TimeInSeconds]]/1200</f>
        <v>3</v>
      </c>
      <c r="Z36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36" s="27" t="str">
        <f t="shared" si="58"/>
        <v>MIN</v>
      </c>
      <c r="AB36" s="63">
        <f>IF(ISBLANK(Table2[[#This Row],[OTROUNDNUM]]), "", Table2[[#This Row],[PAWAYSCORE]]-Table2[[#This Row],[AAWAYSCORE]])</f>
        <v>-1</v>
      </c>
      <c r="AC36" s="63">
        <f>IF(ISBLANK(Table2[[#This Row],[OTROUNDNUM]]), "", Table2[[#This Row],[PHOMESCORE]]-Table2[[#This Row],[AHOMESCORE]])</f>
        <v>0</v>
      </c>
      <c r="AD36" s="63">
        <f>_xlfn.IFS(ISBLANK(Table2[[#This Row],[GAMENUM]]), " ", 1, IF((Table2[[#This Row],[TOPSEEDWINS]]+Table2[[#This Row],[LOWSEEDWINS]]) &lt;&gt; Table2[[#This Row],[GAMENUM]], 0, 1))</f>
        <v>1</v>
      </c>
      <c r="AE36" s="63">
        <f>_xlfn.IFS(ISBLANK(Table2[[#This Row],[GAMENUM]]),"", Table2[[#This Row],[GameOver]]=0,"",Table2[[#This Row],[AAWAYSCORE]]&gt;Table2[[#This Row],[AHOMESCORE]], 1,1,0)</f>
        <v>1</v>
      </c>
      <c r="AF36" s="63">
        <f>_xlfn.IFS(ISBLANK(Table2[[#This Row],[GAMENUM]]),"",Table2[[#This Row],[GameOver]]=0,"",Table2[[#This Row],[AAWAYSCORE]]&lt;Table2[[#This Row],[AHOMESCORE]], 1,1,0)</f>
        <v>0</v>
      </c>
      <c r="AG36" s="63">
        <f>_xlfn.IFS(ISBLANK(Table2[[#This Row],[GAMENUM]]),"",Table2[[#This Row],[GameOver]]=0,"",Table2[[#This Row],[OTROUNDNUM]]&gt;0,1,1,0)</f>
        <v>0</v>
      </c>
      <c r="AH36" s="63">
        <f>_xlfn.IFS(ISBLANK(Table2[[#This Row],[GAMENUM]]),"",Table2[[#This Row],[GameOver]]=0,"",Table2[[#This Row],[AAWAYSCORE]]=0,1,1,0)</f>
        <v>0</v>
      </c>
      <c r="AI36" s="63">
        <f>_xlfn.IFS(ISBLANK(Table2[[#This Row],[GAMENUM]]),"", Table2[[#This Row],[GameOver]]=0,"",Table2[[#This Row],[AHOMESCORE]]=0,1,1,0)</f>
        <v>0</v>
      </c>
      <c r="AJ36" s="57"/>
      <c r="AK36" s="65"/>
      <c r="AL36" s="11"/>
      <c r="AM36" s="11"/>
      <c r="AN36" s="16"/>
      <c r="AO36" s="11"/>
      <c r="AP36" s="11"/>
      <c r="AQ36" s="42"/>
      <c r="AR36" s="50" t="s">
        <v>47</v>
      </c>
      <c r="AS36" s="137">
        <f>SUMIFS(Table2[Periods], Table2[TOPSEED], Table4[[#This Row],[Team]], Table2[ROUNDNUM], 1)+SUMIFS(Table2[Periods], Table2[LOWSEED], Table4[[#This Row],[Team]], Table2[ROUNDNUM],1)</f>
        <v>20.23</v>
      </c>
      <c r="AT36" s="57">
        <f>SUMIFS(Table2[TimeInSeconds], Table2[TOPSEED], Table4[[#This Row],[Team]], Table2[ROUNDNUM], 1)+SUMIFS(Table2[TimeInSeconds], Table2[LOWSEED], Table4[[#This Row],[Team]], Table2[ROUNDNUM],1)</f>
        <v>24276</v>
      </c>
      <c r="AU36" s="137">
        <f>Table4[[#This Row],[SecondsPlayed]]/3600</f>
        <v>6.7433333333333332</v>
      </c>
      <c r="AV36" s="57">
        <v>2023</v>
      </c>
      <c r="AW36" s="57">
        <f>COUNTIFS(Table2[LOWSEED], AR36, Table2[ROUNDNUM], 1, Table2[GameOver], 1) + COUNTIFS(Table2[TOPSEED], AR36, Table2[ROUNDNUM], 1, Table2[GameOver], 1)</f>
        <v>6</v>
      </c>
      <c r="AX36" s="57">
        <f>COUNTIFS(Table2[LOWSEED], AR36, Table2[ROUNDNUM], 2, Table2[GameOver], 1) + COUNTIFS(Table2[TOPSEED], AR36, Table2[ROUNDNUM], 2, Table2[GameOver], 1)</f>
        <v>6</v>
      </c>
      <c r="AY36" s="57">
        <f>COUNTIFS(Table2[LOWSEED], AR36, Table2[ROUNDNUM], 3, Table2[GameOver], 1) + COUNTIFS(Table2[TOPSEED], AR36, Table2[ROUNDNUM], 3, Table2[GameOver], 1)</f>
        <v>4</v>
      </c>
      <c r="AZ36" s="57">
        <f>COUNTIFS(Table2[LOWSEED], AR36, Table2[ROUNDNUM], 4, Table2[GameOver], 1) + COUNTIFS(Table2[TOPSEED], AR36, Table2[ROUNDNUM], 4, Table2[GameOver], 1)</f>
        <v>1</v>
      </c>
      <c r="BA36" s="57">
        <f t="shared" si="49"/>
        <v>17</v>
      </c>
      <c r="BB36" s="57">
        <f t="shared" si="8"/>
        <v>4</v>
      </c>
      <c r="BC36" s="57">
        <f t="shared" si="9"/>
        <v>10</v>
      </c>
      <c r="BD36" s="57">
        <f t="shared" si="10"/>
        <v>8</v>
      </c>
      <c r="BE36" s="57">
        <f t="shared" si="11"/>
        <v>9</v>
      </c>
      <c r="BF36" s="57">
        <f t="shared" si="12"/>
        <v>0</v>
      </c>
      <c r="BG36" s="57">
        <f t="shared" si="13"/>
        <v>4</v>
      </c>
      <c r="BH36" s="57">
        <f t="shared" si="14"/>
        <v>8</v>
      </c>
      <c r="BI36" s="57">
        <f t="shared" si="15"/>
        <v>0</v>
      </c>
      <c r="BJ36" s="57">
        <f t="shared" si="16"/>
        <v>1</v>
      </c>
      <c r="BK36" s="57">
        <f t="shared" si="17"/>
        <v>3</v>
      </c>
      <c r="BL36" s="57">
        <f t="shared" si="18"/>
        <v>2</v>
      </c>
      <c r="BM36" s="57">
        <f t="shared" si="19"/>
        <v>11</v>
      </c>
      <c r="BN36" s="57">
        <f t="shared" si="20"/>
        <v>5</v>
      </c>
      <c r="BO36" s="57">
        <f t="shared" si="21"/>
        <v>2</v>
      </c>
      <c r="BP36" s="57">
        <f t="shared" si="50"/>
        <v>-3</v>
      </c>
      <c r="BQ36" s="57">
        <f t="shared" si="50"/>
        <v>9</v>
      </c>
      <c r="BR36" s="57">
        <f t="shared" si="51"/>
        <v>13</v>
      </c>
      <c r="BS36" s="57">
        <f t="shared" si="52"/>
        <v>7</v>
      </c>
      <c r="BT36" s="57">
        <f t="shared" si="53"/>
        <v>6</v>
      </c>
      <c r="BU36" s="57">
        <f t="shared" si="54"/>
        <v>2</v>
      </c>
      <c r="BV36" s="57">
        <f t="shared" si="54"/>
        <v>3.6666666666666665</v>
      </c>
      <c r="BW36" s="57">
        <f t="shared" si="55"/>
        <v>5</v>
      </c>
      <c r="BX36" s="57">
        <f t="shared" si="55"/>
        <v>0.66666666666666663</v>
      </c>
      <c r="BY36" s="57">
        <f t="shared" si="22"/>
        <v>2.1666666666666665</v>
      </c>
      <c r="BZ36" s="57">
        <f t="shared" si="23"/>
        <v>1.1666666666666667</v>
      </c>
      <c r="CA36" s="65"/>
      <c r="CB36" s="154">
        <v>14</v>
      </c>
      <c r="CC36" s="50" t="str">
        <f t="shared" si="24"/>
        <v>VGK</v>
      </c>
      <c r="CD36" s="56">
        <f>SUMIFS(Table2[Periods], Table2[TOPSEED], Table1[[#This Row],[Team]])+SUMIFS(Table2[Periods], Table2[LOWSEED], Table1[[#This Row],[Team]])</f>
        <v>53.43833333333334</v>
      </c>
      <c r="CE36" s="55">
        <f>SUMIFS(Table2[TimeInSeconds], Table2[TOPSEED], Table1[[#This Row],[Team]])+SUMIFS(Table2[TimeInSeconds], Table2[LOWSEED], Table1[[#This Row],[Team]])</f>
        <v>64126</v>
      </c>
      <c r="CF36" s="57">
        <f>Table1[[#This Row],[SecondsPlayed]]/3600</f>
        <v>17.812777777777779</v>
      </c>
      <c r="CG36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45</v>
      </c>
      <c r="CH36" s="56">
        <f>Table1[[#This Row],[PeriodsPlayed]]/Table1[[#This Row],[DaysPast]]</f>
        <v>1.1875185185185186</v>
      </c>
      <c r="CI36" s="56">
        <f>Table1[[#This Row],[PeriodsPlayed]]/Table1[[#This Row],[GP TOT]]</f>
        <v>3.1434313725490202</v>
      </c>
      <c r="CJ36" s="57">
        <v>2023</v>
      </c>
      <c r="CK36" s="55">
        <f t="shared" si="25"/>
        <v>17</v>
      </c>
      <c r="CL36" s="55">
        <f t="shared" si="26"/>
        <v>4</v>
      </c>
      <c r="CM36" s="55">
        <f t="shared" si="27"/>
        <v>10</v>
      </c>
      <c r="CN36" s="55">
        <f t="shared" si="28"/>
        <v>8</v>
      </c>
      <c r="CO36" s="55">
        <f t="shared" si="29"/>
        <v>9</v>
      </c>
      <c r="CP36" s="55">
        <f t="shared" si="30"/>
        <v>0</v>
      </c>
      <c r="CQ36" s="55">
        <f t="shared" si="31"/>
        <v>4</v>
      </c>
      <c r="CR36" s="55">
        <f t="shared" si="32"/>
        <v>8</v>
      </c>
      <c r="CS36" s="55">
        <f t="shared" si="33"/>
        <v>0</v>
      </c>
      <c r="CT36" s="55">
        <f t="shared" si="34"/>
        <v>3</v>
      </c>
      <c r="CU36" s="55">
        <f t="shared" si="35"/>
        <v>25</v>
      </c>
      <c r="CV36" s="55">
        <f t="shared" si="36"/>
        <v>13</v>
      </c>
      <c r="CW36" s="55">
        <f t="shared" si="37"/>
        <v>3</v>
      </c>
      <c r="CX36" s="55">
        <f t="shared" si="38"/>
        <v>-10</v>
      </c>
      <c r="CY36" s="55">
        <f t="shared" si="39"/>
        <v>22</v>
      </c>
      <c r="CZ36" s="55">
        <f t="shared" si="40"/>
        <v>28</v>
      </c>
      <c r="DA36" s="55">
        <f t="shared" si="41"/>
        <v>16</v>
      </c>
      <c r="DB36" s="55">
        <f t="shared" si="42"/>
        <v>12</v>
      </c>
      <c r="DC36" s="56">
        <f t="shared" si="43"/>
        <v>0.75</v>
      </c>
      <c r="DD36" s="56">
        <f t="shared" si="44"/>
        <v>2.5</v>
      </c>
      <c r="DE36" s="56">
        <f t="shared" si="45"/>
        <v>3.25</v>
      </c>
      <c r="DF36" s="56">
        <f t="shared" si="46"/>
        <v>0.3</v>
      </c>
      <c r="DG36" s="56">
        <f t="shared" si="47"/>
        <v>1.6470588235294117</v>
      </c>
      <c r="DH36" s="56">
        <f t="shared" si="48"/>
        <v>0.94117647058823528</v>
      </c>
    </row>
    <row r="37" spans="1:112" x14ac:dyDescent="0.25">
      <c r="A37" s="55" t="str">
        <f>IF(ISBLANK(Table2[[#This Row],[GAMENUM]]), "", _xlfn.TEXTJOIN("", 1, "2025030", Table2[[#This Row],[ROUNDNUM]], Table2[[#This Row],[SeriesID]], Table2[[#This Row],[GAMENUM]]))</f>
        <v>2025030185</v>
      </c>
      <c r="B37" s="63">
        <f>IF(ISBLANK(Table2[[#This Row],[GAMENUM]]), "", INDEX(Table3[SeriesID], MATCH(Table2[[#This Row],[SERIESCODE]],Table3[SeriesCode],0)))</f>
        <v>8</v>
      </c>
      <c r="C37" s="57" t="str">
        <f t="shared" si="56"/>
        <v>Tuesday</v>
      </c>
      <c r="D37" s="59">
        <v>46140</v>
      </c>
      <c r="E37" s="60">
        <v>0.95833333333333337</v>
      </c>
      <c r="F37" s="59" t="s">
        <v>38</v>
      </c>
      <c r="G37" s="62">
        <v>1</v>
      </c>
      <c r="H37" s="63" t="s">
        <v>44</v>
      </c>
      <c r="I37" s="62">
        <v>5</v>
      </c>
      <c r="J37" s="85" t="str">
        <f>INDEX(Table3[TopSeed],MATCH(Table2[[#This Row],[SERIESCODE]], Table3[SeriesCode], 0))</f>
        <v>EDM</v>
      </c>
      <c r="K37" s="86" t="str">
        <f>INDEX(Table3[LowSeed],MATCH(Table2[[#This Row],[SERIESCODE]], Table3[SeriesCode], 0))</f>
        <v>ANA</v>
      </c>
      <c r="L37" s="62">
        <v>2</v>
      </c>
      <c r="M37" s="62">
        <v>3</v>
      </c>
      <c r="N37" s="87" t="str">
        <f>IF(Table2[[#This Row],[GAMENUM]] = 6, Table2[[#This Row],[TOPSEED]], IF(Table2[[#This Row],[GAMENUM]] = 4, Table2[[#This Row],[TOPSEED]], IF(Table2[[#This Row],[GAMENUM]] = 3, Table2[[#This Row],[TOPSEED]], Table2[LOWSEED])))</f>
        <v>ANA</v>
      </c>
      <c r="O37" s="67" t="str">
        <f>IF(Table2[[#This Row],[GAMENUM]] = 6, Table2[[#This Row],[LOWSEED]], IF(Table2[[#This Row],[GAMENUM]] = 4, Table2[[#This Row],[LOWSEED]], IF(Table2[[#This Row],[GAMENUM]] = 3, Table2[[#This Row],[LOWSEED]], Table2[TOPSEED])))</f>
        <v>EDM</v>
      </c>
      <c r="P37" s="67" t="str">
        <f t="shared" si="57"/>
        <v>EDM</v>
      </c>
      <c r="Q37" s="62">
        <v>3</v>
      </c>
      <c r="R37" s="62">
        <v>4</v>
      </c>
      <c r="S37" s="63" t="s">
        <v>154</v>
      </c>
      <c r="T37" s="59">
        <v>46140</v>
      </c>
      <c r="U37" s="62">
        <v>1</v>
      </c>
      <c r="V37" s="62">
        <v>4</v>
      </c>
      <c r="W37" s="62">
        <v>0</v>
      </c>
      <c r="X37" s="62">
        <v>3600</v>
      </c>
      <c r="Y37" s="63">
        <f>Table2[[#This Row],[TimeInSeconds]]/1200</f>
        <v>3</v>
      </c>
      <c r="Z37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37" s="67" t="str">
        <f t="shared" si="58"/>
        <v>EDM</v>
      </c>
      <c r="AB37" s="63">
        <f>IF(ISBLANK(Table2[[#This Row],[OTROUNDNUM]]), "", Table2[[#This Row],[PAWAYSCORE]]-Table2[[#This Row],[AAWAYSCORE]])</f>
        <v>2</v>
      </c>
      <c r="AC37" s="63">
        <f>IF(ISBLANK(Table2[[#This Row],[OTROUNDNUM]]), "", Table2[[#This Row],[PHOMESCORE]]-Table2[[#This Row],[AHOMESCORE]])</f>
        <v>0</v>
      </c>
      <c r="AD37" s="63">
        <f>_xlfn.IFS(ISBLANK(Table2[[#This Row],[GAMENUM]]), " ", 1, IF((Table2[[#This Row],[TOPSEEDWINS]]+Table2[[#This Row],[LOWSEEDWINS]]) &lt;&gt; Table2[[#This Row],[GAMENUM]], 0, 1))</f>
        <v>1</v>
      </c>
      <c r="AE37" s="63">
        <f>_xlfn.IFS(ISBLANK(Table2[[#This Row],[GAMENUM]]),"", Table2[[#This Row],[GameOver]]=0,"",Table2[[#This Row],[AAWAYSCORE]]&gt;Table2[[#This Row],[AHOMESCORE]], 1,1,0)</f>
        <v>0</v>
      </c>
      <c r="AF37" s="63">
        <f>_xlfn.IFS(ISBLANK(Table2[[#This Row],[GAMENUM]]),"",Table2[[#This Row],[GameOver]]=0,"",Table2[[#This Row],[AAWAYSCORE]]&lt;Table2[[#This Row],[AHOMESCORE]], 1,1,0)</f>
        <v>1</v>
      </c>
      <c r="AG37" s="63">
        <f>_xlfn.IFS(ISBLANK(Table2[[#This Row],[GAMENUM]]),"",Table2[[#This Row],[GameOver]]=0,"",Table2[[#This Row],[OTROUNDNUM]]&gt;0,1,1,0)</f>
        <v>0</v>
      </c>
      <c r="AH37" s="63">
        <f>_xlfn.IFS(ISBLANK(Table2[[#This Row],[GAMENUM]]),"",Table2[[#This Row],[GameOver]]=0,"",Table2[[#This Row],[AAWAYSCORE]]=0,1,1,0)</f>
        <v>0</v>
      </c>
      <c r="AI37" s="63">
        <f>_xlfn.IFS(ISBLANK(Table2[[#This Row],[GAMENUM]]),"", Table2[[#This Row],[GameOver]]=0,"",Table2[[#This Row],[AHOMESCORE]]=0,1,1,0)</f>
        <v>0</v>
      </c>
      <c r="AJ37" s="57"/>
      <c r="AK37" s="65"/>
      <c r="AL37" s="11"/>
      <c r="AM37" s="11"/>
      <c r="AN37" s="16"/>
      <c r="AO37" s="11"/>
      <c r="AP37" s="11"/>
      <c r="AQ37" s="42"/>
      <c r="AR37" s="118" t="s">
        <v>172</v>
      </c>
      <c r="AS37" s="137">
        <f>SUMIFS(Table2[Periods], Table2[TOPSEED], Table4[[#This Row],[Team]], Table2[ROUNDNUM], 1)+SUMIFS(Table2[Periods], Table2[LOWSEED], Table4[[#This Row],[Team]], Table2[ROUNDNUM],1)</f>
        <v>20.23</v>
      </c>
      <c r="AT37" s="57">
        <f>SUMIFS(Table2[TimeInSeconds], Table2[TOPSEED], Table4[[#This Row],[Team]], Table2[ROUNDNUM], 1)+SUMIFS(Table2[TimeInSeconds], Table2[LOWSEED], Table4[[#This Row],[Team]], Table2[ROUNDNUM],1)</f>
        <v>24276</v>
      </c>
      <c r="AU37" s="137">
        <f>Table4[[#This Row],[SecondsPlayed]]/3600</f>
        <v>6.7433333333333332</v>
      </c>
      <c r="AV37" s="57"/>
      <c r="AW37" s="57">
        <f>COUNTIFS(Table2[LOWSEED], AR37, Table2[ROUNDNUM], 1, Table2[GameOver], 1) + COUNTIFS(Table2[TOPSEED], AR37, Table2[ROUNDNUM], 1, Table2[GameOver], 1)</f>
        <v>6</v>
      </c>
      <c r="AX37" s="57">
        <f>COUNTIFS(Table2[LOWSEED], AR37, Table2[ROUNDNUM], 2, Table2[GameOver], 1) + COUNTIFS(Table2[TOPSEED], AR37, Table2[ROUNDNUM], 2, Table2[GameOver], 1)</f>
        <v>0</v>
      </c>
      <c r="AY37" s="57">
        <f>COUNTIFS(Table2[LOWSEED], AR37, Table2[ROUNDNUM], 3, Table2[GameOver], 1) + COUNTIFS(Table2[TOPSEED], AR37, Table2[ROUNDNUM], 3, Table2[GameOver], 1)</f>
        <v>0</v>
      </c>
      <c r="AZ37" s="57">
        <f>COUNTIFS(Table2[LOWSEED], AR37, Table2[ROUNDNUM], 4, Table2[GameOver], 1) + COUNTIFS(Table2[TOPSEED], AR37, Table2[ROUNDNUM], 4, Table2[GameOver], 1)</f>
        <v>0</v>
      </c>
      <c r="BA37" s="57">
        <f t="shared" si="49"/>
        <v>6</v>
      </c>
      <c r="BB37" s="57">
        <f t="shared" si="8"/>
        <v>5</v>
      </c>
      <c r="BC37" s="57">
        <f t="shared" si="9"/>
        <v>3</v>
      </c>
      <c r="BD37" s="57">
        <f t="shared" si="10"/>
        <v>3</v>
      </c>
      <c r="BE37" s="57">
        <f t="shared" si="11"/>
        <v>3</v>
      </c>
      <c r="BF37" s="57">
        <f t="shared" si="12"/>
        <v>0</v>
      </c>
      <c r="BG37" s="57">
        <f t="shared" si="13"/>
        <v>5</v>
      </c>
      <c r="BH37" s="57">
        <f t="shared" si="14"/>
        <v>3</v>
      </c>
      <c r="BI37" s="57">
        <f t="shared" si="15"/>
        <v>0</v>
      </c>
      <c r="BJ37" s="57">
        <f t="shared" si="16"/>
        <v>5</v>
      </c>
      <c r="BK37" s="57">
        <f t="shared" si="17"/>
        <v>3</v>
      </c>
      <c r="BL37" s="57">
        <f t="shared" si="18"/>
        <v>1</v>
      </c>
      <c r="BM37" s="57">
        <f t="shared" si="19"/>
        <v>9</v>
      </c>
      <c r="BN37" s="57">
        <f t="shared" si="20"/>
        <v>15</v>
      </c>
      <c r="BO37" s="57">
        <f t="shared" si="21"/>
        <v>1</v>
      </c>
      <c r="BP37" s="57">
        <f t="shared" si="50"/>
        <v>-14</v>
      </c>
      <c r="BQ37" s="57">
        <f t="shared" si="50"/>
        <v>8</v>
      </c>
      <c r="BR37" s="57">
        <f t="shared" si="51"/>
        <v>10</v>
      </c>
      <c r="BS37" s="57">
        <f t="shared" si="52"/>
        <v>16</v>
      </c>
      <c r="BT37" s="57">
        <f t="shared" si="53"/>
        <v>-6</v>
      </c>
      <c r="BU37" s="57">
        <f t="shared" si="54"/>
        <v>0.2</v>
      </c>
      <c r="BV37" s="57">
        <f t="shared" si="54"/>
        <v>3</v>
      </c>
      <c r="BW37" s="57">
        <f t="shared" si="55"/>
        <v>3</v>
      </c>
      <c r="BX37" s="57">
        <f t="shared" si="55"/>
        <v>0.33333333333333331</v>
      </c>
      <c r="BY37" s="57">
        <f t="shared" si="22"/>
        <v>1.6666666666666667</v>
      </c>
      <c r="BZ37" s="57">
        <f t="shared" si="23"/>
        <v>2.6666666666666665</v>
      </c>
      <c r="CA37" s="65"/>
      <c r="CB37" s="155">
        <v>15</v>
      </c>
      <c r="CC37" s="118" t="str">
        <f t="shared" si="24"/>
        <v>UTA</v>
      </c>
      <c r="CD37" s="139">
        <f>SUMIFS(Table2[Periods], Table2[TOPSEED], Table1[[#This Row],[Team]])+SUMIFS(Table2[Periods], Table2[LOWSEED], Table1[[#This Row],[Team]])</f>
        <v>20.23</v>
      </c>
      <c r="CE37" s="55">
        <f>SUMIFS(Table2[TimeInSeconds], Table2[TOPSEED], Table1[[#This Row],[Team]])+SUMIFS(Table2[TimeInSeconds], Table2[LOWSEED], Table1[[#This Row],[Team]])</f>
        <v>24276</v>
      </c>
      <c r="CF37" s="57">
        <f>Table1[[#This Row],[SecondsPlayed]]/3600</f>
        <v>6.7433333333333332</v>
      </c>
      <c r="CG37" s="57">
        <f>MAX(_xlfn.MAXIFS(Table2[DATE],Table2[LOWSEED],Table1[[#This Row],[Team]]) + _xlfn.MAXIFS(Table2[DATE],Table2[TOPSEED],Table1[[#This Row],[Team]])) - MIN(_xlfn.MINIFS(Table2[DATE],Table2[LOWSEED],Table1[[#This Row],[Team]]) + _xlfn.MINIFS(Table2[DATE],Table2[TOPSEED],Table1[[#This Row],[Team]]))</f>
        <v>12</v>
      </c>
      <c r="CH37" s="56">
        <f>Table1[[#This Row],[PeriodsPlayed]]/Table1[[#This Row],[DaysPast]]</f>
        <v>1.6858333333333333</v>
      </c>
      <c r="CI37" s="56">
        <f>Table1[[#This Row],[PeriodsPlayed]]/Table1[[#This Row],[GP TOT]]</f>
        <v>3.3716666666666666</v>
      </c>
      <c r="CJ37" s="57"/>
      <c r="CK37" s="55">
        <f t="shared" si="25"/>
        <v>6</v>
      </c>
      <c r="CL37" s="55">
        <f t="shared" si="26"/>
        <v>5</v>
      </c>
      <c r="CM37" s="55">
        <f t="shared" si="27"/>
        <v>3</v>
      </c>
      <c r="CN37" s="55">
        <f t="shared" si="28"/>
        <v>3</v>
      </c>
      <c r="CO37" s="55">
        <f t="shared" si="29"/>
        <v>3</v>
      </c>
      <c r="CP37" s="55">
        <f t="shared" si="30"/>
        <v>0</v>
      </c>
      <c r="CQ37" s="55">
        <f t="shared" si="31"/>
        <v>5</v>
      </c>
      <c r="CR37" s="55">
        <f t="shared" si="32"/>
        <v>3</v>
      </c>
      <c r="CS37" s="55">
        <f t="shared" si="33"/>
        <v>0</v>
      </c>
      <c r="CT37" s="55">
        <f t="shared" si="34"/>
        <v>1</v>
      </c>
      <c r="CU37" s="55">
        <f t="shared" si="35"/>
        <v>9</v>
      </c>
      <c r="CV37" s="55">
        <f t="shared" si="36"/>
        <v>15</v>
      </c>
      <c r="CW37" s="55">
        <f t="shared" si="37"/>
        <v>1</v>
      </c>
      <c r="CX37" s="55">
        <f t="shared" si="38"/>
        <v>-14</v>
      </c>
      <c r="CY37" s="55">
        <f t="shared" si="39"/>
        <v>8</v>
      </c>
      <c r="CZ37" s="55">
        <f t="shared" si="40"/>
        <v>10</v>
      </c>
      <c r="DA37" s="55">
        <f t="shared" si="41"/>
        <v>16</v>
      </c>
      <c r="DB37" s="55">
        <f t="shared" si="42"/>
        <v>-6</v>
      </c>
      <c r="DC37" s="56">
        <f t="shared" si="43"/>
        <v>0.2</v>
      </c>
      <c r="DD37" s="56">
        <f t="shared" si="44"/>
        <v>3</v>
      </c>
      <c r="DE37" s="56">
        <f t="shared" si="45"/>
        <v>3</v>
      </c>
      <c r="DF37" s="56">
        <f t="shared" si="46"/>
        <v>0.33333333333333331</v>
      </c>
      <c r="DG37" s="56">
        <f t="shared" si="47"/>
        <v>1.6666666666666667</v>
      </c>
      <c r="DH37" s="56">
        <f t="shared" si="48"/>
        <v>2.6666666666666665</v>
      </c>
    </row>
    <row r="38" spans="1:112" x14ac:dyDescent="0.25">
      <c r="A38" s="55" t="str">
        <f>IF(ISBLANK(Table2[[#This Row],[GAMENUM]]), "", _xlfn.TEXTJOIN("", 1, "2025030", Table2[[#This Row],[ROUNDNUM]], Table2[[#This Row],[SeriesID]], Table2[[#This Row],[GAMENUM]]))</f>
        <v>2025030125</v>
      </c>
      <c r="B38" s="63">
        <f>IF(ISBLANK(Table2[[#This Row],[GAMENUM]]), "", INDEX(Table3[SeriesID], MATCH(Table2[[#This Row],[SERIESCODE]],Table3[SeriesCode],0)))</f>
        <v>2</v>
      </c>
      <c r="C38" s="57" t="str">
        <f t="shared" si="56"/>
        <v>Wednesday</v>
      </c>
      <c r="D38" s="59">
        <v>46141</v>
      </c>
      <c r="E38" s="60">
        <v>0.83333333333333337</v>
      </c>
      <c r="F38" s="59" t="s">
        <v>16</v>
      </c>
      <c r="G38" s="62">
        <v>1</v>
      </c>
      <c r="H38" s="63" t="s">
        <v>31</v>
      </c>
      <c r="I38" s="62">
        <v>5</v>
      </c>
      <c r="J38" s="96" t="str">
        <f>INDEX(Table3[TopSeed],MATCH(Table2[[#This Row],[SERIESCODE]], Table3[SeriesCode], 0))</f>
        <v>TBL</v>
      </c>
      <c r="K38" s="97" t="str">
        <f>INDEX(Table3[LowSeed],MATCH(Table2[[#This Row],[SERIESCODE]], Table3[SeriesCode], 0))</f>
        <v>MTL</v>
      </c>
      <c r="L38" s="62">
        <v>2</v>
      </c>
      <c r="M38" s="62">
        <v>3</v>
      </c>
      <c r="N38" s="79" t="str">
        <f>IF(Table2[[#This Row],[GAMENUM]] = 6, Table2[[#This Row],[TOPSEED]], IF(Table2[[#This Row],[GAMENUM]] = 4, Table2[[#This Row],[TOPSEED]], IF(Table2[[#This Row],[GAMENUM]] = 3, Table2[[#This Row],[TOPSEED]], Table2[LOWSEED])))</f>
        <v>MTL</v>
      </c>
      <c r="O38" s="77" t="str">
        <f>IF(Table2[[#This Row],[GAMENUM]] = 6, Table2[[#This Row],[LOWSEED]], IF(Table2[[#This Row],[GAMENUM]] = 4, Table2[[#This Row],[LOWSEED]], IF(Table2[[#This Row],[GAMENUM]] = 3, Table2[[#This Row],[LOWSEED]], Table2[TOPSEED])))</f>
        <v>TBL</v>
      </c>
      <c r="P38" s="77" t="str">
        <f t="shared" si="57"/>
        <v>TBL</v>
      </c>
      <c r="Q38" s="62">
        <v>2</v>
      </c>
      <c r="R38" s="62">
        <v>3</v>
      </c>
      <c r="S38" s="63" t="s">
        <v>154</v>
      </c>
      <c r="T38" s="59">
        <v>46141</v>
      </c>
      <c r="U38" s="62">
        <v>3</v>
      </c>
      <c r="V38" s="62">
        <v>2</v>
      </c>
      <c r="W38" s="62">
        <v>0</v>
      </c>
      <c r="X38" s="62">
        <v>3600</v>
      </c>
      <c r="Y38" s="63">
        <f>Table2[[#This Row],[TimeInSeconds]]/1200</f>
        <v>3</v>
      </c>
      <c r="Z38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38" s="79" t="str">
        <f t="shared" si="58"/>
        <v>MTL</v>
      </c>
      <c r="AB38" s="63">
        <f>IF(ISBLANK(Table2[[#This Row],[OTROUNDNUM]]), "", Table2[[#This Row],[PAWAYSCORE]]-Table2[[#This Row],[AAWAYSCORE]])</f>
        <v>-1</v>
      </c>
      <c r="AC38" s="63">
        <f>IF(ISBLANK(Table2[[#This Row],[OTROUNDNUM]]), "", Table2[[#This Row],[PHOMESCORE]]-Table2[[#This Row],[AHOMESCORE]])</f>
        <v>1</v>
      </c>
      <c r="AD38" s="63">
        <f>_xlfn.IFS(ISBLANK(Table2[[#This Row],[GAMENUM]]), " ", 1, IF((Table2[[#This Row],[TOPSEEDWINS]]+Table2[[#This Row],[LOWSEEDWINS]]) &lt;&gt; Table2[[#This Row],[GAMENUM]], 0, 1))</f>
        <v>1</v>
      </c>
      <c r="AE38" s="63">
        <f>_xlfn.IFS(ISBLANK(Table2[[#This Row],[GAMENUM]]),"", Table2[[#This Row],[GameOver]]=0,"",Table2[[#This Row],[AAWAYSCORE]]&gt;Table2[[#This Row],[AHOMESCORE]], 1,1,0)</f>
        <v>1</v>
      </c>
      <c r="AF38" s="63">
        <f>_xlfn.IFS(ISBLANK(Table2[[#This Row],[GAMENUM]]),"",Table2[[#This Row],[GameOver]]=0,"",Table2[[#This Row],[AAWAYSCORE]]&lt;Table2[[#This Row],[AHOMESCORE]], 1,1,0)</f>
        <v>0</v>
      </c>
      <c r="AG38" s="63">
        <f>_xlfn.IFS(ISBLANK(Table2[[#This Row],[GAMENUM]]),"",Table2[[#This Row],[GameOver]]=0,"",Table2[[#This Row],[OTROUNDNUM]]&gt;0,1,1,0)</f>
        <v>0</v>
      </c>
      <c r="AH38" s="63">
        <f>_xlfn.IFS(ISBLANK(Table2[[#This Row],[GAMENUM]]),"",Table2[[#This Row],[GameOver]]=0,"",Table2[[#This Row],[AAWAYSCORE]]=0,1,1,0)</f>
        <v>0</v>
      </c>
      <c r="AI38" s="63">
        <f>_xlfn.IFS(ISBLANK(Table2[[#This Row],[GAMENUM]]),"", Table2[[#This Row],[GameOver]]=0,"",Table2[[#This Row],[AHOMESCORE]]=0,1,1,0)</f>
        <v>0</v>
      </c>
      <c r="AJ38" s="57"/>
      <c r="AK38" s="65"/>
      <c r="AL38" s="11"/>
      <c r="AM38" s="11"/>
      <c r="AN38" s="16"/>
      <c r="AO38" s="11"/>
      <c r="AP38" s="11"/>
      <c r="AQ38" s="42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11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76"/>
    </row>
    <row r="39" spans="1:112" x14ac:dyDescent="0.25">
      <c r="A39" s="55" t="str">
        <f>IF(ISBLANK(Table2[[#This Row],[GAMENUM]]), "", _xlfn.TEXTJOIN("", 1, "2025030", Table2[[#This Row],[ROUNDNUM]], Table2[[#This Row],[SeriesID]], Table2[[#This Row],[GAMENUM]]))</f>
        <v>2025030146</v>
      </c>
      <c r="B39" s="63">
        <f>IF(ISBLANK(Table2[[#This Row],[GAMENUM]]), "", INDEX(Table3[SeriesID], MATCH(Table2[[#This Row],[SERIESCODE]],Table3[SeriesCode],0)))</f>
        <v>4</v>
      </c>
      <c r="C39" s="57" t="str">
        <f t="shared" si="56"/>
        <v>Wednesday</v>
      </c>
      <c r="D39" s="59">
        <v>46141</v>
      </c>
      <c r="E39" s="60">
        <v>0.85416666666666663</v>
      </c>
      <c r="F39" s="59" t="s">
        <v>16</v>
      </c>
      <c r="G39" s="62">
        <v>1</v>
      </c>
      <c r="H39" s="63" t="s">
        <v>17</v>
      </c>
      <c r="I39" s="62">
        <v>6</v>
      </c>
      <c r="J39" s="93" t="str">
        <f>INDEX(Table3[TopSeed],MATCH(Table2[[#This Row],[SERIESCODE]], Table3[SeriesCode], 0))</f>
        <v>PIT</v>
      </c>
      <c r="K39" s="92" t="str">
        <f>INDEX(Table3[LowSeed],MATCH(Table2[[#This Row],[SERIESCODE]], Table3[SeriesCode], 0))</f>
        <v>PHI</v>
      </c>
      <c r="L39" s="62">
        <v>2</v>
      </c>
      <c r="M39" s="62">
        <v>4</v>
      </c>
      <c r="N39" s="31" t="str">
        <f>IF(Table2[[#This Row],[GAMENUM]] = 6, Table2[[#This Row],[TOPSEED]], IF(Table2[[#This Row],[GAMENUM]] = 4, Table2[[#This Row],[TOPSEED]], IF(Table2[[#This Row],[GAMENUM]] = 3, Table2[[#This Row],[TOPSEED]], Table2[LOWSEED])))</f>
        <v>PIT</v>
      </c>
      <c r="O39" s="32" t="str">
        <f>IF(Table2[[#This Row],[GAMENUM]] = 6, Table2[[#This Row],[LOWSEED]], IF(Table2[[#This Row],[GAMENUM]] = 4, Table2[[#This Row],[LOWSEED]], IF(Table2[[#This Row],[GAMENUM]] = 3, Table2[[#This Row],[LOWSEED]], Table2[TOPSEED])))</f>
        <v>PHI</v>
      </c>
      <c r="P39" s="31" t="str">
        <f t="shared" si="57"/>
        <v>PIT</v>
      </c>
      <c r="Q39" s="62">
        <v>3</v>
      </c>
      <c r="R39" s="62">
        <v>2</v>
      </c>
      <c r="S39" s="63" t="s">
        <v>154</v>
      </c>
      <c r="T39" s="59">
        <v>46141</v>
      </c>
      <c r="U39" s="62">
        <v>0</v>
      </c>
      <c r="V39" s="62">
        <v>1</v>
      </c>
      <c r="W39" s="62">
        <v>1</v>
      </c>
      <c r="X39" s="62">
        <v>4652</v>
      </c>
      <c r="Y39" s="63">
        <f>Table2[[#This Row],[TimeInSeconds]]/1200</f>
        <v>3.8766666666666665</v>
      </c>
      <c r="Z39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39" s="32" t="str">
        <f t="shared" si="58"/>
        <v>PHI</v>
      </c>
      <c r="AB39" s="63">
        <f>IF(ISBLANK(Table2[[#This Row],[OTROUNDNUM]]), "", Table2[[#This Row],[PAWAYSCORE]]-Table2[[#This Row],[AAWAYSCORE]])</f>
        <v>3</v>
      </c>
      <c r="AC39" s="63">
        <f>IF(ISBLANK(Table2[[#This Row],[OTROUNDNUM]]), "", Table2[[#This Row],[PHOMESCORE]]-Table2[[#This Row],[AHOMESCORE]])</f>
        <v>1</v>
      </c>
      <c r="AD39" s="63">
        <f>_xlfn.IFS(ISBLANK(Table2[[#This Row],[GAMENUM]]), " ", 1, IF((Table2[[#This Row],[TOPSEEDWINS]]+Table2[[#This Row],[LOWSEEDWINS]]) &lt;&gt; Table2[[#This Row],[GAMENUM]], 0, 1))</f>
        <v>1</v>
      </c>
      <c r="AE39" s="63">
        <f>_xlfn.IFS(ISBLANK(Table2[[#This Row],[GAMENUM]]),"", Table2[[#This Row],[GameOver]]=0,"",Table2[[#This Row],[AAWAYSCORE]]&gt;Table2[[#This Row],[AHOMESCORE]], 1,1,0)</f>
        <v>0</v>
      </c>
      <c r="AF39" s="63">
        <f>_xlfn.IFS(ISBLANK(Table2[[#This Row],[GAMENUM]]),"",Table2[[#This Row],[GameOver]]=0,"",Table2[[#This Row],[AAWAYSCORE]]&lt;Table2[[#This Row],[AHOMESCORE]], 1,1,0)</f>
        <v>1</v>
      </c>
      <c r="AG39" s="63">
        <f>_xlfn.IFS(ISBLANK(Table2[[#This Row],[GAMENUM]]),"",Table2[[#This Row],[GameOver]]=0,"",Table2[[#This Row],[OTROUNDNUM]]&gt;0,1,1,0)</f>
        <v>1</v>
      </c>
      <c r="AH39" s="63">
        <f>_xlfn.IFS(ISBLANK(Table2[[#This Row],[GAMENUM]]),"",Table2[[#This Row],[GameOver]]=0,"",Table2[[#This Row],[AAWAYSCORE]]=0,1,1,0)</f>
        <v>1</v>
      </c>
      <c r="AI39" s="63">
        <f>_xlfn.IFS(ISBLANK(Table2[[#This Row],[GAMENUM]]),"", Table2[[#This Row],[GameOver]]=0,"",Table2[[#This Row],[AHOMESCORE]]=0,1,1,0)</f>
        <v>0</v>
      </c>
      <c r="AJ39" s="57"/>
      <c r="AK39" s="65"/>
      <c r="AL39" s="11"/>
      <c r="AM39" s="11"/>
      <c r="AN39" s="16"/>
      <c r="AO39" s="11"/>
      <c r="AP39" s="11"/>
      <c r="AQ39" s="42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30"/>
    </row>
    <row r="40" spans="1:112" x14ac:dyDescent="0.25">
      <c r="A40" s="55" t="str">
        <f>IF(ISBLANK(Table2[[#This Row],[GAMENUM]]), "", _xlfn.TEXTJOIN("", 1, "2025030", Table2[[#This Row],[ROUNDNUM]], Table2[[#This Row],[SeriesID]], Table2[[#This Row],[GAMENUM]]))</f>
        <v>2025030175</v>
      </c>
      <c r="B40" s="63">
        <f>IF(ISBLANK(Table2[[#This Row],[GAMENUM]]), "", INDEX(Table3[SeriesID], MATCH(Table2[[#This Row],[SERIESCODE]],Table3[SeriesCode],0)))</f>
        <v>7</v>
      </c>
      <c r="C40" s="57" t="str">
        <f t="shared" si="56"/>
        <v>Wednesday</v>
      </c>
      <c r="D40" s="59">
        <v>46141</v>
      </c>
      <c r="E40" s="60">
        <v>0.95833333333333337</v>
      </c>
      <c r="F40" s="59" t="s">
        <v>38</v>
      </c>
      <c r="G40" s="62">
        <v>1</v>
      </c>
      <c r="H40" s="63" t="s">
        <v>42</v>
      </c>
      <c r="I40" s="62">
        <v>5</v>
      </c>
      <c r="J40" s="81" t="str">
        <f>INDEX(Table3[TopSeed],MATCH(Table2[[#This Row],[SERIESCODE]], Table3[SeriesCode], 0))</f>
        <v>VGK</v>
      </c>
      <c r="K40" s="82" t="str">
        <f>INDEX(Table3[LowSeed],MATCH(Table2[[#This Row],[SERIESCODE]], Table3[SeriesCode], 0))</f>
        <v>UTA</v>
      </c>
      <c r="L40" s="62">
        <v>3</v>
      </c>
      <c r="M40" s="62">
        <v>2</v>
      </c>
      <c r="N40" s="83" t="str">
        <f>IF(Table2[[#This Row],[GAMENUM]] = 6, Table2[[#This Row],[TOPSEED]], IF(Table2[[#This Row],[GAMENUM]] = 4, Table2[[#This Row],[TOPSEED]], IF(Table2[[#This Row],[GAMENUM]] = 3, Table2[[#This Row],[TOPSEED]], Table2[LOWSEED])))</f>
        <v>UTA</v>
      </c>
      <c r="O40" s="84" t="str">
        <f>IF(Table2[[#This Row],[GAMENUM]] = 6, Table2[[#This Row],[LOWSEED]], IF(Table2[[#This Row],[GAMENUM]] = 4, Table2[[#This Row],[LOWSEED]], IF(Table2[[#This Row],[GAMENUM]] = 3, Table2[[#This Row],[LOWSEED]], Table2[TOPSEED])))</f>
        <v>VGK</v>
      </c>
      <c r="P40" s="84" t="str">
        <f t="shared" si="57"/>
        <v>VGK</v>
      </c>
      <c r="Q40" s="62">
        <v>2</v>
      </c>
      <c r="R40" s="62">
        <v>3</v>
      </c>
      <c r="S40" s="63" t="s">
        <v>154</v>
      </c>
      <c r="T40" s="59">
        <v>46141</v>
      </c>
      <c r="U40" s="62">
        <v>4</v>
      </c>
      <c r="V40" s="62">
        <v>5</v>
      </c>
      <c r="W40" s="62">
        <v>2</v>
      </c>
      <c r="X40" s="62">
        <v>5128</v>
      </c>
      <c r="Y40" s="63">
        <f>Table2[[#This Row],[TimeInSeconds]]/1200</f>
        <v>4.2733333333333334</v>
      </c>
      <c r="Z40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40" s="84" t="str">
        <f t="shared" si="58"/>
        <v>VGK</v>
      </c>
      <c r="AB40" s="63">
        <f>IF(ISBLANK(Table2[[#This Row],[OTROUNDNUM]]), "", Table2[[#This Row],[PAWAYSCORE]]-Table2[[#This Row],[AAWAYSCORE]])</f>
        <v>-2</v>
      </c>
      <c r="AC40" s="63">
        <f>IF(ISBLANK(Table2[[#This Row],[OTROUNDNUM]]), "", Table2[[#This Row],[PHOMESCORE]]-Table2[[#This Row],[AHOMESCORE]])</f>
        <v>-2</v>
      </c>
      <c r="AD40" s="63">
        <f>_xlfn.IFS(ISBLANK(Table2[[#This Row],[GAMENUM]]), " ", 1, IF((Table2[[#This Row],[TOPSEEDWINS]]+Table2[[#This Row],[LOWSEEDWINS]]) &lt;&gt; Table2[[#This Row],[GAMENUM]], 0, 1))</f>
        <v>1</v>
      </c>
      <c r="AE40" s="63">
        <f>_xlfn.IFS(ISBLANK(Table2[[#This Row],[GAMENUM]]),"", Table2[[#This Row],[GameOver]]=0,"",Table2[[#This Row],[AAWAYSCORE]]&gt;Table2[[#This Row],[AHOMESCORE]], 1,1,0)</f>
        <v>0</v>
      </c>
      <c r="AF40" s="63">
        <f>_xlfn.IFS(ISBLANK(Table2[[#This Row],[GAMENUM]]),"",Table2[[#This Row],[GameOver]]=0,"",Table2[[#This Row],[AAWAYSCORE]]&lt;Table2[[#This Row],[AHOMESCORE]], 1,1,0)</f>
        <v>1</v>
      </c>
      <c r="AG40" s="63">
        <f>_xlfn.IFS(ISBLANK(Table2[[#This Row],[GAMENUM]]),"",Table2[[#This Row],[GameOver]]=0,"",Table2[[#This Row],[OTROUNDNUM]]&gt;0,1,1,0)</f>
        <v>1</v>
      </c>
      <c r="AH40" s="63">
        <f>_xlfn.IFS(ISBLANK(Table2[[#This Row],[GAMENUM]]),"",Table2[[#This Row],[GameOver]]=0,"",Table2[[#This Row],[AAWAYSCORE]]=0,1,1,0)</f>
        <v>0</v>
      </c>
      <c r="AI40" s="63">
        <f>_xlfn.IFS(ISBLANK(Table2[[#This Row],[GAMENUM]]),"", Table2[[#This Row],[GameOver]]=0,"",Table2[[#This Row],[AHOMESCORE]]=0,1,1,0)</f>
        <v>0</v>
      </c>
      <c r="AJ40" s="57"/>
      <c r="AK40" s="65"/>
      <c r="AL40" s="11"/>
      <c r="AM40" s="11"/>
      <c r="AN40" s="16"/>
      <c r="AO40" s="11"/>
      <c r="AP40" s="11"/>
      <c r="AQ40" s="42"/>
      <c r="AR40" s="36" t="s">
        <v>87</v>
      </c>
      <c r="AS40" s="36" t="s">
        <v>194</v>
      </c>
      <c r="AT40" s="36" t="s">
        <v>195</v>
      </c>
      <c r="AU40" s="36" t="s">
        <v>196</v>
      </c>
      <c r="AV40" s="36" t="s">
        <v>193</v>
      </c>
      <c r="AW40" s="36" t="s">
        <v>57</v>
      </c>
      <c r="AX40" s="36" t="s">
        <v>58</v>
      </c>
      <c r="AY40" s="36" t="s">
        <v>59</v>
      </c>
      <c r="AZ40" s="36" t="s">
        <v>60</v>
      </c>
      <c r="BA40" s="36" t="s">
        <v>61</v>
      </c>
      <c r="BB40" s="36" t="s">
        <v>62</v>
      </c>
      <c r="BC40" s="36" t="s">
        <v>63</v>
      </c>
      <c r="BD40" s="36" t="s">
        <v>64</v>
      </c>
      <c r="BE40" s="36" t="s">
        <v>65</v>
      </c>
      <c r="BF40" s="36" t="s">
        <v>66</v>
      </c>
      <c r="BG40" s="36" t="s">
        <v>67</v>
      </c>
      <c r="BH40" s="36" t="s">
        <v>68</v>
      </c>
      <c r="BI40" s="36" t="s">
        <v>69</v>
      </c>
      <c r="BJ40" s="36" t="s">
        <v>103</v>
      </c>
      <c r="BK40" s="36" t="s">
        <v>104</v>
      </c>
      <c r="BL40" s="36" t="s">
        <v>105</v>
      </c>
      <c r="BM40" s="36" t="s">
        <v>106</v>
      </c>
      <c r="BN40" s="36" t="s">
        <v>107</v>
      </c>
      <c r="BO40" s="36" t="s">
        <v>108</v>
      </c>
      <c r="BP40" s="36" t="s">
        <v>109</v>
      </c>
      <c r="BQ40" s="36" t="s">
        <v>110</v>
      </c>
      <c r="BR40" s="36" t="s">
        <v>111</v>
      </c>
      <c r="BS40" s="36" t="s">
        <v>112</v>
      </c>
      <c r="BT40" s="36" t="s">
        <v>113</v>
      </c>
      <c r="BU40" s="102" t="s">
        <v>114</v>
      </c>
      <c r="BV40" s="102" t="s">
        <v>115</v>
      </c>
      <c r="BW40" s="102" t="s">
        <v>116</v>
      </c>
      <c r="BX40" s="102" t="s">
        <v>117</v>
      </c>
      <c r="BY40" s="102" t="s">
        <v>118</v>
      </c>
      <c r="BZ40" s="102" t="s">
        <v>119</v>
      </c>
      <c r="CA40" s="65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30"/>
    </row>
    <row r="41" spans="1:112" x14ac:dyDescent="0.25">
      <c r="A41" s="55" t="str">
        <f>IF(ISBLANK(Table2[[#This Row],[GAMENUM]]), "", _xlfn.TEXTJOIN("", 1, "2025030", Table2[[#This Row],[ROUNDNUM]], Table2[[#This Row],[SeriesID]], Table2[[#This Row],[GAMENUM]]))</f>
        <v>2025030166</v>
      </c>
      <c r="B41" s="63">
        <f>IF(ISBLANK(Table2[[#This Row],[GAMENUM]]), "", INDEX(Table3[SeriesID], MATCH(Table2[[#This Row],[SERIESCODE]],Table3[SeriesCode],0)))</f>
        <v>6</v>
      </c>
      <c r="C41" s="57" t="str">
        <f t="shared" si="56"/>
        <v>Thursday</v>
      </c>
      <c r="D41" s="59">
        <v>46142</v>
      </c>
      <c r="E41" s="60">
        <v>0.85416666666666663</v>
      </c>
      <c r="F41" s="59" t="s">
        <v>38</v>
      </c>
      <c r="G41" s="62">
        <v>1</v>
      </c>
      <c r="H41" s="63" t="s">
        <v>39</v>
      </c>
      <c r="I41" s="62">
        <v>6</v>
      </c>
      <c r="J41" s="94" t="str">
        <f>INDEX(Table3[TopSeed],MATCH(Table2[[#This Row],[SERIESCODE]], Table3[SeriesCode], 0))</f>
        <v>DAL</v>
      </c>
      <c r="K41" s="95" t="str">
        <f>INDEX(Table3[LowSeed],MATCH(Table2[[#This Row],[SERIESCODE]], Table3[SeriesCode], 0))</f>
        <v>MIN</v>
      </c>
      <c r="L41" s="62">
        <v>2</v>
      </c>
      <c r="M41" s="62">
        <v>4</v>
      </c>
      <c r="N41" s="26" t="str">
        <f>IF(Table2[[#This Row],[GAMENUM]] = 6, Table2[[#This Row],[TOPSEED]], IF(Table2[[#This Row],[GAMENUM]] = 4, Table2[[#This Row],[TOPSEED]], IF(Table2[[#This Row],[GAMENUM]] = 3, Table2[[#This Row],[TOPSEED]], Table2[LOWSEED])))</f>
        <v>DAL</v>
      </c>
      <c r="O41" s="27" t="str">
        <f>IF(Table2[[#This Row],[GAMENUM]] = 6, Table2[[#This Row],[LOWSEED]], IF(Table2[[#This Row],[GAMENUM]] = 4, Table2[[#This Row],[LOWSEED]], IF(Table2[[#This Row],[GAMENUM]] = 3, Table2[[#This Row],[LOWSEED]], Table2[TOPSEED])))</f>
        <v>MIN</v>
      </c>
      <c r="P41" s="27" t="str">
        <f t="shared" si="57"/>
        <v>MIN</v>
      </c>
      <c r="Q41" s="62">
        <v>2</v>
      </c>
      <c r="R41" s="62">
        <v>3</v>
      </c>
      <c r="S41" s="63" t="s">
        <v>154</v>
      </c>
      <c r="T41" s="59">
        <v>46142</v>
      </c>
      <c r="U41" s="62">
        <v>2</v>
      </c>
      <c r="V41" s="62">
        <v>5</v>
      </c>
      <c r="W41" s="62">
        <v>0</v>
      </c>
      <c r="X41" s="62">
        <v>3600</v>
      </c>
      <c r="Y41" s="63">
        <f>Table2[[#This Row],[TimeInSeconds]]/1200</f>
        <v>3</v>
      </c>
      <c r="Z41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41" s="27" t="str">
        <f t="shared" si="58"/>
        <v>MIN</v>
      </c>
      <c r="AB41" s="63">
        <f>IF(ISBLANK(Table2[[#This Row],[OTROUNDNUM]]), "", Table2[[#This Row],[PAWAYSCORE]]-Table2[[#This Row],[AAWAYSCORE]])</f>
        <v>0</v>
      </c>
      <c r="AC41" s="63">
        <f>IF(ISBLANK(Table2[[#This Row],[OTROUNDNUM]]), "", Table2[[#This Row],[PHOMESCORE]]-Table2[[#This Row],[AHOMESCORE]])</f>
        <v>-2</v>
      </c>
      <c r="AD41" s="63">
        <f>_xlfn.IFS(ISBLANK(Table2[[#This Row],[GAMENUM]]), " ", 1, IF((Table2[[#This Row],[TOPSEEDWINS]]+Table2[[#This Row],[LOWSEEDWINS]]) &lt;&gt; Table2[[#This Row],[GAMENUM]], 0, 1))</f>
        <v>1</v>
      </c>
      <c r="AE41" s="63">
        <f>_xlfn.IFS(ISBLANK(Table2[[#This Row],[GAMENUM]]),"", Table2[[#This Row],[GameOver]]=0,"",Table2[[#This Row],[AAWAYSCORE]]&gt;Table2[[#This Row],[AHOMESCORE]], 1,1,0)</f>
        <v>0</v>
      </c>
      <c r="AF41" s="63">
        <f>_xlfn.IFS(ISBLANK(Table2[[#This Row],[GAMENUM]]),"",Table2[[#This Row],[GameOver]]=0,"",Table2[[#This Row],[AAWAYSCORE]]&lt;Table2[[#This Row],[AHOMESCORE]], 1,1,0)</f>
        <v>1</v>
      </c>
      <c r="AG41" s="63">
        <f>_xlfn.IFS(ISBLANK(Table2[[#This Row],[GAMENUM]]),"",Table2[[#This Row],[GameOver]]=0,"",Table2[[#This Row],[OTROUNDNUM]]&gt;0,1,1,0)</f>
        <v>0</v>
      </c>
      <c r="AH41" s="63">
        <f>_xlfn.IFS(ISBLANK(Table2[[#This Row],[GAMENUM]]),"",Table2[[#This Row],[GameOver]]=0,"",Table2[[#This Row],[AAWAYSCORE]]=0,1,1,0)</f>
        <v>0</v>
      </c>
      <c r="AI41" s="63">
        <f>_xlfn.IFS(ISBLANK(Table2[[#This Row],[GAMENUM]]),"", Table2[[#This Row],[GameOver]]=0,"",Table2[[#This Row],[AHOMESCORE]]=0,1,1,0)</f>
        <v>0</v>
      </c>
      <c r="AJ41" s="57"/>
      <c r="AK41" s="65"/>
      <c r="AL41" s="11"/>
      <c r="AM41" s="11"/>
      <c r="AN41" s="16"/>
      <c r="AO41" s="11"/>
      <c r="AP41" s="11"/>
      <c r="AQ41" s="42"/>
      <c r="AR41" s="119" t="s">
        <v>18</v>
      </c>
      <c r="AS41" s="137">
        <f>SUMIFS(Table2[Periods], Table2[TOPSEED], Table5[[#This Row],[Team]], Table2[ROUNDNUM], 2)+SUMIFS(Table2[Periods], Table2[LOWSEED], Table5[[#This Row],[Team]], Table2[ROUNDNUM],2)</f>
        <v>13.220833333333333</v>
      </c>
      <c r="AT41" s="55">
        <f>SUMIFS(Table2[TimeInSeconds], Table2[TOPSEED], Table5[[#This Row],[Team]], Table2[ROUNDNUM], 2)+SUMIFS(Table2[TimeInSeconds], Table2[LOWSEED], Table5[[#This Row],[Team]], Table2[ROUNDNUM],2)</f>
        <v>15865</v>
      </c>
      <c r="AU41" s="137">
        <f>Table5[[#This Row],[SecondsPlayed]]/3600</f>
        <v>4.4069444444444441</v>
      </c>
      <c r="AV41" s="136">
        <v>2006</v>
      </c>
      <c r="AW41" s="57">
        <f>COUNTIFS(Table2[TOPSEED], AR41, Table2[ROUNDNUM], 1, Table2[GameOver], 1) + COUNTIFS(Table2[LOWSEED], AR41,  Table2[ROUNDNUM], 1, Table2[GameOver], 1)</f>
        <v>4</v>
      </c>
      <c r="AX41" s="57">
        <f>COUNTIFS(Table2[LOWSEED], AR41, Table2[ROUNDNUM], 2, Table2[GameOver], 1) + COUNTIFS(Table2[TOPSEED], AR41, Table2[ROUNDNUM], 2, Table2[GameOver], 1)</f>
        <v>4</v>
      </c>
      <c r="AY41" s="57">
        <f>COUNTIFS(Table2[LOWSEED], AR41, Table2[ROUNDNUM], 3, Table2[GameOver], 1) + COUNTIFS(Table2[TOPSEED], AR41, Table2[ROUNDNUM], 3, Table2[GameOver], 1)</f>
        <v>5</v>
      </c>
      <c r="AZ41" s="57">
        <f>COUNTIFS(Table2[LOWSEED], AR41, Table2[ROUNDNUM], 4, Table2[GameOver], 1) + COUNTIFS(Table2[TOPSEED], AR41, Table2[ROUNDNUM], 4, Table2[GameOver], 1)</f>
        <v>1</v>
      </c>
      <c r="BA41" s="57">
        <f>AW41+AX41+AY41+AZ41</f>
        <v>14</v>
      </c>
      <c r="BB41" s="57">
        <f t="shared" ref="BB41:BB48" si="59">COUNTIF($P$2:$P$107, AR41)</f>
        <v>11</v>
      </c>
      <c r="BC41" s="57">
        <f t="shared" ref="BC41:BC48" si="60">COUNTIF($O$2:$O$107, AR41)</f>
        <v>9</v>
      </c>
      <c r="BD41" s="57">
        <f>BF41+BH41</f>
        <v>8</v>
      </c>
      <c r="BE41" s="57">
        <f>BA41-BD41</f>
        <v>6</v>
      </c>
      <c r="BF41" s="57">
        <f t="shared" ref="BF41:BF48" si="61">SUMPRODUCT(($P$2:$P$107=AR41)*($W$2:$W$107&gt;$V$2:$V$107))</f>
        <v>0</v>
      </c>
      <c r="BG41" s="57">
        <f t="shared" ref="BG41:BG48" si="62">SUMPRODUCT(($P$2:$P$107=AR22)*($W$2:$W$107&lt;$V$2:$V$107))</f>
        <v>11</v>
      </c>
      <c r="BH41" s="57">
        <f t="shared" ref="BH41:BH48" si="63">SUMPRODUCT(($O$2:$O$107=AR41)*($W$2:$W$107&lt;$V$2:$V$107))</f>
        <v>8</v>
      </c>
      <c r="BI41" s="57">
        <f t="shared" ref="BI41:BI48" si="64">SUMPRODUCT(($O$2:$O$107=AR41)*($W$2:$W$107&gt;$V$2:$V$107))</f>
        <v>0</v>
      </c>
      <c r="BJ41" s="57">
        <f t="shared" ref="BJ41:BJ48" si="65">COUNTIFS($P$2:$P$107,AR41,$G$2:$G$107,2)</f>
        <v>4</v>
      </c>
      <c r="BK41" s="57">
        <f t="shared" ref="BK41:BK48" si="66">COUNTIFS($O$2:$O$107,AR41,$G$2:$G$107,2)</f>
        <v>2</v>
      </c>
      <c r="BL41" s="57">
        <f t="shared" ref="BL41:BL48" si="67">SUMIFS($W$2:$W$107, $P$2:$P$107, AR41,$G$2:$G$107, 2)</f>
        <v>2</v>
      </c>
      <c r="BM41" s="57">
        <f t="shared" ref="BM41:BM48" si="68">SUMIFS($V$2:$V$107, $O$2:$O$107, AR41,$G$2:$G$107, 2)</f>
        <v>6</v>
      </c>
      <c r="BN41" s="57">
        <f t="shared" ref="BN41:BN48" si="69">SUMIFS($V$2:$V$107, $P$2:$P$107, AR41,$G$2:$G$107, 2)</f>
        <v>9</v>
      </c>
      <c r="BO41" s="57">
        <f t="shared" ref="BO41:BO48" si="70">SUMIFS($W$2:$W$107, $O$2:$O$107, AR41,$G$2:$G$107, 2)</f>
        <v>1</v>
      </c>
      <c r="BP41" s="57">
        <f>BL41-BN41</f>
        <v>-7</v>
      </c>
      <c r="BQ41" s="57">
        <f>BM41-BO41</f>
        <v>5</v>
      </c>
      <c r="BR41" s="57">
        <f>BL41+BM41</f>
        <v>8</v>
      </c>
      <c r="BS41" s="57">
        <f>BN41+BO41</f>
        <v>10</v>
      </c>
      <c r="BT41" s="57">
        <f>(BL41+BM41)-(BN41+BO41)</f>
        <v>-2</v>
      </c>
      <c r="BU41">
        <f>BL41/BJ41</f>
        <v>0.5</v>
      </c>
      <c r="BV41">
        <f>BM41/BK41</f>
        <v>3</v>
      </c>
      <c r="BW41">
        <f>BN41/BJ41</f>
        <v>2.25</v>
      </c>
      <c r="BX41">
        <f>BO41/BK41</f>
        <v>0.5</v>
      </c>
      <c r="BY41">
        <f>BR41/AW41</f>
        <v>2</v>
      </c>
      <c r="BZ41">
        <f>BS41/AW41</f>
        <v>2.5</v>
      </c>
      <c r="CA41" s="65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30"/>
    </row>
    <row r="42" spans="1:112" x14ac:dyDescent="0.25">
      <c r="A42" s="55" t="str">
        <f>IF(ISBLANK(Table2[[#This Row],[GAMENUM]]), "", _xlfn.TEXTJOIN("", 1, "2025030", Table2[[#This Row],[ROUNDNUM]], Table2[[#This Row],[SeriesID]], Table2[[#This Row],[GAMENUM]]))</f>
        <v>2025030186</v>
      </c>
      <c r="B42" s="63">
        <f>IF(ISBLANK(Table2[[#This Row],[GAMENUM]]), "", INDEX(Table3[SeriesID], MATCH(Table2[[#This Row],[SERIESCODE]],Table3[SeriesCode],0)))</f>
        <v>8</v>
      </c>
      <c r="C42" s="57" t="str">
        <f t="shared" si="56"/>
        <v>Thursday</v>
      </c>
      <c r="D42" s="59">
        <v>46142</v>
      </c>
      <c r="E42" s="60">
        <v>0.95833333333333337</v>
      </c>
      <c r="F42" s="59" t="s">
        <v>38</v>
      </c>
      <c r="G42" s="62">
        <v>1</v>
      </c>
      <c r="H42" s="63" t="s">
        <v>44</v>
      </c>
      <c r="I42" s="62">
        <v>6</v>
      </c>
      <c r="J42" s="85" t="str">
        <f>INDEX(Table3[TopSeed],MATCH(Table2[[#This Row],[SERIESCODE]], Table3[SeriesCode], 0))</f>
        <v>EDM</v>
      </c>
      <c r="K42" s="86" t="str">
        <f>INDEX(Table3[LowSeed],MATCH(Table2[[#This Row],[SERIESCODE]], Table3[SeriesCode], 0))</f>
        <v>ANA</v>
      </c>
      <c r="L42" s="62">
        <v>2</v>
      </c>
      <c r="M42" s="62">
        <v>4</v>
      </c>
      <c r="N42" s="67" t="str">
        <f>IF(Table2[[#This Row],[GAMENUM]] = 6, Table2[[#This Row],[TOPSEED]], IF(Table2[[#This Row],[GAMENUM]] = 4, Table2[[#This Row],[TOPSEED]], IF(Table2[[#This Row],[GAMENUM]] = 3, Table2[[#This Row],[TOPSEED]], Table2[LOWSEED])))</f>
        <v>EDM</v>
      </c>
      <c r="O42" s="87" t="str">
        <f>IF(Table2[[#This Row],[GAMENUM]] = 6, Table2[[#This Row],[LOWSEED]], IF(Table2[[#This Row],[GAMENUM]] = 4, Table2[[#This Row],[LOWSEED]], IF(Table2[[#This Row],[GAMENUM]] = 3, Table2[[#This Row],[LOWSEED]], Table2[TOPSEED])))</f>
        <v>ANA</v>
      </c>
      <c r="P42" s="67" t="str">
        <f t="shared" si="57"/>
        <v>EDM</v>
      </c>
      <c r="Q42" s="62">
        <v>4</v>
      </c>
      <c r="R42" s="62">
        <v>3</v>
      </c>
      <c r="S42" s="63" t="s">
        <v>154</v>
      </c>
      <c r="T42" s="59">
        <v>46142</v>
      </c>
      <c r="U42" s="62">
        <v>2</v>
      </c>
      <c r="V42" s="62">
        <v>5</v>
      </c>
      <c r="W42" s="62">
        <v>0</v>
      </c>
      <c r="X42" s="62">
        <v>3600</v>
      </c>
      <c r="Y42" s="63">
        <f>Table2[[#This Row],[TimeInSeconds]]/1200</f>
        <v>3</v>
      </c>
      <c r="Z42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42" s="87" t="str">
        <f t="shared" si="58"/>
        <v>ANA</v>
      </c>
      <c r="AB42" s="63">
        <f>IF(ISBLANK(Table2[[#This Row],[OTROUNDNUM]]), "", Table2[[#This Row],[PAWAYSCORE]]-Table2[[#This Row],[AAWAYSCORE]])</f>
        <v>2</v>
      </c>
      <c r="AC42" s="63">
        <f>IF(ISBLANK(Table2[[#This Row],[OTROUNDNUM]]), "", Table2[[#This Row],[PHOMESCORE]]-Table2[[#This Row],[AHOMESCORE]])</f>
        <v>-2</v>
      </c>
      <c r="AD42" s="63">
        <f>_xlfn.IFS(ISBLANK(Table2[[#This Row],[GAMENUM]]), " ", 1, IF((Table2[[#This Row],[TOPSEEDWINS]]+Table2[[#This Row],[LOWSEEDWINS]]) &lt;&gt; Table2[[#This Row],[GAMENUM]], 0, 1))</f>
        <v>1</v>
      </c>
      <c r="AE42" s="63">
        <f>_xlfn.IFS(ISBLANK(Table2[[#This Row],[GAMENUM]]),"", Table2[[#This Row],[GameOver]]=0,"",Table2[[#This Row],[AAWAYSCORE]]&gt;Table2[[#This Row],[AHOMESCORE]], 1,1,0)</f>
        <v>0</v>
      </c>
      <c r="AF42" s="63">
        <f>_xlfn.IFS(ISBLANK(Table2[[#This Row],[GAMENUM]]),"",Table2[[#This Row],[GameOver]]=0,"",Table2[[#This Row],[AAWAYSCORE]]&lt;Table2[[#This Row],[AHOMESCORE]], 1,1,0)</f>
        <v>1</v>
      </c>
      <c r="AG42" s="63">
        <f>_xlfn.IFS(ISBLANK(Table2[[#This Row],[GAMENUM]]),"",Table2[[#This Row],[GameOver]]=0,"",Table2[[#This Row],[OTROUNDNUM]]&gt;0,1,1,0)</f>
        <v>0</v>
      </c>
      <c r="AH42" s="63">
        <f>_xlfn.IFS(ISBLANK(Table2[[#This Row],[GAMENUM]]),"",Table2[[#This Row],[GameOver]]=0,"",Table2[[#This Row],[AAWAYSCORE]]=0,1,1,0)</f>
        <v>0</v>
      </c>
      <c r="AI42" s="63">
        <f>_xlfn.IFS(ISBLANK(Table2[[#This Row],[GAMENUM]]),"", Table2[[#This Row],[GameOver]]=0,"",Table2[[#This Row],[AHOMESCORE]]=0,1,1,0)</f>
        <v>0</v>
      </c>
      <c r="AJ42" s="57"/>
      <c r="AK42" s="65"/>
      <c r="AL42" s="11"/>
      <c r="AM42" s="11"/>
      <c r="AN42" s="11"/>
      <c r="AO42" s="11"/>
      <c r="AP42" s="11"/>
      <c r="AQ42" s="42"/>
      <c r="AR42" s="89" t="s">
        <v>169</v>
      </c>
      <c r="AS42" s="137">
        <f>SUMIFS(Table2[Periods], Table2[TOPSEED], Table5[[#This Row],[Team]], Table2[ROUNDNUM], 2)+SUMIFS(Table2[Periods], Table2[LOWSEED], Table5[[#This Row],[Team]], Table2[ROUNDNUM],2)</f>
        <v>13.220833333333333</v>
      </c>
      <c r="AT42" s="55">
        <f>SUMIFS(Table2[TimeInSeconds], Table2[TOPSEED], Table5[[#This Row],[Team]], Table2[ROUNDNUM], 2)+SUMIFS(Table2[TimeInSeconds], Table2[LOWSEED], Table5[[#This Row],[Team]], Table2[ROUNDNUM],2)</f>
        <v>15865</v>
      </c>
      <c r="AU42" s="137">
        <f>Table5[[#This Row],[SecondsPlayed]]/3600</f>
        <v>4.4069444444444441</v>
      </c>
      <c r="AV42" s="136">
        <v>1975</v>
      </c>
      <c r="AW42" s="57">
        <f>COUNTIFS(Table2[TOPSEED], AR42, Table2[ROUNDNUM], 1, Table2[GameOver], 1) + COUNTIFS(Table2[LOWSEED], AR42,  Table2[ROUNDNUM], 1, Table2[GameOver], 1)</f>
        <v>6</v>
      </c>
      <c r="AX42" s="57">
        <f>COUNTIFS(Table2[LOWSEED], AR42, Table2[ROUNDNUM], 2, Table2[GameOver], 1) + COUNTIFS(Table2[TOPSEED], AR42, Table2[ROUNDNUM], 2, Table2[GameOver], 1)</f>
        <v>4</v>
      </c>
      <c r="AY42" s="57">
        <f>COUNTIFS(Table2[LOWSEED], AR42, Table2[ROUNDNUM], 3, Table2[GameOver], 1) + COUNTIFS(Table2[TOPSEED], AR42, Table2[ROUNDNUM], 3, Table2[GameOver], 1)</f>
        <v>0</v>
      </c>
      <c r="AZ42" s="57">
        <f>COUNTIFS(Table2[LOWSEED], AR42, Table2[ROUNDNUM], 4, Table2[GameOver], 1) + COUNTIFS(Table2[TOPSEED], AR42, Table2[ROUNDNUM], 4, Table2[GameOver], 1)</f>
        <v>0</v>
      </c>
      <c r="BA42" s="57">
        <f t="shared" ref="BA42:BA48" si="71">AW42+AX42+AY42+AZ42</f>
        <v>10</v>
      </c>
      <c r="BB42" s="57">
        <f t="shared" si="59"/>
        <v>1</v>
      </c>
      <c r="BC42" s="57">
        <f t="shared" si="60"/>
        <v>5</v>
      </c>
      <c r="BD42" s="57">
        <f t="shared" ref="BD42:BD48" si="72">BF42+BH42</f>
        <v>4</v>
      </c>
      <c r="BE42" s="57">
        <f t="shared" ref="BE42:BE48" si="73">BA42-BD42</f>
        <v>6</v>
      </c>
      <c r="BF42" s="57">
        <f t="shared" si="61"/>
        <v>0</v>
      </c>
      <c r="BG42" s="57">
        <f t="shared" si="62"/>
        <v>1</v>
      </c>
      <c r="BH42" s="57">
        <f t="shared" si="63"/>
        <v>4</v>
      </c>
      <c r="BI42" s="57">
        <f t="shared" si="64"/>
        <v>0</v>
      </c>
      <c r="BJ42" s="57">
        <f t="shared" si="65"/>
        <v>0</v>
      </c>
      <c r="BK42" s="57">
        <f t="shared" si="66"/>
        <v>2</v>
      </c>
      <c r="BL42" s="57">
        <f t="shared" si="67"/>
        <v>0</v>
      </c>
      <c r="BM42" s="57">
        <f t="shared" si="68"/>
        <v>3</v>
      </c>
      <c r="BN42" s="57">
        <f t="shared" si="69"/>
        <v>0</v>
      </c>
      <c r="BO42" s="57">
        <f t="shared" si="70"/>
        <v>1</v>
      </c>
      <c r="BP42" s="57">
        <f t="shared" ref="BP42:BQ48" si="74">BL42-BN42</f>
        <v>0</v>
      </c>
      <c r="BQ42" s="57">
        <f t="shared" si="74"/>
        <v>2</v>
      </c>
      <c r="BR42" s="57">
        <f t="shared" ref="BR42:BR48" si="75">BL42+BM42</f>
        <v>3</v>
      </c>
      <c r="BS42" s="57">
        <f t="shared" ref="BS42:BS48" si="76">BN42+BO42</f>
        <v>1</v>
      </c>
      <c r="BT42" s="57">
        <f t="shared" ref="BT42:BT48" si="77">(BL42+BM42)-(BN42+BO42)</f>
        <v>2</v>
      </c>
      <c r="BU42" t="e">
        <f t="shared" ref="BU42:BV48" si="78">BL42/BJ42</f>
        <v>#DIV/0!</v>
      </c>
      <c r="BV42">
        <f t="shared" si="78"/>
        <v>1.5</v>
      </c>
      <c r="BW42" t="e">
        <f t="shared" ref="BW42:BX48" si="79">BN42/BJ42</f>
        <v>#DIV/0!</v>
      </c>
      <c r="BX42">
        <f t="shared" si="79"/>
        <v>0.5</v>
      </c>
      <c r="BY42" s="57">
        <f t="shared" ref="BY42:BY48" si="80">BR42/AW42</f>
        <v>0.5</v>
      </c>
      <c r="BZ42" s="57">
        <f t="shared" ref="BZ42:BZ48" si="81">BS42/AW42</f>
        <v>0.16666666666666666</v>
      </c>
      <c r="CA42" s="65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30"/>
    </row>
    <row r="43" spans="1:112" x14ac:dyDescent="0.25">
      <c r="A43" s="55" t="str">
        <f>IF(ISBLANK(Table2[[#This Row],[GAMENUM]]), "", _xlfn.TEXTJOIN("", 1, "2025030", Table2[[#This Row],[ROUNDNUM]], Table2[[#This Row],[SeriesID]], Table2[[#This Row],[GAMENUM]]))</f>
        <v>2025030126</v>
      </c>
      <c r="B43" s="63">
        <f>IF(ISBLANK(Table2[[#This Row],[GAMENUM]]), "", INDEX(Table3[SeriesID], MATCH(Table2[[#This Row],[SERIESCODE]],Table3[SeriesCode],0)))</f>
        <v>2</v>
      </c>
      <c r="C43" s="57" t="str">
        <f t="shared" si="56"/>
        <v>Friday</v>
      </c>
      <c r="D43" s="59">
        <v>46143</v>
      </c>
      <c r="E43" s="60">
        <v>0.83333333333333337</v>
      </c>
      <c r="F43" s="59" t="s">
        <v>16</v>
      </c>
      <c r="G43" s="62">
        <v>1</v>
      </c>
      <c r="H43" s="63" t="s">
        <v>31</v>
      </c>
      <c r="I43" s="62">
        <v>6</v>
      </c>
      <c r="J43" s="96" t="str">
        <f>INDEX(Table3[TopSeed],MATCH(Table2[[#This Row],[SERIESCODE]], Table3[SeriesCode], 0))</f>
        <v>TBL</v>
      </c>
      <c r="K43" s="97" t="str">
        <f>INDEX(Table3[LowSeed],MATCH(Table2[[#This Row],[SERIESCODE]], Table3[SeriesCode], 0))</f>
        <v>MTL</v>
      </c>
      <c r="L43" s="62">
        <v>3</v>
      </c>
      <c r="M43" s="62">
        <v>3</v>
      </c>
      <c r="N43" s="77" t="str">
        <f>IF(Table2[[#This Row],[GAMENUM]] = 6, Table2[[#This Row],[TOPSEED]], IF(Table2[[#This Row],[GAMENUM]] = 4, Table2[[#This Row],[TOPSEED]], IF(Table2[[#This Row],[GAMENUM]] = 3, Table2[[#This Row],[TOPSEED]], Table2[LOWSEED])))</f>
        <v>TBL</v>
      </c>
      <c r="O43" s="79" t="str">
        <f>IF(Table2[[#This Row],[GAMENUM]] = 6, Table2[[#This Row],[LOWSEED]], IF(Table2[[#This Row],[GAMENUM]] = 4, Table2[[#This Row],[LOWSEED]], IF(Table2[[#This Row],[GAMENUM]] = 3, Table2[[#This Row],[LOWSEED]], Table2[TOPSEED])))</f>
        <v>MTL</v>
      </c>
      <c r="P43" s="79" t="str">
        <f t="shared" si="57"/>
        <v>MTL</v>
      </c>
      <c r="Q43" s="62">
        <v>2</v>
      </c>
      <c r="R43" s="62">
        <v>3</v>
      </c>
      <c r="S43" s="63" t="s">
        <v>154</v>
      </c>
      <c r="T43" s="59">
        <v>46143</v>
      </c>
      <c r="U43" s="62">
        <v>1</v>
      </c>
      <c r="V43" s="62">
        <v>0</v>
      </c>
      <c r="W43" s="62">
        <v>1</v>
      </c>
      <c r="X43" s="62">
        <v>4143</v>
      </c>
      <c r="Y43" s="63">
        <f>Table2[[#This Row],[TimeInSeconds]]/1200</f>
        <v>3.4525000000000001</v>
      </c>
      <c r="Z43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43" s="77" t="str">
        <f t="shared" si="58"/>
        <v>TBL</v>
      </c>
      <c r="AB43" s="63">
        <f>IF(ISBLANK(Table2[[#This Row],[OTROUNDNUM]]), "", Table2[[#This Row],[PAWAYSCORE]]-Table2[[#This Row],[AAWAYSCORE]])</f>
        <v>1</v>
      </c>
      <c r="AC43" s="63">
        <f>IF(ISBLANK(Table2[[#This Row],[OTROUNDNUM]]), "", Table2[[#This Row],[PHOMESCORE]]-Table2[[#This Row],[AHOMESCORE]])</f>
        <v>3</v>
      </c>
      <c r="AD43" s="63">
        <f>_xlfn.IFS(ISBLANK(Table2[[#This Row],[GAMENUM]]), " ", 1, IF((Table2[[#This Row],[TOPSEEDWINS]]+Table2[[#This Row],[LOWSEEDWINS]]) &lt;&gt; Table2[[#This Row],[GAMENUM]], 0, 1))</f>
        <v>1</v>
      </c>
      <c r="AE43" s="63">
        <f>_xlfn.IFS(ISBLANK(Table2[[#This Row],[GAMENUM]]),"", Table2[[#This Row],[GameOver]]=0,"",Table2[[#This Row],[AAWAYSCORE]]&gt;Table2[[#This Row],[AHOMESCORE]], 1,1,0)</f>
        <v>1</v>
      </c>
      <c r="AF43" s="63">
        <f>_xlfn.IFS(ISBLANK(Table2[[#This Row],[GAMENUM]]),"",Table2[[#This Row],[GameOver]]=0,"",Table2[[#This Row],[AAWAYSCORE]]&lt;Table2[[#This Row],[AHOMESCORE]], 1,1,0)</f>
        <v>0</v>
      </c>
      <c r="AG43" s="63">
        <f>_xlfn.IFS(ISBLANK(Table2[[#This Row],[GAMENUM]]),"",Table2[[#This Row],[GameOver]]=0,"",Table2[[#This Row],[OTROUNDNUM]]&gt;0,1,1,0)</f>
        <v>1</v>
      </c>
      <c r="AH43" s="63">
        <f>_xlfn.IFS(ISBLANK(Table2[[#This Row],[GAMENUM]]),"",Table2[[#This Row],[GameOver]]=0,"",Table2[[#This Row],[AAWAYSCORE]]=0,1,1,0)</f>
        <v>0</v>
      </c>
      <c r="AI43" s="63">
        <f>_xlfn.IFS(ISBLANK(Table2[[#This Row],[GAMENUM]]),"", Table2[[#This Row],[GameOver]]=0,"",Table2[[#This Row],[AHOMESCORE]]=0,1,1,0)</f>
        <v>1</v>
      </c>
      <c r="AJ43" s="57"/>
      <c r="AK43" s="65"/>
      <c r="AL43" s="11"/>
      <c r="AM43" s="11"/>
      <c r="AN43" s="11"/>
      <c r="AO43" s="11"/>
      <c r="AP43" s="11"/>
      <c r="AQ43" s="42"/>
      <c r="AR43" s="44" t="s">
        <v>158</v>
      </c>
      <c r="AS43" s="137">
        <f>SUMIFS(Table2[Periods], Table2[TOPSEED], Table5[[#This Row],[Team]], Table2[ROUNDNUM], 2)+SUMIFS(Table2[Periods], Table2[LOWSEED], Table5[[#This Row],[Team]], Table2[ROUNDNUM],2)</f>
        <v>21.568333333333335</v>
      </c>
      <c r="AT43" s="55">
        <f>SUMIFS(Table2[TimeInSeconds], Table2[TOPSEED], Table5[[#This Row],[Team]], Table2[ROUNDNUM], 2)+SUMIFS(Table2[TimeInSeconds], Table2[LOWSEED], Table5[[#This Row],[Team]], Table2[ROUNDNUM],2)</f>
        <v>25882</v>
      </c>
      <c r="AU43" s="137">
        <f>Table5[[#This Row],[SecondsPlayed]]/3600</f>
        <v>7.1894444444444447</v>
      </c>
      <c r="AV43" s="136">
        <v>1993</v>
      </c>
      <c r="AW43" s="57">
        <f>COUNTIFS(Table2[TOPSEED], AR43, Table2[ROUNDNUM], 1, Table2[GameOver], 1) + COUNTIFS(Table2[LOWSEED], AR43,  Table2[ROUNDNUM], 1, Table2[GameOver], 1)</f>
        <v>7</v>
      </c>
      <c r="AX43" s="57">
        <f>COUNTIFS(Table2[LOWSEED], AR43, Table2[ROUNDNUM], 2, Table2[GameOver], 1) + COUNTIFS(Table2[TOPSEED], AR43, Table2[ROUNDNUM], 2, Table2[GameOver], 1)</f>
        <v>7</v>
      </c>
      <c r="AY43" s="57">
        <f>COUNTIFS(Table2[LOWSEED], AR43, Table2[ROUNDNUM], 3, Table2[GameOver], 1) + COUNTIFS(Table2[TOPSEED], AR43, Table2[ROUNDNUM], 3, Table2[GameOver], 1)</f>
        <v>5</v>
      </c>
      <c r="AZ43" s="57">
        <f>COUNTIFS(Table2[LOWSEED], AR43, Table2[ROUNDNUM], 4, Table2[GameOver], 1) + COUNTIFS(Table2[TOPSEED], AR43, Table2[ROUNDNUM], 4, Table2[GameOver], 1)</f>
        <v>0</v>
      </c>
      <c r="BA43" s="57">
        <f t="shared" si="71"/>
        <v>19</v>
      </c>
      <c r="BB43" s="57">
        <f t="shared" si="59"/>
        <v>10</v>
      </c>
      <c r="BC43" s="57">
        <f t="shared" si="60"/>
        <v>8</v>
      </c>
      <c r="BD43" s="57">
        <f t="shared" si="72"/>
        <v>7</v>
      </c>
      <c r="BE43" s="57">
        <f t="shared" si="73"/>
        <v>12</v>
      </c>
      <c r="BF43" s="57">
        <f t="shared" si="61"/>
        <v>1</v>
      </c>
      <c r="BG43" s="57">
        <f t="shared" si="62"/>
        <v>3</v>
      </c>
      <c r="BH43" s="57">
        <f t="shared" si="63"/>
        <v>6</v>
      </c>
      <c r="BI43" s="57">
        <f t="shared" si="64"/>
        <v>1</v>
      </c>
      <c r="BJ43" s="57">
        <f t="shared" si="65"/>
        <v>5</v>
      </c>
      <c r="BK43" s="57">
        <f t="shared" si="66"/>
        <v>3</v>
      </c>
      <c r="BL43" s="57">
        <f t="shared" si="67"/>
        <v>0</v>
      </c>
      <c r="BM43" s="57">
        <f t="shared" si="68"/>
        <v>11</v>
      </c>
      <c r="BN43" s="57">
        <f t="shared" si="69"/>
        <v>14</v>
      </c>
      <c r="BO43" s="57">
        <f t="shared" si="70"/>
        <v>0</v>
      </c>
      <c r="BP43" s="57">
        <f t="shared" si="74"/>
        <v>-14</v>
      </c>
      <c r="BQ43" s="57">
        <f t="shared" si="74"/>
        <v>11</v>
      </c>
      <c r="BR43" s="57">
        <f t="shared" si="75"/>
        <v>11</v>
      </c>
      <c r="BS43" s="57">
        <f t="shared" si="76"/>
        <v>14</v>
      </c>
      <c r="BT43" s="57">
        <f t="shared" si="77"/>
        <v>-3</v>
      </c>
      <c r="BU43">
        <f t="shared" si="78"/>
        <v>0</v>
      </c>
      <c r="BV43">
        <f t="shared" si="78"/>
        <v>3.6666666666666665</v>
      </c>
      <c r="BW43">
        <f t="shared" si="79"/>
        <v>2.8</v>
      </c>
      <c r="BX43">
        <f t="shared" si="79"/>
        <v>0</v>
      </c>
      <c r="BY43">
        <f t="shared" si="80"/>
        <v>1.5714285714285714</v>
      </c>
      <c r="BZ43">
        <f t="shared" si="81"/>
        <v>2</v>
      </c>
      <c r="CA43" s="65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30"/>
    </row>
    <row r="44" spans="1:112" x14ac:dyDescent="0.25">
      <c r="A44" s="55" t="str">
        <f>IF(ISBLANK(Table2[[#This Row],[GAMENUM]]), "", _xlfn.TEXTJOIN("", 1, "2025030", Table2[[#This Row],[ROUNDNUM]], Table2[[#This Row],[SeriesID]], Table2[[#This Row],[GAMENUM]]))</f>
        <v>2025030116</v>
      </c>
      <c r="B44" s="63">
        <f>IF(ISBLANK(Table2[[#This Row],[GAMENUM]]), "", INDEX(Table3[SeriesID], MATCH(Table2[[#This Row],[SERIESCODE]],Table3[SeriesCode],0)))</f>
        <v>1</v>
      </c>
      <c r="C44" s="57" t="str">
        <f t="shared" si="56"/>
        <v>Friday</v>
      </c>
      <c r="D44" s="59">
        <v>46143</v>
      </c>
      <c r="E44" s="60">
        <v>0.85416666666666663</v>
      </c>
      <c r="F44" s="59" t="s">
        <v>16</v>
      </c>
      <c r="G44" s="62">
        <v>1</v>
      </c>
      <c r="H44" s="63" t="s">
        <v>33</v>
      </c>
      <c r="I44" s="62">
        <v>6</v>
      </c>
      <c r="J44" s="78" t="str">
        <f>INDEX(Table3[TopSeed],MATCH(Table2[[#This Row],[SERIESCODE]], Table3[SeriesCode], 0))</f>
        <v>BUF</v>
      </c>
      <c r="K44" s="80" t="str">
        <f>INDEX(Table3[LowSeed],MATCH(Table2[[#This Row],[SERIESCODE]], Table3[SeriesCode], 0))</f>
        <v>BOS</v>
      </c>
      <c r="L44" s="62">
        <v>4</v>
      </c>
      <c r="M44" s="62">
        <v>2</v>
      </c>
      <c r="N44" s="78" t="str">
        <f>IF(Table2[[#This Row],[GAMENUM]] = 6, Table2[[#This Row],[TOPSEED]], IF(Table2[[#This Row],[GAMENUM]] = 4, Table2[[#This Row],[TOPSEED]], IF(Table2[[#This Row],[GAMENUM]] = 3, Table2[[#This Row],[TOPSEED]], Table2[LOWSEED])))</f>
        <v>BUF</v>
      </c>
      <c r="O44" s="80" t="str">
        <f>IF(Table2[[#This Row],[GAMENUM]] = 6, Table2[[#This Row],[LOWSEED]], IF(Table2[[#This Row],[GAMENUM]] = 4, Table2[[#This Row],[LOWSEED]], IF(Table2[[#This Row],[GAMENUM]] = 3, Table2[[#This Row],[LOWSEED]], Table2[TOPSEED])))</f>
        <v>BOS</v>
      </c>
      <c r="P44" s="78" t="str">
        <f t="shared" si="57"/>
        <v>BUF</v>
      </c>
      <c r="Q44" s="62">
        <v>3</v>
      </c>
      <c r="R44" s="62">
        <v>2</v>
      </c>
      <c r="S44" s="63" t="s">
        <v>154</v>
      </c>
      <c r="T44" s="59">
        <v>46143</v>
      </c>
      <c r="U44" s="62">
        <v>4</v>
      </c>
      <c r="V44" s="62">
        <v>1</v>
      </c>
      <c r="W44" s="62">
        <v>0</v>
      </c>
      <c r="X44" s="62">
        <v>3600</v>
      </c>
      <c r="Y44" s="63">
        <f>Table2[[#This Row],[TimeInSeconds]]/1200</f>
        <v>3</v>
      </c>
      <c r="Z44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44" s="78" t="str">
        <f t="shared" si="58"/>
        <v>BUF</v>
      </c>
      <c r="AB44" s="63">
        <f>IF(ISBLANK(Table2[[#This Row],[OTROUNDNUM]]), "", Table2[[#This Row],[PAWAYSCORE]]-Table2[[#This Row],[AAWAYSCORE]])</f>
        <v>-1</v>
      </c>
      <c r="AC44" s="63">
        <f>IF(ISBLANK(Table2[[#This Row],[OTROUNDNUM]]), "", Table2[[#This Row],[PHOMESCORE]]-Table2[[#This Row],[AHOMESCORE]])</f>
        <v>1</v>
      </c>
      <c r="AD44" s="63">
        <f>_xlfn.IFS(ISBLANK(Table2[[#This Row],[GAMENUM]]), " ", 1, IF((Table2[[#This Row],[TOPSEEDWINS]]+Table2[[#This Row],[LOWSEEDWINS]]) &lt;&gt; Table2[[#This Row],[GAMENUM]], 0, 1))</f>
        <v>1</v>
      </c>
      <c r="AE44" s="63">
        <f>_xlfn.IFS(ISBLANK(Table2[[#This Row],[GAMENUM]]),"", Table2[[#This Row],[GameOver]]=0,"",Table2[[#This Row],[AAWAYSCORE]]&gt;Table2[[#This Row],[AHOMESCORE]], 1,1,0)</f>
        <v>1</v>
      </c>
      <c r="AF44" s="63">
        <f>_xlfn.IFS(ISBLANK(Table2[[#This Row],[GAMENUM]]),"",Table2[[#This Row],[GameOver]]=0,"",Table2[[#This Row],[AAWAYSCORE]]&lt;Table2[[#This Row],[AHOMESCORE]], 1,1,0)</f>
        <v>0</v>
      </c>
      <c r="AG44" s="63">
        <f>_xlfn.IFS(ISBLANK(Table2[[#This Row],[GAMENUM]]),"",Table2[[#This Row],[GameOver]]=0,"",Table2[[#This Row],[OTROUNDNUM]]&gt;0,1,1,0)</f>
        <v>0</v>
      </c>
      <c r="AH44" s="63">
        <f>_xlfn.IFS(ISBLANK(Table2[[#This Row],[GAMENUM]]),"",Table2[[#This Row],[GameOver]]=0,"",Table2[[#This Row],[AAWAYSCORE]]=0,1,1,0)</f>
        <v>0</v>
      </c>
      <c r="AI44" s="63">
        <f>_xlfn.IFS(ISBLANK(Table2[[#This Row],[GAMENUM]]),"", Table2[[#This Row],[GameOver]]=0,"",Table2[[#This Row],[AHOMESCORE]]=0,1,1,0)</f>
        <v>0</v>
      </c>
      <c r="AJ44" s="57"/>
      <c r="AK44" s="65"/>
      <c r="AL44" s="11"/>
      <c r="AM44" s="11"/>
      <c r="AN44" s="11"/>
      <c r="AO44" s="11"/>
      <c r="AP44" s="11"/>
      <c r="AQ44" s="42"/>
      <c r="AR44" s="115" t="s">
        <v>170</v>
      </c>
      <c r="AS44" s="137">
        <f>SUMIFS(Table2[Periods], Table2[TOPSEED], Table5[[#This Row],[Team]], Table2[ROUNDNUM], 2)+SUMIFS(Table2[Periods], Table2[LOWSEED], Table5[[#This Row],[Team]], Table2[ROUNDNUM],2)</f>
        <v>21.568333333333335</v>
      </c>
      <c r="AT44" s="55">
        <f>SUMIFS(Table2[TimeInSeconds], Table2[TOPSEED], Table5[[#This Row],[Team]], Table2[ROUNDNUM], 2)+SUMIFS(Table2[TimeInSeconds], Table2[LOWSEED], Table5[[#This Row],[Team]], Table2[ROUNDNUM],2)</f>
        <v>25882</v>
      </c>
      <c r="AU44" s="137">
        <f>Table5[[#This Row],[SecondsPlayed]]/3600</f>
        <v>7.1894444444444447</v>
      </c>
      <c r="AV44" s="136"/>
      <c r="AW44" s="57">
        <f>COUNTIFS(Table2[TOPSEED], AR44, Table2[ROUNDNUM], 1, Table2[GameOver], 1) + COUNTIFS(Table2[LOWSEED], AR44,  Table2[ROUNDNUM], 1, Table2[GameOver], 1)</f>
        <v>6</v>
      </c>
      <c r="AX44" s="57">
        <f>COUNTIFS(Table2[LOWSEED], AR44, Table2[ROUNDNUM], 2, Table2[GameOver], 1) + COUNTIFS(Table2[TOPSEED], AR44, Table2[ROUNDNUM], 2, Table2[GameOver], 1)</f>
        <v>7</v>
      </c>
      <c r="AY44" s="57">
        <f>COUNTIFS(Table2[LOWSEED], AR44, Table2[ROUNDNUM], 3, Table2[GameOver], 1) + COUNTIFS(Table2[TOPSEED], AR44, Table2[ROUNDNUM], 3, Table2[GameOver], 1)</f>
        <v>0</v>
      </c>
      <c r="AZ44" s="57">
        <f>COUNTIFS(Table2[LOWSEED], AR44, Table2[ROUNDNUM], 4, Table2[GameOver], 1) + COUNTIFS(Table2[TOPSEED], AR44, Table2[ROUNDNUM], 4, Table2[GameOver], 1)</f>
        <v>0</v>
      </c>
      <c r="BA44" s="57">
        <f t="shared" si="71"/>
        <v>13</v>
      </c>
      <c r="BB44" s="57">
        <f t="shared" si="59"/>
        <v>6</v>
      </c>
      <c r="BC44" s="57">
        <f t="shared" si="60"/>
        <v>7</v>
      </c>
      <c r="BD44" s="57">
        <f t="shared" si="72"/>
        <v>6</v>
      </c>
      <c r="BE44" s="57">
        <f t="shared" si="73"/>
        <v>7</v>
      </c>
      <c r="BF44" s="57">
        <f t="shared" si="61"/>
        <v>0</v>
      </c>
      <c r="BG44" s="57">
        <f t="shared" si="62"/>
        <v>1</v>
      </c>
      <c r="BH44" s="57">
        <f t="shared" si="63"/>
        <v>6</v>
      </c>
      <c r="BI44" s="57">
        <f t="shared" si="64"/>
        <v>0</v>
      </c>
      <c r="BJ44" s="57">
        <f t="shared" si="65"/>
        <v>2</v>
      </c>
      <c r="BK44" s="57">
        <f t="shared" si="66"/>
        <v>4</v>
      </c>
      <c r="BL44" s="57">
        <f t="shared" si="67"/>
        <v>1</v>
      </c>
      <c r="BM44" s="57">
        <f t="shared" si="68"/>
        <v>11</v>
      </c>
      <c r="BN44" s="57">
        <f t="shared" si="69"/>
        <v>8</v>
      </c>
      <c r="BO44" s="57">
        <f t="shared" si="70"/>
        <v>1</v>
      </c>
      <c r="BP44" s="57">
        <f t="shared" si="74"/>
        <v>-7</v>
      </c>
      <c r="BQ44" s="57">
        <f t="shared" si="74"/>
        <v>10</v>
      </c>
      <c r="BR44" s="57">
        <f t="shared" si="75"/>
        <v>12</v>
      </c>
      <c r="BS44" s="57">
        <f t="shared" si="76"/>
        <v>9</v>
      </c>
      <c r="BT44" s="57">
        <f t="shared" si="77"/>
        <v>3</v>
      </c>
      <c r="BU44">
        <f t="shared" si="78"/>
        <v>0.5</v>
      </c>
      <c r="BV44">
        <f t="shared" si="78"/>
        <v>2.75</v>
      </c>
      <c r="BW44">
        <f t="shared" si="79"/>
        <v>4</v>
      </c>
      <c r="BX44">
        <f t="shared" si="79"/>
        <v>0.25</v>
      </c>
      <c r="BY44">
        <f t="shared" si="80"/>
        <v>2</v>
      </c>
      <c r="BZ44">
        <f t="shared" si="81"/>
        <v>1.5</v>
      </c>
      <c r="CA44" s="65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30"/>
    </row>
    <row r="45" spans="1:112" x14ac:dyDescent="0.25">
      <c r="A45" s="55" t="str">
        <f>IF(ISBLANK(Table2[[#This Row],[GAMENUM]]), "", _xlfn.TEXTJOIN("", 1, "2025030", Table2[[#This Row],[ROUNDNUM]], Table2[[#This Row],[SeriesID]], Table2[[#This Row],[GAMENUM]]))</f>
        <v>2025030176</v>
      </c>
      <c r="B45" s="63">
        <f>IF(ISBLANK(Table2[[#This Row],[GAMENUM]]), "", INDEX(Table3[SeriesID], MATCH(Table2[[#This Row],[SERIESCODE]],Table3[SeriesCode],0)))</f>
        <v>7</v>
      </c>
      <c r="C45" s="57" t="str">
        <f t="shared" si="56"/>
        <v>Friday</v>
      </c>
      <c r="D45" s="59">
        <v>46143</v>
      </c>
      <c r="E45" s="60">
        <v>0.95833333333333337</v>
      </c>
      <c r="F45" s="59" t="s">
        <v>38</v>
      </c>
      <c r="G45" s="62">
        <v>1</v>
      </c>
      <c r="H45" s="63" t="s">
        <v>42</v>
      </c>
      <c r="I45" s="62">
        <v>6</v>
      </c>
      <c r="J45" s="81" t="str">
        <f>INDEX(Table3[TopSeed],MATCH(Table2[[#This Row],[SERIESCODE]], Table3[SeriesCode], 0))</f>
        <v>VGK</v>
      </c>
      <c r="K45" s="82" t="str">
        <f>INDEX(Table3[LowSeed],MATCH(Table2[[#This Row],[SERIESCODE]], Table3[SeriesCode], 0))</f>
        <v>UTA</v>
      </c>
      <c r="L45" s="62">
        <v>4</v>
      </c>
      <c r="M45" s="62">
        <v>2</v>
      </c>
      <c r="N45" s="81" t="str">
        <f>IF(Table2[[#This Row],[GAMENUM]] = 6, Table2[[#This Row],[TOPSEED]], IF(Table2[[#This Row],[GAMENUM]] = 4, Table2[[#This Row],[TOPSEED]], IF(Table2[[#This Row],[GAMENUM]] = 3, Table2[[#This Row],[TOPSEED]], Table2[LOWSEED])))</f>
        <v>VGK</v>
      </c>
      <c r="O45" s="82" t="str">
        <f>IF(Table2[[#This Row],[GAMENUM]] = 6, Table2[[#This Row],[LOWSEED]], IF(Table2[[#This Row],[GAMENUM]] = 4, Table2[[#This Row],[LOWSEED]], IF(Table2[[#This Row],[GAMENUM]] = 3, Table2[[#This Row],[LOWSEED]], Table2[TOPSEED])))</f>
        <v>UTA</v>
      </c>
      <c r="P45" s="82" t="str">
        <f t="shared" si="57"/>
        <v>UTA</v>
      </c>
      <c r="Q45" s="62">
        <v>2</v>
      </c>
      <c r="R45" s="62">
        <v>3</v>
      </c>
      <c r="S45" s="63" t="s">
        <v>154</v>
      </c>
      <c r="T45" s="59">
        <v>46143</v>
      </c>
      <c r="U45" s="62">
        <v>5</v>
      </c>
      <c r="V45" s="62">
        <v>1</v>
      </c>
      <c r="W45" s="62">
        <v>0</v>
      </c>
      <c r="X45" s="62">
        <v>3600</v>
      </c>
      <c r="Y45" s="63">
        <f>Table2[[#This Row],[TimeInSeconds]]/1200</f>
        <v>3</v>
      </c>
      <c r="Z45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45" s="81" t="str">
        <f t="shared" si="58"/>
        <v>VGK</v>
      </c>
      <c r="AB45" s="63">
        <f>IF(ISBLANK(Table2[[#This Row],[OTROUNDNUM]]), "", Table2[[#This Row],[PAWAYSCORE]]-Table2[[#This Row],[AAWAYSCORE]])</f>
        <v>-3</v>
      </c>
      <c r="AC45" s="63">
        <f>IF(ISBLANK(Table2[[#This Row],[OTROUNDNUM]]), "", Table2[[#This Row],[PHOMESCORE]]-Table2[[#This Row],[AHOMESCORE]])</f>
        <v>2</v>
      </c>
      <c r="AD45" s="63">
        <f>_xlfn.IFS(ISBLANK(Table2[[#This Row],[GAMENUM]]), " ", 1, IF((Table2[[#This Row],[TOPSEEDWINS]]+Table2[[#This Row],[LOWSEEDWINS]]) &lt;&gt; Table2[[#This Row],[GAMENUM]], 0, 1))</f>
        <v>1</v>
      </c>
      <c r="AE45" s="63">
        <f>_xlfn.IFS(ISBLANK(Table2[[#This Row],[GAMENUM]]),"", Table2[[#This Row],[GameOver]]=0,"",Table2[[#This Row],[AAWAYSCORE]]&gt;Table2[[#This Row],[AHOMESCORE]], 1,1,0)</f>
        <v>1</v>
      </c>
      <c r="AF45" s="63">
        <f>_xlfn.IFS(ISBLANK(Table2[[#This Row],[GAMENUM]]),"",Table2[[#This Row],[GameOver]]=0,"",Table2[[#This Row],[AAWAYSCORE]]&lt;Table2[[#This Row],[AHOMESCORE]], 1,1,0)</f>
        <v>0</v>
      </c>
      <c r="AG45" s="63">
        <f>_xlfn.IFS(ISBLANK(Table2[[#This Row],[GAMENUM]]),"",Table2[[#This Row],[GameOver]]=0,"",Table2[[#This Row],[OTROUNDNUM]]&gt;0,1,1,0)</f>
        <v>0</v>
      </c>
      <c r="AH45" s="63">
        <f>_xlfn.IFS(ISBLANK(Table2[[#This Row],[GAMENUM]]),"",Table2[[#This Row],[GameOver]]=0,"",Table2[[#This Row],[AAWAYSCORE]]=0,1,1,0)</f>
        <v>0</v>
      </c>
      <c r="AI45" s="63">
        <f>_xlfn.IFS(ISBLANK(Table2[[#This Row],[GAMENUM]]),"", Table2[[#This Row],[GameOver]]=0,"",Table2[[#This Row],[AHOMESCORE]]=0,1,1,0)</f>
        <v>0</v>
      </c>
      <c r="AJ45" s="57"/>
      <c r="AK45" s="65"/>
      <c r="AL45" s="11"/>
      <c r="AM45" s="11"/>
      <c r="AN45" s="11"/>
      <c r="AO45" s="11"/>
      <c r="AP45" s="11"/>
      <c r="AQ45" s="42"/>
      <c r="AR45" s="135" t="s">
        <v>40</v>
      </c>
      <c r="AS45" s="137">
        <f>SUMIFS(Table2[Periods], Table2[TOPSEED], Table5[[#This Row],[Team]], Table2[ROUNDNUM], 2)+SUMIFS(Table2[Periods], Table2[LOWSEED], Table5[[#This Row],[Team]], Table2[ROUNDNUM],2)</f>
        <v>15.193333333333333</v>
      </c>
      <c r="AT45" s="55">
        <f>SUMIFS(Table2[TimeInSeconds], Table2[TOPSEED], Table5[[#This Row],[Team]], Table2[ROUNDNUM], 2)+SUMIFS(Table2[TimeInSeconds], Table2[LOWSEED], Table5[[#This Row],[Team]], Table2[ROUNDNUM],2)</f>
        <v>18232</v>
      </c>
      <c r="AU45" s="137">
        <f>Table5[[#This Row],[SecondsPlayed]]/3600</f>
        <v>5.0644444444444447</v>
      </c>
      <c r="AV45" s="136">
        <v>2022</v>
      </c>
      <c r="AW45" s="57">
        <f>COUNTIFS(Table2[TOPSEED], AR45, Table2[ROUNDNUM], 1, Table2[GameOver], 1) + COUNTIFS(Table2[LOWSEED], AR45,  Table2[ROUNDNUM], 1, Table2[GameOver], 1)</f>
        <v>4</v>
      </c>
      <c r="AX45" s="57">
        <f>COUNTIFS(Table2[LOWSEED], AR45, Table2[ROUNDNUM], 2, Table2[GameOver], 1) + COUNTIFS(Table2[TOPSEED], AR45, Table2[ROUNDNUM], 2, Table2[GameOver], 1)</f>
        <v>5</v>
      </c>
      <c r="AY45" s="57">
        <f>COUNTIFS(Table2[LOWSEED], AR45, Table2[ROUNDNUM], 3, Table2[GameOver], 1) + COUNTIFS(Table2[TOPSEED], AR45, Table2[ROUNDNUM], 3, Table2[GameOver], 1)</f>
        <v>4</v>
      </c>
      <c r="AZ45" s="57">
        <f>COUNTIFS(Table2[LOWSEED], AR45, Table2[ROUNDNUM], 4, Table2[GameOver], 1) + COUNTIFS(Table2[TOPSEED], AR45, Table2[ROUNDNUM], 4, Table2[GameOver], 1)</f>
        <v>0</v>
      </c>
      <c r="BA45" s="57">
        <f t="shared" si="71"/>
        <v>13</v>
      </c>
      <c r="BB45" s="57">
        <f t="shared" si="59"/>
        <v>10</v>
      </c>
      <c r="BC45" s="57">
        <f t="shared" si="60"/>
        <v>7</v>
      </c>
      <c r="BD45" s="57">
        <f t="shared" si="72"/>
        <v>7</v>
      </c>
      <c r="BE45" s="57">
        <f t="shared" si="73"/>
        <v>6</v>
      </c>
      <c r="BF45" s="57">
        <f t="shared" si="61"/>
        <v>0</v>
      </c>
      <c r="BG45" s="57">
        <f t="shared" si="62"/>
        <v>4</v>
      </c>
      <c r="BH45" s="57">
        <f t="shared" si="63"/>
        <v>7</v>
      </c>
      <c r="BI45" s="57">
        <f t="shared" si="64"/>
        <v>0</v>
      </c>
      <c r="BJ45" s="57">
        <f t="shared" si="65"/>
        <v>4</v>
      </c>
      <c r="BK45" s="57">
        <f t="shared" si="66"/>
        <v>3</v>
      </c>
      <c r="BL45" s="57">
        <f t="shared" si="67"/>
        <v>1</v>
      </c>
      <c r="BM45" s="57">
        <f t="shared" si="68"/>
        <v>18</v>
      </c>
      <c r="BN45" s="57">
        <f t="shared" si="69"/>
        <v>20</v>
      </c>
      <c r="BO45" s="57">
        <f t="shared" si="70"/>
        <v>1</v>
      </c>
      <c r="BP45" s="57">
        <f t="shared" si="74"/>
        <v>-19</v>
      </c>
      <c r="BQ45" s="57">
        <f t="shared" si="74"/>
        <v>17</v>
      </c>
      <c r="BR45" s="57">
        <f t="shared" si="75"/>
        <v>19</v>
      </c>
      <c r="BS45" s="57">
        <f t="shared" si="76"/>
        <v>21</v>
      </c>
      <c r="BT45" s="57">
        <f t="shared" si="77"/>
        <v>-2</v>
      </c>
      <c r="BU45">
        <f t="shared" si="78"/>
        <v>0.25</v>
      </c>
      <c r="BV45">
        <f t="shared" si="78"/>
        <v>6</v>
      </c>
      <c r="BW45">
        <f t="shared" si="79"/>
        <v>5</v>
      </c>
      <c r="BX45">
        <f t="shared" si="79"/>
        <v>0.33333333333333331</v>
      </c>
      <c r="BY45">
        <f t="shared" si="80"/>
        <v>4.75</v>
      </c>
      <c r="BZ45">
        <f t="shared" si="81"/>
        <v>5.25</v>
      </c>
      <c r="CA45" s="65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30"/>
    </row>
    <row r="46" spans="1:112" x14ac:dyDescent="0.25">
      <c r="A46" s="55" t="str">
        <f>IF(ISBLANK(Table2[[#This Row],[GAMENUM]]), "", _xlfn.TEXTJOIN("", 1, "2025030", Table2[[#This Row],[ROUNDNUM]], Table2[[#This Row],[SeriesID]], Table2[[#This Row],[GAMENUM]]))</f>
        <v>2025030221</v>
      </c>
      <c r="B46" s="63">
        <f>IF(ISBLANK(Table2[[#This Row],[GAMENUM]]), "", INDEX(Table3[SeriesID], MATCH(Table2[[#This Row],[SERIESCODE]],Table3[SeriesCode],0)))</f>
        <v>2</v>
      </c>
      <c r="C46" s="57" t="str">
        <f t="shared" si="56"/>
        <v>Saturday</v>
      </c>
      <c r="D46" s="59">
        <v>46144</v>
      </c>
      <c r="E46" s="60">
        <v>0.875</v>
      </c>
      <c r="F46" s="59" t="s">
        <v>16</v>
      </c>
      <c r="G46" s="62">
        <v>2</v>
      </c>
      <c r="H46" s="63" t="s">
        <v>50</v>
      </c>
      <c r="I46" s="62">
        <v>1</v>
      </c>
      <c r="J46" s="20" t="str">
        <f>INDEX(Table3[TopSeed],MATCH(Table2[[#This Row],[SERIESCODE]], Table3[SeriesCode], 0))</f>
        <v>CAR</v>
      </c>
      <c r="K46" s="32" t="str">
        <f>INDEX(Table3[LowSeed],MATCH(Table2[[#This Row],[SERIESCODE]], Table3[SeriesCode], 0))</f>
        <v>PHI</v>
      </c>
      <c r="L46" s="62">
        <v>1</v>
      </c>
      <c r="M46" s="62">
        <v>0</v>
      </c>
      <c r="N46" s="32" t="str">
        <f>IF(Table2[[#This Row],[GAMENUM]] = 6, Table2[[#This Row],[TOPSEED]], IF(Table2[[#This Row],[GAMENUM]] = 4, Table2[[#This Row],[TOPSEED]], IF(Table2[[#This Row],[GAMENUM]] = 3, Table2[[#This Row],[TOPSEED]], Table2[LOWSEED])))</f>
        <v>PHI</v>
      </c>
      <c r="O46" s="20" t="str">
        <f>IF(Table2[[#This Row],[GAMENUM]] = 6, Table2[[#This Row],[LOWSEED]], IF(Table2[[#This Row],[GAMENUM]] = 4, Table2[[#This Row],[LOWSEED]], IF(Table2[[#This Row],[GAMENUM]] = 3, Table2[[#This Row],[LOWSEED]], Table2[TOPSEED])))</f>
        <v>CAR</v>
      </c>
      <c r="P46" s="20" t="str">
        <f t="shared" si="57"/>
        <v>CAR</v>
      </c>
      <c r="Q46" s="62">
        <v>1</v>
      </c>
      <c r="R46" s="62">
        <v>2</v>
      </c>
      <c r="S46" s="63" t="s">
        <v>154</v>
      </c>
      <c r="T46" s="59">
        <v>46144</v>
      </c>
      <c r="U46" s="62">
        <v>0</v>
      </c>
      <c r="V46" s="62">
        <v>3</v>
      </c>
      <c r="W46" s="62">
        <v>0</v>
      </c>
      <c r="X46" s="62">
        <v>3600</v>
      </c>
      <c r="Y46" s="63">
        <f>Table2[[#This Row],[TimeInSeconds]]/1200</f>
        <v>3</v>
      </c>
      <c r="Z46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46" s="20" t="str">
        <f t="shared" si="58"/>
        <v>CAR</v>
      </c>
      <c r="AB46" s="63">
        <f>IF(ISBLANK(Table2[[#This Row],[OTROUNDNUM]]), "", Table2[[#This Row],[PAWAYSCORE]]-Table2[[#This Row],[AAWAYSCORE]])</f>
        <v>1</v>
      </c>
      <c r="AC46" s="63">
        <f>IF(ISBLANK(Table2[[#This Row],[OTROUNDNUM]]), "", Table2[[#This Row],[PHOMESCORE]]-Table2[[#This Row],[AHOMESCORE]])</f>
        <v>-1</v>
      </c>
      <c r="AD46" s="63">
        <f>_xlfn.IFS(ISBLANK(Table2[[#This Row],[GAMENUM]]), " ", 1, IF((Table2[[#This Row],[TOPSEEDWINS]]+Table2[[#This Row],[LOWSEEDWINS]]) &lt;&gt; Table2[[#This Row],[GAMENUM]], 0, 1))</f>
        <v>1</v>
      </c>
      <c r="AE46" s="63">
        <f>_xlfn.IFS(ISBLANK(Table2[[#This Row],[GAMENUM]]),"", Table2[[#This Row],[GameOver]]=0,"",Table2[[#This Row],[AAWAYSCORE]]&gt;Table2[[#This Row],[AHOMESCORE]], 1,1,0)</f>
        <v>0</v>
      </c>
      <c r="AF46" s="63">
        <f>_xlfn.IFS(ISBLANK(Table2[[#This Row],[GAMENUM]]),"",Table2[[#This Row],[GameOver]]=0,"",Table2[[#This Row],[AAWAYSCORE]]&lt;Table2[[#This Row],[AHOMESCORE]], 1,1,0)</f>
        <v>1</v>
      </c>
      <c r="AG46" s="63">
        <f>_xlfn.IFS(ISBLANK(Table2[[#This Row],[GAMENUM]]),"",Table2[[#This Row],[GameOver]]=0,"",Table2[[#This Row],[OTROUNDNUM]]&gt;0,1,1,0)</f>
        <v>0</v>
      </c>
      <c r="AH46" s="63">
        <f>_xlfn.IFS(ISBLANK(Table2[[#This Row],[GAMENUM]]),"",Table2[[#This Row],[GameOver]]=0,"",Table2[[#This Row],[AAWAYSCORE]]=0,1,1,0)</f>
        <v>1</v>
      </c>
      <c r="AI46" s="63">
        <f>_xlfn.IFS(ISBLANK(Table2[[#This Row],[GAMENUM]]),"", Table2[[#This Row],[GameOver]]=0,"",Table2[[#This Row],[AHOMESCORE]]=0,1,1,0)</f>
        <v>0</v>
      </c>
      <c r="AJ46" s="57"/>
      <c r="AK46" s="65"/>
      <c r="AL46" s="11"/>
      <c r="AM46" s="11"/>
      <c r="AN46" s="11"/>
      <c r="AO46" s="11"/>
      <c r="AP46" s="11"/>
      <c r="AQ46" s="42"/>
      <c r="AR46" s="51" t="s">
        <v>157</v>
      </c>
      <c r="AS46" s="137">
        <f>SUMIFS(Table2[Periods], Table2[TOPSEED], Table5[[#This Row],[Team]], Table2[ROUNDNUM], 2)+SUMIFS(Table2[Periods], Table2[LOWSEED], Table5[[#This Row],[Team]], Table2[ROUNDNUM],2)</f>
        <v>15.193333333333333</v>
      </c>
      <c r="AT46" s="55">
        <f>SUMIFS(Table2[TimeInSeconds], Table2[TOPSEED], Table5[[#This Row],[Team]], Table2[ROUNDNUM], 2)+SUMIFS(Table2[TimeInSeconds], Table2[LOWSEED], Table5[[#This Row],[Team]], Table2[ROUNDNUM],2)</f>
        <v>18232</v>
      </c>
      <c r="AU46" s="137">
        <f>Table5[[#This Row],[SecondsPlayed]]/3600</f>
        <v>5.0644444444444447</v>
      </c>
      <c r="AV46" s="136"/>
      <c r="AW46" s="57">
        <f>COUNTIFS(Table2[TOPSEED], AR46, Table2[ROUNDNUM], 1, Table2[GameOver], 1) + COUNTIFS(Table2[LOWSEED], AR46,  Table2[ROUNDNUM], 1, Table2[GameOver], 1)</f>
        <v>6</v>
      </c>
      <c r="AX46" s="57">
        <f>COUNTIFS(Table2[LOWSEED], AR46, Table2[ROUNDNUM], 2, Table2[GameOver], 1) + COUNTIFS(Table2[TOPSEED], AR46, Table2[ROUNDNUM], 2, Table2[GameOver], 1)</f>
        <v>5</v>
      </c>
      <c r="AY46" s="57">
        <f>COUNTIFS(Table2[LOWSEED], AR46, Table2[ROUNDNUM], 3, Table2[GameOver], 1) + COUNTIFS(Table2[TOPSEED], AR46, Table2[ROUNDNUM], 3, Table2[GameOver], 1)</f>
        <v>0</v>
      </c>
      <c r="AZ46" s="57">
        <f>COUNTIFS(Table2[LOWSEED], AR46, Table2[ROUNDNUM], 4, Table2[GameOver], 1) + COUNTIFS(Table2[TOPSEED], AR46, Table2[ROUNDNUM], 4, Table2[GameOver], 1)</f>
        <v>0</v>
      </c>
      <c r="BA46" s="57">
        <f t="shared" si="71"/>
        <v>11</v>
      </c>
      <c r="BB46" s="57">
        <f t="shared" si="59"/>
        <v>5</v>
      </c>
      <c r="BC46" s="57">
        <f t="shared" si="60"/>
        <v>5</v>
      </c>
      <c r="BD46" s="57">
        <f t="shared" si="72"/>
        <v>5</v>
      </c>
      <c r="BE46" s="57">
        <f t="shared" si="73"/>
        <v>6</v>
      </c>
      <c r="BF46" s="57">
        <f t="shared" si="61"/>
        <v>0</v>
      </c>
      <c r="BG46" s="57">
        <f t="shared" si="62"/>
        <v>8</v>
      </c>
      <c r="BH46" s="57">
        <f t="shared" si="63"/>
        <v>5</v>
      </c>
      <c r="BI46" s="57">
        <f t="shared" si="64"/>
        <v>0</v>
      </c>
      <c r="BJ46" s="57">
        <f t="shared" si="65"/>
        <v>1</v>
      </c>
      <c r="BK46" s="57">
        <f t="shared" si="66"/>
        <v>2</v>
      </c>
      <c r="BL46" s="57">
        <f t="shared" si="67"/>
        <v>0</v>
      </c>
      <c r="BM46" s="57">
        <f t="shared" si="68"/>
        <v>7</v>
      </c>
      <c r="BN46" s="57">
        <f t="shared" si="69"/>
        <v>5</v>
      </c>
      <c r="BO46" s="57">
        <f t="shared" si="70"/>
        <v>0</v>
      </c>
      <c r="BP46" s="57">
        <f t="shared" si="74"/>
        <v>-5</v>
      </c>
      <c r="BQ46" s="57">
        <f t="shared" si="74"/>
        <v>7</v>
      </c>
      <c r="BR46" s="57">
        <f t="shared" si="75"/>
        <v>7</v>
      </c>
      <c r="BS46" s="57">
        <f t="shared" si="76"/>
        <v>5</v>
      </c>
      <c r="BT46" s="57">
        <f t="shared" si="77"/>
        <v>2</v>
      </c>
      <c r="BU46">
        <f t="shared" si="78"/>
        <v>0</v>
      </c>
      <c r="BV46">
        <f t="shared" si="78"/>
        <v>3.5</v>
      </c>
      <c r="BW46">
        <f t="shared" si="79"/>
        <v>5</v>
      </c>
      <c r="BX46">
        <f t="shared" si="79"/>
        <v>0</v>
      </c>
      <c r="BY46" s="57">
        <f t="shared" si="80"/>
        <v>1.1666666666666667</v>
      </c>
      <c r="BZ46" s="57">
        <f t="shared" si="81"/>
        <v>0.83333333333333337</v>
      </c>
      <c r="CA46" s="65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30"/>
    </row>
    <row r="47" spans="1:112" x14ac:dyDescent="0.25">
      <c r="A47" s="55" t="str">
        <f>IF(ISBLANK(Table2[[#This Row],[GAMENUM]]), "", _xlfn.TEXTJOIN("", 1, "2025030", Table2[[#This Row],[ROUNDNUM]], Table2[[#This Row],[SeriesID]], Table2[[#This Row],[GAMENUM]]))</f>
        <v>2025030127</v>
      </c>
      <c r="B47" s="63">
        <f>IF(ISBLANK(Table2[[#This Row],[GAMENUM]]), "", INDEX(Table3[SeriesID], MATCH(Table2[[#This Row],[SERIESCODE]],Table3[SeriesCode],0)))</f>
        <v>2</v>
      </c>
      <c r="C47" s="57" t="str">
        <f t="shared" si="56"/>
        <v>Sunday</v>
      </c>
      <c r="D47" s="59">
        <v>46145</v>
      </c>
      <c r="E47" s="60">
        <v>0.79166666666666663</v>
      </c>
      <c r="F47" s="59" t="s">
        <v>16</v>
      </c>
      <c r="G47" s="62">
        <v>1</v>
      </c>
      <c r="H47" s="66" t="s">
        <v>31</v>
      </c>
      <c r="I47" s="62">
        <v>7</v>
      </c>
      <c r="J47" s="96" t="str">
        <f>INDEX(Table3[TopSeed],MATCH(Table2[[#This Row],[SERIESCODE]], Table3[SeriesCode], 0))</f>
        <v>TBL</v>
      </c>
      <c r="K47" s="97" t="str">
        <f>INDEX(Table3[LowSeed],MATCH(Table2[[#This Row],[SERIESCODE]], Table3[SeriesCode], 0))</f>
        <v>MTL</v>
      </c>
      <c r="L47" s="62">
        <v>3</v>
      </c>
      <c r="M47" s="62">
        <v>4</v>
      </c>
      <c r="N47" s="79" t="str">
        <f>IF(Table2[[#This Row],[GAMENUM]] = 6, Table2[[#This Row],[TOPSEED]], IF(Table2[[#This Row],[GAMENUM]] = 4, Table2[[#This Row],[TOPSEED]], IF(Table2[[#This Row],[GAMENUM]] = 3, Table2[[#This Row],[TOPSEED]], Table2[LOWSEED])))</f>
        <v>MTL</v>
      </c>
      <c r="O47" s="77" t="str">
        <f>IF(Table2[[#This Row],[GAMENUM]] = 6, Table2[[#This Row],[LOWSEED]], IF(Table2[[#This Row],[GAMENUM]] = 4, Table2[[#This Row],[LOWSEED]], IF(Table2[[#This Row],[GAMENUM]] = 3, Table2[[#This Row],[LOWSEED]], Table2[TOPSEED])))</f>
        <v>TBL</v>
      </c>
      <c r="P47" s="77" t="str">
        <f t="shared" si="57"/>
        <v>TBL</v>
      </c>
      <c r="Q47" s="62">
        <v>1</v>
      </c>
      <c r="R47" s="62">
        <v>2</v>
      </c>
      <c r="S47" s="63" t="s">
        <v>154</v>
      </c>
      <c r="T47" s="59">
        <v>46145</v>
      </c>
      <c r="U47" s="62">
        <v>2</v>
      </c>
      <c r="V47" s="62">
        <v>1</v>
      </c>
      <c r="W47" s="62">
        <v>0</v>
      </c>
      <c r="X47" s="62">
        <v>3600</v>
      </c>
      <c r="Y47" s="63">
        <f>Table2[[#This Row],[TimeInSeconds]]/1200</f>
        <v>3</v>
      </c>
      <c r="Z47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47" s="79" t="str">
        <f t="shared" si="58"/>
        <v>MTL</v>
      </c>
      <c r="AB47" s="63">
        <f>IF(ISBLANK(Table2[[#This Row],[OTROUNDNUM]]), "", Table2[[#This Row],[PAWAYSCORE]]-Table2[[#This Row],[AAWAYSCORE]])</f>
        <v>-1</v>
      </c>
      <c r="AC47" s="63">
        <f>IF(ISBLANK(Table2[[#This Row],[OTROUNDNUM]]), "", Table2[[#This Row],[PHOMESCORE]]-Table2[[#This Row],[AHOMESCORE]])</f>
        <v>1</v>
      </c>
      <c r="AD47" s="63">
        <f>_xlfn.IFS(ISBLANK(Table2[[#This Row],[GAMENUM]]), " ", 1, IF((Table2[[#This Row],[TOPSEEDWINS]]+Table2[[#This Row],[LOWSEEDWINS]]) &lt;&gt; Table2[[#This Row],[GAMENUM]], 0, 1))</f>
        <v>1</v>
      </c>
      <c r="AE47" s="63">
        <f>_xlfn.IFS(ISBLANK(Table2[[#This Row],[GAMENUM]]),"", Table2[[#This Row],[GameOver]]=0,"",Table2[[#This Row],[AAWAYSCORE]]&gt;Table2[[#This Row],[AHOMESCORE]], 1,1,0)</f>
        <v>1</v>
      </c>
      <c r="AF47" s="63">
        <f>_xlfn.IFS(ISBLANK(Table2[[#This Row],[GAMENUM]]),"",Table2[[#This Row],[GameOver]]=0,"",Table2[[#This Row],[AAWAYSCORE]]&lt;Table2[[#This Row],[AHOMESCORE]], 1,1,0)</f>
        <v>0</v>
      </c>
      <c r="AG47" s="63">
        <f>_xlfn.IFS(ISBLANK(Table2[[#This Row],[GAMENUM]]),"",Table2[[#This Row],[GameOver]]=0,"",Table2[[#This Row],[OTROUNDNUM]]&gt;0,1,1,0)</f>
        <v>0</v>
      </c>
      <c r="AH47" s="63">
        <f>_xlfn.IFS(ISBLANK(Table2[[#This Row],[GAMENUM]]),"",Table2[[#This Row],[GameOver]]=0,"",Table2[[#This Row],[AAWAYSCORE]]=0,1,1,0)</f>
        <v>0</v>
      </c>
      <c r="AI47" s="63">
        <f>_xlfn.IFS(ISBLANK(Table2[[#This Row],[GAMENUM]]),"", Table2[[#This Row],[GameOver]]=0,"",Table2[[#This Row],[AHOMESCORE]]=0,1,1,0)</f>
        <v>0</v>
      </c>
      <c r="AJ47" s="57"/>
      <c r="AK47" s="65"/>
      <c r="AL47" s="11"/>
      <c r="AM47" s="11"/>
      <c r="AN47" s="11"/>
      <c r="AO47" s="11"/>
      <c r="AP47" s="11"/>
      <c r="AQ47" s="42"/>
      <c r="AR47" s="117" t="s">
        <v>173</v>
      </c>
      <c r="AS47" s="137">
        <f>SUMIFS(Table2[Periods], Table2[TOPSEED], Table5[[#This Row],[Team]], Table2[ROUNDNUM], 2)+SUMIFS(Table2[Periods], Table2[LOWSEED], Table5[[#This Row],[Team]], Table2[ROUNDNUM],2)</f>
        <v>18.208333333333336</v>
      </c>
      <c r="AT47" s="55">
        <f>SUMIFS(Table2[TimeInSeconds], Table2[TOPSEED], Table5[[#This Row],[Team]], Table2[ROUNDNUM], 2)+SUMIFS(Table2[TimeInSeconds], Table2[LOWSEED], Table5[[#This Row],[Team]], Table2[ROUNDNUM],2)</f>
        <v>21850</v>
      </c>
      <c r="AU47" s="137">
        <f>Table5[[#This Row],[SecondsPlayed]]/3600</f>
        <v>6.0694444444444446</v>
      </c>
      <c r="AV47" s="136">
        <v>2007</v>
      </c>
      <c r="AW47" s="57">
        <f>COUNTIFS(Table2[TOPSEED], AR47, Table2[ROUNDNUM], 1, Table2[GameOver], 1) + COUNTIFS(Table2[LOWSEED], AR47,  Table2[ROUNDNUM], 1, Table2[GameOver], 1)</f>
        <v>6</v>
      </c>
      <c r="AX47" s="57">
        <f>COUNTIFS(Table2[LOWSEED], AR47, Table2[ROUNDNUM], 2, Table2[GameOver], 1) + COUNTIFS(Table2[TOPSEED], AR47, Table2[ROUNDNUM], 2, Table2[GameOver], 1)</f>
        <v>6</v>
      </c>
      <c r="AY47" s="57">
        <f>COUNTIFS(Table2[LOWSEED], AR47, Table2[ROUNDNUM], 3, Table2[GameOver], 1) + COUNTIFS(Table2[TOPSEED], AR47, Table2[ROUNDNUM], 3, Table2[GameOver], 1)</f>
        <v>0</v>
      </c>
      <c r="AZ47" s="57">
        <f>COUNTIFS(Table2[LOWSEED], AR47, Table2[ROUNDNUM], 4, Table2[GameOver], 1) + COUNTIFS(Table2[TOPSEED], AR47, Table2[ROUNDNUM], 4, Table2[GameOver], 1)</f>
        <v>0</v>
      </c>
      <c r="BA47" s="57">
        <f t="shared" si="71"/>
        <v>12</v>
      </c>
      <c r="BB47" s="57">
        <f t="shared" si="59"/>
        <v>5</v>
      </c>
      <c r="BC47" s="57">
        <f t="shared" si="60"/>
        <v>6</v>
      </c>
      <c r="BD47" s="57">
        <f t="shared" si="72"/>
        <v>6</v>
      </c>
      <c r="BE47" s="57">
        <f t="shared" si="73"/>
        <v>6</v>
      </c>
      <c r="BF47" s="57">
        <f t="shared" si="61"/>
        <v>0</v>
      </c>
      <c r="BG47" s="57">
        <f t="shared" si="62"/>
        <v>5</v>
      </c>
      <c r="BH47" s="57">
        <f t="shared" si="63"/>
        <v>6</v>
      </c>
      <c r="BI47" s="57">
        <f t="shared" si="64"/>
        <v>0</v>
      </c>
      <c r="BJ47" s="57">
        <f t="shared" si="65"/>
        <v>4</v>
      </c>
      <c r="BK47" s="57">
        <f t="shared" si="66"/>
        <v>3</v>
      </c>
      <c r="BL47" s="57">
        <f t="shared" si="67"/>
        <v>0</v>
      </c>
      <c r="BM47" s="57">
        <f t="shared" si="68"/>
        <v>7</v>
      </c>
      <c r="BN47" s="57">
        <f t="shared" si="69"/>
        <v>8</v>
      </c>
      <c r="BO47" s="57">
        <f t="shared" si="70"/>
        <v>0</v>
      </c>
      <c r="BP47" s="57">
        <f t="shared" si="74"/>
        <v>-8</v>
      </c>
      <c r="BQ47" s="57">
        <f t="shared" si="74"/>
        <v>7</v>
      </c>
      <c r="BR47" s="57">
        <f t="shared" si="75"/>
        <v>7</v>
      </c>
      <c r="BS47" s="57">
        <f t="shared" si="76"/>
        <v>8</v>
      </c>
      <c r="BT47" s="57">
        <f t="shared" si="77"/>
        <v>-1</v>
      </c>
      <c r="BU47">
        <f t="shared" si="78"/>
        <v>0</v>
      </c>
      <c r="BV47">
        <f t="shared" si="78"/>
        <v>2.3333333333333335</v>
      </c>
      <c r="BW47">
        <f t="shared" si="79"/>
        <v>2</v>
      </c>
      <c r="BX47">
        <f t="shared" si="79"/>
        <v>0</v>
      </c>
      <c r="BY47" s="57">
        <f t="shared" si="80"/>
        <v>1.1666666666666667</v>
      </c>
      <c r="BZ47" s="57">
        <f t="shared" si="81"/>
        <v>1.3333333333333333</v>
      </c>
      <c r="CA47" s="65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30"/>
    </row>
    <row r="48" spans="1:112" x14ac:dyDescent="0.25">
      <c r="A48" s="55" t="str">
        <f>IF(ISBLANK(Table2[[#This Row],[GAMENUM]]), "", _xlfn.TEXTJOIN("", 1, "2025030", Table2[[#This Row],[ROUNDNUM]], Table2[[#This Row],[SeriesID]], Table2[[#This Row],[GAMENUM]]))</f>
        <v>2025030231</v>
      </c>
      <c r="B48" s="63">
        <f>IF(ISBLANK(Table2[[#This Row],[GAMENUM]]), "", INDEX(Table3[SeriesID], MATCH(Table2[[#This Row],[SERIESCODE]],Table3[SeriesCode],0)))</f>
        <v>3</v>
      </c>
      <c r="C48" s="57" t="str">
        <f t="shared" si="56"/>
        <v>Sunday</v>
      </c>
      <c r="D48" s="59">
        <v>46145</v>
      </c>
      <c r="E48" s="60">
        <v>0.91666666666666663</v>
      </c>
      <c r="F48" s="59" t="s">
        <v>38</v>
      </c>
      <c r="G48" s="62">
        <v>2</v>
      </c>
      <c r="H48" s="66" t="s">
        <v>52</v>
      </c>
      <c r="I48" s="62">
        <v>1</v>
      </c>
      <c r="J48" s="98" t="str">
        <f>INDEX(Table3[TopSeed],MATCH(Table2[[#This Row],[SERIESCODE]], Table3[SeriesCode], 0))</f>
        <v>COL</v>
      </c>
      <c r="K48" s="95" t="str">
        <f>INDEX(Table3[LowSeed],MATCH(Table2[[#This Row],[SERIESCODE]], Table3[SeriesCode], 0))</f>
        <v>MIN</v>
      </c>
      <c r="L48" s="62">
        <v>1</v>
      </c>
      <c r="M48" s="62">
        <v>0</v>
      </c>
      <c r="N48" s="95" t="str">
        <f>IF(Table2[[#This Row],[GAMENUM]] = 6, Table2[[#This Row],[TOPSEED]], IF(Table2[[#This Row],[GAMENUM]] = 4, Table2[[#This Row],[TOPSEED]], IF(Table2[[#This Row],[GAMENUM]] = 3, Table2[[#This Row],[TOPSEED]], Table2[LOWSEED])))</f>
        <v>MIN</v>
      </c>
      <c r="O48" s="98" t="str">
        <f>IF(Table2[[#This Row],[GAMENUM]] = 6, Table2[[#This Row],[LOWSEED]], IF(Table2[[#This Row],[GAMENUM]] = 4, Table2[[#This Row],[LOWSEED]], IF(Table2[[#This Row],[GAMENUM]] = 3, Table2[[#This Row],[LOWSEED]], Table2[TOPSEED])))</f>
        <v>COL</v>
      </c>
      <c r="P48" s="98" t="str">
        <f t="shared" si="57"/>
        <v>COL</v>
      </c>
      <c r="Q48" s="62">
        <v>3</v>
      </c>
      <c r="R48" s="62">
        <v>4</v>
      </c>
      <c r="S48" s="63" t="s">
        <v>154</v>
      </c>
      <c r="T48" s="59">
        <v>46145</v>
      </c>
      <c r="U48" s="62">
        <v>6</v>
      </c>
      <c r="V48" s="62">
        <v>9</v>
      </c>
      <c r="W48" s="62">
        <v>0</v>
      </c>
      <c r="X48" s="62">
        <v>3600</v>
      </c>
      <c r="Y48" s="63">
        <f>Table2[[#This Row],[TimeInSeconds]]/1200</f>
        <v>3</v>
      </c>
      <c r="Z48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48" s="98" t="str">
        <f t="shared" si="58"/>
        <v>COL</v>
      </c>
      <c r="AB48" s="63">
        <f>IF(ISBLANK(Table2[[#This Row],[OTROUNDNUM]]), "", Table2[[#This Row],[PAWAYSCORE]]-Table2[[#This Row],[AAWAYSCORE]])</f>
        <v>-3</v>
      </c>
      <c r="AC48" s="63">
        <f>IF(ISBLANK(Table2[[#This Row],[OTROUNDNUM]]), "", Table2[[#This Row],[PHOMESCORE]]-Table2[[#This Row],[AHOMESCORE]])</f>
        <v>-5</v>
      </c>
      <c r="AD48" s="63">
        <f>_xlfn.IFS(ISBLANK(Table2[[#This Row],[GAMENUM]]), " ", 1, IF((Table2[[#This Row],[TOPSEEDWINS]]+Table2[[#This Row],[LOWSEEDWINS]]) &lt;&gt; Table2[[#This Row],[GAMENUM]], 0, 1))</f>
        <v>1</v>
      </c>
      <c r="AE48" s="63">
        <f>_xlfn.IFS(ISBLANK(Table2[[#This Row],[GAMENUM]]),"", Table2[[#This Row],[GameOver]]=0,"",Table2[[#This Row],[AAWAYSCORE]]&gt;Table2[[#This Row],[AHOMESCORE]], 1,1,0)</f>
        <v>0</v>
      </c>
      <c r="AF48" s="63">
        <f>_xlfn.IFS(ISBLANK(Table2[[#This Row],[GAMENUM]]),"",Table2[[#This Row],[GameOver]]=0,"",Table2[[#This Row],[AAWAYSCORE]]&lt;Table2[[#This Row],[AHOMESCORE]], 1,1,0)</f>
        <v>1</v>
      </c>
      <c r="AG48" s="63">
        <f>_xlfn.IFS(ISBLANK(Table2[[#This Row],[GAMENUM]]),"",Table2[[#This Row],[GameOver]]=0,"",Table2[[#This Row],[OTROUNDNUM]]&gt;0,1,1,0)</f>
        <v>0</v>
      </c>
      <c r="AH48" s="63">
        <f>_xlfn.IFS(ISBLANK(Table2[[#This Row],[GAMENUM]]),"",Table2[[#This Row],[GameOver]]=0,"",Table2[[#This Row],[AAWAYSCORE]]=0,1,1,0)</f>
        <v>0</v>
      </c>
      <c r="AI48" s="63">
        <f>_xlfn.IFS(ISBLANK(Table2[[#This Row],[GAMENUM]]),"", Table2[[#This Row],[GameOver]]=0,"",Table2[[#This Row],[AHOMESCORE]]=0,1,1,0)</f>
        <v>0</v>
      </c>
      <c r="AJ48" s="57"/>
      <c r="AK48" s="65"/>
      <c r="AL48" s="11"/>
      <c r="AM48" s="11"/>
      <c r="AN48" s="11"/>
      <c r="AO48" s="11"/>
      <c r="AP48" s="11"/>
      <c r="AQ48" s="42"/>
      <c r="AR48" s="50" t="s">
        <v>47</v>
      </c>
      <c r="AS48" s="137">
        <f>SUMIFS(Table2[Periods], Table2[TOPSEED], Table5[[#This Row],[Team]], Table2[ROUNDNUM], 2)+SUMIFS(Table2[Periods], Table2[LOWSEED], Table5[[#This Row],[Team]], Table2[ROUNDNUM],2)</f>
        <v>18.208333333333336</v>
      </c>
      <c r="AT48" s="55">
        <f>SUMIFS(Table2[TimeInSeconds], Table2[TOPSEED], Table5[[#This Row],[Team]], Table2[ROUNDNUM], 2)+SUMIFS(Table2[TimeInSeconds], Table2[LOWSEED], Table5[[#This Row],[Team]], Table2[ROUNDNUM],2)</f>
        <v>21850</v>
      </c>
      <c r="AU48" s="137">
        <f>Table5[[#This Row],[SecondsPlayed]]/3600</f>
        <v>6.0694444444444446</v>
      </c>
      <c r="AV48" s="136">
        <v>2023</v>
      </c>
      <c r="AW48" s="57">
        <f>COUNTIFS(Table2[TOPSEED], AR48, Table2[ROUNDNUM], 1, Table2[GameOver], 1) + COUNTIFS(Table2[LOWSEED], AR48,  Table2[ROUNDNUM], 1, Table2[GameOver], 1)</f>
        <v>6</v>
      </c>
      <c r="AX48" s="57">
        <f>COUNTIFS(Table2[LOWSEED], AR48, Table2[ROUNDNUM], 2, Table2[GameOver], 1) + COUNTIFS(Table2[TOPSEED], AR48, Table2[ROUNDNUM], 2, Table2[GameOver], 1)</f>
        <v>6</v>
      </c>
      <c r="AY48" s="57">
        <f>COUNTIFS(Table2[LOWSEED], AR48, Table2[ROUNDNUM], 3, Table2[GameOver], 1) + COUNTIFS(Table2[TOPSEED], AR48, Table2[ROUNDNUM], 3, Table2[GameOver], 1)</f>
        <v>4</v>
      </c>
      <c r="AZ48" s="57">
        <f>COUNTIFS(Table2[LOWSEED], AR48, Table2[ROUNDNUM], 4, Table2[GameOver], 1) + COUNTIFS(Table2[TOPSEED], AR48, Table2[ROUNDNUM], 4, Table2[GameOver], 1)</f>
        <v>1</v>
      </c>
      <c r="BA48" s="57">
        <f t="shared" si="71"/>
        <v>17</v>
      </c>
      <c r="BB48" s="57">
        <f t="shared" si="59"/>
        <v>4</v>
      </c>
      <c r="BC48" s="57">
        <f t="shared" si="60"/>
        <v>10</v>
      </c>
      <c r="BD48" s="57">
        <f t="shared" si="72"/>
        <v>8</v>
      </c>
      <c r="BE48" s="57">
        <f t="shared" si="73"/>
        <v>9</v>
      </c>
      <c r="BF48" s="57">
        <f t="shared" si="61"/>
        <v>0</v>
      </c>
      <c r="BG48" s="57">
        <f t="shared" si="62"/>
        <v>2</v>
      </c>
      <c r="BH48" s="57">
        <f t="shared" si="63"/>
        <v>8</v>
      </c>
      <c r="BI48" s="57">
        <f t="shared" si="64"/>
        <v>0</v>
      </c>
      <c r="BJ48" s="57">
        <f t="shared" si="65"/>
        <v>2</v>
      </c>
      <c r="BK48" s="57">
        <f t="shared" si="66"/>
        <v>3</v>
      </c>
      <c r="BL48" s="57">
        <f t="shared" si="67"/>
        <v>1</v>
      </c>
      <c r="BM48" s="57">
        <f t="shared" si="68"/>
        <v>7</v>
      </c>
      <c r="BN48" s="57">
        <f t="shared" si="69"/>
        <v>6</v>
      </c>
      <c r="BO48" s="57">
        <f t="shared" si="70"/>
        <v>1</v>
      </c>
      <c r="BP48" s="57">
        <f t="shared" si="74"/>
        <v>-5</v>
      </c>
      <c r="BQ48" s="57">
        <f t="shared" si="74"/>
        <v>6</v>
      </c>
      <c r="BR48" s="57">
        <f t="shared" si="75"/>
        <v>8</v>
      </c>
      <c r="BS48" s="57">
        <f t="shared" si="76"/>
        <v>7</v>
      </c>
      <c r="BT48" s="57">
        <f t="shared" si="77"/>
        <v>1</v>
      </c>
      <c r="BU48">
        <f t="shared" si="78"/>
        <v>0.5</v>
      </c>
      <c r="BV48">
        <f t="shared" si="78"/>
        <v>2.3333333333333335</v>
      </c>
      <c r="BW48">
        <f t="shared" si="79"/>
        <v>3</v>
      </c>
      <c r="BX48">
        <f t="shared" si="79"/>
        <v>0.33333333333333331</v>
      </c>
      <c r="BY48" s="57">
        <f t="shared" si="80"/>
        <v>1.3333333333333333</v>
      </c>
      <c r="BZ48" s="57">
        <f t="shared" si="81"/>
        <v>1.1666666666666667</v>
      </c>
      <c r="CA48" s="65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30"/>
    </row>
    <row r="49" spans="1:104" x14ac:dyDescent="0.25">
      <c r="A49" s="55" t="str">
        <f>IF(ISBLANK(Table2[[#This Row],[GAMENUM]]), "", _xlfn.TEXTJOIN("", 1, "2025030", Table2[[#This Row],[ROUNDNUM]], Table2[[#This Row],[SeriesID]], Table2[[#This Row],[GAMENUM]]))</f>
        <v>2025030222</v>
      </c>
      <c r="B49" s="63">
        <f>IF(ISBLANK(Table2[[#This Row],[GAMENUM]]), "", INDEX(Table3[SeriesID], MATCH(Table2[[#This Row],[SERIESCODE]],Table3[SeriesCode],0)))</f>
        <v>2</v>
      </c>
      <c r="C49" s="57" t="str">
        <f t="shared" si="56"/>
        <v>Monday</v>
      </c>
      <c r="D49" s="59">
        <v>46146</v>
      </c>
      <c r="E49" s="60">
        <v>0.83333333333333337</v>
      </c>
      <c r="F49" s="59" t="s">
        <v>16</v>
      </c>
      <c r="G49" s="62">
        <v>2</v>
      </c>
      <c r="H49" s="66" t="s">
        <v>50</v>
      </c>
      <c r="I49" s="62">
        <v>2</v>
      </c>
      <c r="J49" s="20" t="str">
        <f>INDEX(Table3[TopSeed],MATCH(Table2[[#This Row],[SERIESCODE]], Table3[SeriesCode], 0))</f>
        <v>CAR</v>
      </c>
      <c r="K49" s="32" t="str">
        <f>INDEX(Table3[LowSeed],MATCH(Table2[[#This Row],[SERIESCODE]], Table3[SeriesCode], 0))</f>
        <v>PHI</v>
      </c>
      <c r="L49" s="62">
        <v>2</v>
      </c>
      <c r="M49" s="62">
        <v>0</v>
      </c>
      <c r="N49" s="32" t="str">
        <f>IF(Table2[[#This Row],[GAMENUM]] = 6, Table2[[#This Row],[TOPSEED]], IF(Table2[[#This Row],[GAMENUM]] = 4, Table2[[#This Row],[TOPSEED]], IF(Table2[[#This Row],[GAMENUM]] = 3, Table2[[#This Row],[TOPSEED]], Table2[LOWSEED])))</f>
        <v>PHI</v>
      </c>
      <c r="O49" s="20" t="str">
        <f>IF(Table2[[#This Row],[GAMENUM]] = 6, Table2[[#This Row],[LOWSEED]], IF(Table2[[#This Row],[GAMENUM]] = 4, Table2[[#This Row],[LOWSEED]], IF(Table2[[#This Row],[GAMENUM]] = 3, Table2[[#This Row],[LOWSEED]], Table2[TOPSEED])))</f>
        <v>CAR</v>
      </c>
      <c r="P49" s="20" t="str">
        <f t="shared" si="57"/>
        <v>CAR</v>
      </c>
      <c r="Q49" s="62">
        <v>2</v>
      </c>
      <c r="R49" s="62">
        <v>3</v>
      </c>
      <c r="S49" s="63" t="s">
        <v>154</v>
      </c>
      <c r="T49" s="59">
        <v>46146</v>
      </c>
      <c r="U49" s="62">
        <v>2</v>
      </c>
      <c r="V49" s="62">
        <v>3</v>
      </c>
      <c r="W49" s="62">
        <v>1</v>
      </c>
      <c r="X49" s="62">
        <v>4734</v>
      </c>
      <c r="Y49" s="63">
        <f>Table2[[#This Row],[TimeInSeconds]]/1200</f>
        <v>3.9449999999999998</v>
      </c>
      <c r="Z49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49" s="20" t="str">
        <f t="shared" si="58"/>
        <v>CAR</v>
      </c>
      <c r="AB49" s="63">
        <f>IF(ISBLANK(Table2[[#This Row],[OTROUNDNUM]]), "", Table2[[#This Row],[PAWAYSCORE]]-Table2[[#This Row],[AAWAYSCORE]])</f>
        <v>0</v>
      </c>
      <c r="AC49" s="63">
        <f>IF(ISBLANK(Table2[[#This Row],[OTROUNDNUM]]), "", Table2[[#This Row],[PHOMESCORE]]-Table2[[#This Row],[AHOMESCORE]])</f>
        <v>0</v>
      </c>
      <c r="AD49" s="63">
        <f>_xlfn.IFS(ISBLANK(Table2[[#This Row],[GAMENUM]]), " ", 1, IF((Table2[[#This Row],[TOPSEEDWINS]]+Table2[[#This Row],[LOWSEEDWINS]]) &lt;&gt; Table2[[#This Row],[GAMENUM]], 0, 1))</f>
        <v>1</v>
      </c>
      <c r="AE49" s="63">
        <f>_xlfn.IFS(ISBLANK(Table2[[#This Row],[GAMENUM]]),"", Table2[[#This Row],[GameOver]]=0,"",Table2[[#This Row],[AAWAYSCORE]]&gt;Table2[[#This Row],[AHOMESCORE]], 1,1,0)</f>
        <v>0</v>
      </c>
      <c r="AF49" s="63">
        <f>_xlfn.IFS(ISBLANK(Table2[[#This Row],[GAMENUM]]),"",Table2[[#This Row],[GameOver]]=0,"",Table2[[#This Row],[AAWAYSCORE]]&lt;Table2[[#This Row],[AHOMESCORE]], 1,1,0)</f>
        <v>1</v>
      </c>
      <c r="AG49" s="63">
        <f>_xlfn.IFS(ISBLANK(Table2[[#This Row],[GAMENUM]]),"",Table2[[#This Row],[GameOver]]=0,"",Table2[[#This Row],[OTROUNDNUM]]&gt;0,1,1,0)</f>
        <v>1</v>
      </c>
      <c r="AH49" s="63">
        <f>_xlfn.IFS(ISBLANK(Table2[[#This Row],[GAMENUM]]),"",Table2[[#This Row],[GameOver]]=0,"",Table2[[#This Row],[AAWAYSCORE]]=0,1,1,0)</f>
        <v>0</v>
      </c>
      <c r="AI49" s="63">
        <f>_xlfn.IFS(ISBLANK(Table2[[#This Row],[GAMENUM]]),"", Table2[[#This Row],[GameOver]]=0,"",Table2[[#This Row],[AHOMESCORE]]=0,1,1,0)</f>
        <v>0</v>
      </c>
      <c r="AJ49" s="57"/>
      <c r="AK49" s="65"/>
      <c r="AL49" s="11"/>
      <c r="AM49" s="11"/>
      <c r="AN49" s="11"/>
      <c r="AO49" s="11"/>
      <c r="AP49" s="11"/>
      <c r="AQ49" s="42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30"/>
    </row>
    <row r="50" spans="1:104" x14ac:dyDescent="0.25">
      <c r="A50" s="55" t="str">
        <f>IF(ISBLANK(Table2[[#This Row],[GAMENUM]]), "", _xlfn.TEXTJOIN("", 1, "2025030", Table2[[#This Row],[ROUNDNUM]], Table2[[#This Row],[SeriesID]], Table2[[#This Row],[GAMENUM]]))</f>
        <v>2025030241</v>
      </c>
      <c r="B50" s="63">
        <f>IF(ISBLANK(Table2[[#This Row],[GAMENUM]]), "", INDEX(Table3[SeriesID], MATCH(Table2[[#This Row],[SERIESCODE]],Table3[SeriesCode],0)))</f>
        <v>4</v>
      </c>
      <c r="C50" s="57" t="str">
        <f t="shared" si="56"/>
        <v>Monday</v>
      </c>
      <c r="D50" s="59">
        <v>46146</v>
      </c>
      <c r="E50" s="60">
        <v>0.85416666666666663</v>
      </c>
      <c r="F50" s="59" t="s">
        <v>38</v>
      </c>
      <c r="G50" s="62">
        <v>2</v>
      </c>
      <c r="H50" s="66" t="s">
        <v>53</v>
      </c>
      <c r="I50" s="62">
        <v>1</v>
      </c>
      <c r="J50" s="81" t="str">
        <f>INDEX(Table3[TopSeed],MATCH(Table2[[#This Row],[SERIESCODE]], Table3[SeriesCode], 0))</f>
        <v>VGK</v>
      </c>
      <c r="K50" s="86" t="str">
        <f>INDEX(Table3[LowSeed],MATCH(Table2[[#This Row],[SERIESCODE]], Table3[SeriesCode], 0))</f>
        <v>ANA</v>
      </c>
      <c r="L50" s="62">
        <v>1</v>
      </c>
      <c r="M50" s="62">
        <v>0</v>
      </c>
      <c r="N50" s="86" t="str">
        <f>IF(Table2[[#This Row],[GAMENUM]] = 6, Table2[[#This Row],[TOPSEED]], IF(Table2[[#This Row],[GAMENUM]] = 4, Table2[[#This Row],[TOPSEED]], IF(Table2[[#This Row],[GAMENUM]] = 3, Table2[[#This Row],[TOPSEED]], Table2[LOWSEED])))</f>
        <v>ANA</v>
      </c>
      <c r="O50" s="81" t="str">
        <f>IF(Table2[[#This Row],[GAMENUM]] = 6, Table2[[#This Row],[LOWSEED]], IF(Table2[[#This Row],[GAMENUM]] = 4, Table2[[#This Row],[LOWSEED]], IF(Table2[[#This Row],[GAMENUM]] = 3, Table2[[#This Row],[LOWSEED]], Table2[TOPSEED])))</f>
        <v>VGK</v>
      </c>
      <c r="P50" s="81" t="str">
        <f t="shared" si="57"/>
        <v>VGK</v>
      </c>
      <c r="Q50" s="62">
        <v>2</v>
      </c>
      <c r="R50" s="62">
        <v>3</v>
      </c>
      <c r="S50" s="63" t="s">
        <v>154</v>
      </c>
      <c r="T50" s="59">
        <v>46146</v>
      </c>
      <c r="U50" s="62">
        <v>1</v>
      </c>
      <c r="V50" s="62">
        <v>3</v>
      </c>
      <c r="W50" s="62">
        <v>0</v>
      </c>
      <c r="X50" s="62">
        <v>3600</v>
      </c>
      <c r="Y50" s="63">
        <f>Table2[[#This Row],[TimeInSeconds]]/1200</f>
        <v>3</v>
      </c>
      <c r="Z50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50" s="81" t="str">
        <f t="shared" si="58"/>
        <v>VGK</v>
      </c>
      <c r="AB50" s="63">
        <f>IF(ISBLANK(Table2[[#This Row],[OTROUNDNUM]]), "", Table2[[#This Row],[PAWAYSCORE]]-Table2[[#This Row],[AAWAYSCORE]])</f>
        <v>1</v>
      </c>
      <c r="AC50" s="63">
        <f>IF(ISBLANK(Table2[[#This Row],[OTROUNDNUM]]), "", Table2[[#This Row],[PHOMESCORE]]-Table2[[#This Row],[AHOMESCORE]])</f>
        <v>0</v>
      </c>
      <c r="AD50" s="63">
        <f>_xlfn.IFS(ISBLANK(Table2[[#This Row],[GAMENUM]]), " ", 1, IF((Table2[[#This Row],[TOPSEEDWINS]]+Table2[[#This Row],[LOWSEEDWINS]]) &lt;&gt; Table2[[#This Row],[GAMENUM]], 0, 1))</f>
        <v>1</v>
      </c>
      <c r="AE50" s="63">
        <f>_xlfn.IFS(ISBLANK(Table2[[#This Row],[GAMENUM]]),"", Table2[[#This Row],[GameOver]]=0,"",Table2[[#This Row],[AAWAYSCORE]]&gt;Table2[[#This Row],[AHOMESCORE]], 1,1,0)</f>
        <v>0</v>
      </c>
      <c r="AF50" s="63">
        <f>_xlfn.IFS(ISBLANK(Table2[[#This Row],[GAMENUM]]),"",Table2[[#This Row],[GameOver]]=0,"",Table2[[#This Row],[AAWAYSCORE]]&lt;Table2[[#This Row],[AHOMESCORE]], 1,1,0)</f>
        <v>1</v>
      </c>
      <c r="AG50" s="63">
        <f>_xlfn.IFS(ISBLANK(Table2[[#This Row],[GAMENUM]]),"",Table2[[#This Row],[GameOver]]=0,"",Table2[[#This Row],[OTROUNDNUM]]&gt;0,1,1,0)</f>
        <v>0</v>
      </c>
      <c r="AH50" s="63">
        <f>_xlfn.IFS(ISBLANK(Table2[[#This Row],[GAMENUM]]),"",Table2[[#This Row],[GameOver]]=0,"",Table2[[#This Row],[AAWAYSCORE]]=0,1,1,0)</f>
        <v>0</v>
      </c>
      <c r="AI50" s="63">
        <f>_xlfn.IFS(ISBLANK(Table2[[#This Row],[GAMENUM]]),"", Table2[[#This Row],[GameOver]]=0,"",Table2[[#This Row],[AHOMESCORE]]=0,1,1,0)</f>
        <v>0</v>
      </c>
      <c r="AJ50" s="57"/>
      <c r="AK50" s="65"/>
      <c r="AL50" s="11"/>
      <c r="AM50" s="11"/>
      <c r="AN50" s="11"/>
      <c r="AO50" s="11"/>
      <c r="AP50" s="11"/>
      <c r="AQ50" s="42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30"/>
    </row>
    <row r="51" spans="1:104" x14ac:dyDescent="0.25">
      <c r="A51" s="55" t="str">
        <f>IF(ISBLANK(Table2[[#This Row],[GAMENUM]]), "", _xlfn.TEXTJOIN("", 1, "2025030", Table2[[#This Row],[ROUNDNUM]], Table2[[#This Row],[SeriesID]], Table2[[#This Row],[GAMENUM]]))</f>
        <v>2025030232</v>
      </c>
      <c r="B51" s="63">
        <f>IF(ISBLANK(Table2[[#This Row],[GAMENUM]]), "", INDEX(Table3[SeriesID], MATCH(Table2[[#This Row],[SERIESCODE]],Table3[SeriesCode],0)))</f>
        <v>3</v>
      </c>
      <c r="C51" s="57" t="str">
        <f t="shared" si="56"/>
        <v>Tuesday</v>
      </c>
      <c r="D51" s="59">
        <v>46147</v>
      </c>
      <c r="E51" s="60">
        <v>0.875</v>
      </c>
      <c r="F51" s="59" t="s">
        <v>38</v>
      </c>
      <c r="G51" s="62">
        <v>2</v>
      </c>
      <c r="H51" s="66" t="s">
        <v>52</v>
      </c>
      <c r="I51" s="62">
        <v>2</v>
      </c>
      <c r="J51" s="98" t="str">
        <f>INDEX(Table3[TopSeed],MATCH(Table2[[#This Row],[SERIESCODE]], Table3[SeriesCode], 0))</f>
        <v>COL</v>
      </c>
      <c r="K51" s="95" t="str">
        <f>INDEX(Table3[LowSeed],MATCH(Table2[[#This Row],[SERIESCODE]], Table3[SeriesCode], 0))</f>
        <v>MIN</v>
      </c>
      <c r="L51" s="62">
        <v>2</v>
      </c>
      <c r="M51" s="62">
        <v>0</v>
      </c>
      <c r="N51" s="95" t="str">
        <f>IF(Table2[[#This Row],[GAMENUM]] = 6, Table2[[#This Row],[TOPSEED]], IF(Table2[[#This Row],[GAMENUM]] = 4, Table2[[#This Row],[TOPSEED]], IF(Table2[[#This Row],[GAMENUM]] = 3, Table2[[#This Row],[TOPSEED]], Table2[LOWSEED])))</f>
        <v>MIN</v>
      </c>
      <c r="O51" s="98" t="str">
        <f>IF(Table2[[#This Row],[GAMENUM]] = 6, Table2[[#This Row],[LOWSEED]], IF(Table2[[#This Row],[GAMENUM]] = 4, Table2[[#This Row],[LOWSEED]], IF(Table2[[#This Row],[GAMENUM]] = 3, Table2[[#This Row],[LOWSEED]], Table2[TOPSEED])))</f>
        <v>COL</v>
      </c>
      <c r="P51" s="98" t="str">
        <f t="shared" si="57"/>
        <v>COL</v>
      </c>
      <c r="Q51" s="62">
        <v>2</v>
      </c>
      <c r="R51" s="62">
        <v>3</v>
      </c>
      <c r="S51" s="63" t="s">
        <v>154</v>
      </c>
      <c r="T51" s="59">
        <v>46147</v>
      </c>
      <c r="U51" s="62">
        <v>2</v>
      </c>
      <c r="V51" s="62">
        <v>5</v>
      </c>
      <c r="W51" s="62">
        <v>0</v>
      </c>
      <c r="X51" s="62">
        <v>3600</v>
      </c>
      <c r="Y51" s="63">
        <f>Table2[[#This Row],[TimeInSeconds]]/1200</f>
        <v>3</v>
      </c>
      <c r="Z51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51" s="98" t="str">
        <f t="shared" si="58"/>
        <v>COL</v>
      </c>
      <c r="AB51" s="63">
        <f>IF(ISBLANK(Table2[[#This Row],[OTROUNDNUM]]), "", Table2[[#This Row],[PAWAYSCORE]]-Table2[[#This Row],[AAWAYSCORE]])</f>
        <v>0</v>
      </c>
      <c r="AC51" s="63">
        <f>IF(ISBLANK(Table2[[#This Row],[OTROUNDNUM]]), "", Table2[[#This Row],[PHOMESCORE]]-Table2[[#This Row],[AHOMESCORE]])</f>
        <v>-2</v>
      </c>
      <c r="AD51" s="63">
        <f>_xlfn.IFS(ISBLANK(Table2[[#This Row],[GAMENUM]]), " ", 1, IF((Table2[[#This Row],[TOPSEEDWINS]]+Table2[[#This Row],[LOWSEEDWINS]]) &lt;&gt; Table2[[#This Row],[GAMENUM]], 0, 1))</f>
        <v>1</v>
      </c>
      <c r="AE51" s="63">
        <f>_xlfn.IFS(ISBLANK(Table2[[#This Row],[GAMENUM]]),"", Table2[[#This Row],[GameOver]]=0,"",Table2[[#This Row],[AAWAYSCORE]]&gt;Table2[[#This Row],[AHOMESCORE]], 1,1,0)</f>
        <v>0</v>
      </c>
      <c r="AF51" s="63">
        <f>_xlfn.IFS(ISBLANK(Table2[[#This Row],[GAMENUM]]),"",Table2[[#This Row],[GameOver]]=0,"",Table2[[#This Row],[AAWAYSCORE]]&lt;Table2[[#This Row],[AHOMESCORE]], 1,1,0)</f>
        <v>1</v>
      </c>
      <c r="AG51" s="63">
        <f>_xlfn.IFS(ISBLANK(Table2[[#This Row],[GAMENUM]]),"",Table2[[#This Row],[GameOver]]=0,"",Table2[[#This Row],[OTROUNDNUM]]&gt;0,1,1,0)</f>
        <v>0</v>
      </c>
      <c r="AH51" s="63">
        <f>_xlfn.IFS(ISBLANK(Table2[[#This Row],[GAMENUM]]),"",Table2[[#This Row],[GameOver]]=0,"",Table2[[#This Row],[AAWAYSCORE]]=0,1,1,0)</f>
        <v>0</v>
      </c>
      <c r="AI51" s="63">
        <f>_xlfn.IFS(ISBLANK(Table2[[#This Row],[GAMENUM]]),"", Table2[[#This Row],[GameOver]]=0,"",Table2[[#This Row],[AHOMESCORE]]=0,1,1,0)</f>
        <v>0</v>
      </c>
      <c r="AJ51" s="57"/>
      <c r="AK51" s="65"/>
      <c r="AL51" s="11"/>
      <c r="AM51" s="11"/>
      <c r="AN51" s="11"/>
      <c r="AO51" s="11"/>
      <c r="AP51" s="11"/>
      <c r="AQ51" s="42"/>
      <c r="AR51" s="36" t="s">
        <v>87</v>
      </c>
      <c r="AS51" s="36" t="s">
        <v>194</v>
      </c>
      <c r="AT51" s="36" t="s">
        <v>195</v>
      </c>
      <c r="AU51" s="36" t="s">
        <v>196</v>
      </c>
      <c r="AV51" s="36" t="s">
        <v>193</v>
      </c>
      <c r="AW51" s="36" t="s">
        <v>57</v>
      </c>
      <c r="AX51" s="36" t="s">
        <v>58</v>
      </c>
      <c r="AY51" s="36" t="s">
        <v>59</v>
      </c>
      <c r="AZ51" s="36" t="s">
        <v>60</v>
      </c>
      <c r="BA51" s="36" t="s">
        <v>61</v>
      </c>
      <c r="BB51" s="36" t="s">
        <v>62</v>
      </c>
      <c r="BC51" s="36" t="s">
        <v>63</v>
      </c>
      <c r="BD51" s="36" t="s">
        <v>64</v>
      </c>
      <c r="BE51" s="36" t="s">
        <v>65</v>
      </c>
      <c r="BF51" s="36" t="s">
        <v>66</v>
      </c>
      <c r="BG51" s="36" t="s">
        <v>67</v>
      </c>
      <c r="BH51" s="36" t="s">
        <v>68</v>
      </c>
      <c r="BI51" s="36" t="s">
        <v>69</v>
      </c>
      <c r="BJ51" s="36" t="s">
        <v>120</v>
      </c>
      <c r="BK51" s="36" t="s">
        <v>121</v>
      </c>
      <c r="BL51" s="36" t="s">
        <v>122</v>
      </c>
      <c r="BM51" s="36" t="s">
        <v>123</v>
      </c>
      <c r="BN51" s="36" t="s">
        <v>124</v>
      </c>
      <c r="BO51" s="36" t="s">
        <v>125</v>
      </c>
      <c r="BP51" s="36" t="s">
        <v>126</v>
      </c>
      <c r="BQ51" s="36" t="s">
        <v>127</v>
      </c>
      <c r="BR51" s="36" t="s">
        <v>128</v>
      </c>
      <c r="BS51" s="36" t="s">
        <v>129</v>
      </c>
      <c r="BT51" s="36" t="s">
        <v>130</v>
      </c>
      <c r="BU51" s="102" t="s">
        <v>131</v>
      </c>
      <c r="BV51" s="102" t="s">
        <v>132</v>
      </c>
      <c r="BW51" s="102" t="s">
        <v>133</v>
      </c>
      <c r="BX51" s="102" t="s">
        <v>134</v>
      </c>
      <c r="BY51" s="36" t="s">
        <v>135</v>
      </c>
      <c r="BZ51" s="36" t="s">
        <v>136</v>
      </c>
      <c r="CA51" s="65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30"/>
    </row>
    <row r="52" spans="1:104" x14ac:dyDescent="0.25">
      <c r="A52" s="55" t="str">
        <f>IF(ISBLANK(Table2[[#This Row],[GAMENUM]]), "", _xlfn.TEXTJOIN("", 1, "2025030", Table2[[#This Row],[ROUNDNUM]], Table2[[#This Row],[SeriesID]], Table2[[#This Row],[GAMENUM]]))</f>
        <v>2025030211</v>
      </c>
      <c r="B52" s="63">
        <f>IF(ISBLANK(Table2[[#This Row],[GAMENUM]]), "", INDEX(Table3[SeriesID], MATCH(Table2[[#This Row],[SERIESCODE]],Table3[SeriesCode],0)))</f>
        <v>1</v>
      </c>
      <c r="C52" s="57" t="str">
        <f t="shared" si="56"/>
        <v>Wednesday</v>
      </c>
      <c r="D52" s="59">
        <v>46148</v>
      </c>
      <c r="E52" s="60">
        <v>0.83333333333333337</v>
      </c>
      <c r="F52" s="59" t="s">
        <v>16</v>
      </c>
      <c r="G52" s="62">
        <v>2</v>
      </c>
      <c r="H52" s="66" t="s">
        <v>51</v>
      </c>
      <c r="I52" s="62">
        <v>1</v>
      </c>
      <c r="J52" s="78" t="str">
        <f>INDEX(Table3[TopSeed],MATCH(Table2[[#This Row],[SERIESCODE]], Table3[SeriesCode], 0))</f>
        <v>BUF</v>
      </c>
      <c r="K52" s="97" t="str">
        <f>INDEX(Table3[LowSeed],MATCH(Table2[[#This Row],[SERIESCODE]], Table3[SeriesCode], 0))</f>
        <v>MTL</v>
      </c>
      <c r="L52" s="62">
        <v>1</v>
      </c>
      <c r="M52" s="62">
        <v>0</v>
      </c>
      <c r="N52" s="97" t="str">
        <f>IF(Table2[[#This Row],[GAMENUM]] = 6, Table2[[#This Row],[TOPSEED]], IF(Table2[[#This Row],[GAMENUM]] = 4, Table2[[#This Row],[TOPSEED]], IF(Table2[[#This Row],[GAMENUM]] = 3, Table2[[#This Row],[TOPSEED]], Table2[LOWSEED])))</f>
        <v>MTL</v>
      </c>
      <c r="O52" s="78" t="str">
        <f>IF(Table2[[#This Row],[GAMENUM]] = 6, Table2[[#This Row],[LOWSEED]], IF(Table2[[#This Row],[GAMENUM]] = 4, Table2[[#This Row],[LOWSEED]], IF(Table2[[#This Row],[GAMENUM]] = 3, Table2[[#This Row],[LOWSEED]], Table2[TOPSEED])))</f>
        <v>BUF</v>
      </c>
      <c r="P52" s="97" t="str">
        <f t="shared" si="57"/>
        <v>MTL</v>
      </c>
      <c r="Q52" s="62">
        <v>3</v>
      </c>
      <c r="R52" s="62">
        <v>2</v>
      </c>
      <c r="S52" s="63" t="s">
        <v>154</v>
      </c>
      <c r="T52" s="59">
        <v>46148</v>
      </c>
      <c r="U52" s="62">
        <v>2</v>
      </c>
      <c r="V52" s="62">
        <v>4</v>
      </c>
      <c r="W52" s="62">
        <v>0</v>
      </c>
      <c r="X52" s="62">
        <v>3600</v>
      </c>
      <c r="Y52" s="63">
        <f>Table2[[#This Row],[TimeInSeconds]]/1200</f>
        <v>3</v>
      </c>
      <c r="Z52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52" s="78" t="str">
        <f t="shared" si="58"/>
        <v>BUF</v>
      </c>
      <c r="AB52" s="63">
        <f>IF(ISBLANK(Table2[[#This Row],[OTROUNDNUM]]), "", Table2[[#This Row],[PAWAYSCORE]]-Table2[[#This Row],[AAWAYSCORE]])</f>
        <v>1</v>
      </c>
      <c r="AC52" s="63">
        <f>IF(ISBLANK(Table2[[#This Row],[OTROUNDNUM]]), "", Table2[[#This Row],[PHOMESCORE]]-Table2[[#This Row],[AHOMESCORE]])</f>
        <v>-2</v>
      </c>
      <c r="AD52" s="63">
        <f>_xlfn.IFS(ISBLANK(Table2[[#This Row],[GAMENUM]]), " ", 1, IF((Table2[[#This Row],[TOPSEEDWINS]]+Table2[[#This Row],[LOWSEEDWINS]]) &lt;&gt; Table2[[#This Row],[GAMENUM]], 0, 1))</f>
        <v>1</v>
      </c>
      <c r="AE52" s="63">
        <f>_xlfn.IFS(ISBLANK(Table2[[#This Row],[GAMENUM]]),"", Table2[[#This Row],[GameOver]]=0,"",Table2[[#This Row],[AAWAYSCORE]]&gt;Table2[[#This Row],[AHOMESCORE]], 1,1,0)</f>
        <v>0</v>
      </c>
      <c r="AF52" s="63">
        <f>_xlfn.IFS(ISBLANK(Table2[[#This Row],[GAMENUM]]),"",Table2[[#This Row],[GameOver]]=0,"",Table2[[#This Row],[AAWAYSCORE]]&lt;Table2[[#This Row],[AHOMESCORE]], 1,1,0)</f>
        <v>1</v>
      </c>
      <c r="AG52" s="63">
        <f>_xlfn.IFS(ISBLANK(Table2[[#This Row],[GAMENUM]]),"",Table2[[#This Row],[GameOver]]=0,"",Table2[[#This Row],[OTROUNDNUM]]&gt;0,1,1,0)</f>
        <v>0</v>
      </c>
      <c r="AH52" s="63">
        <f>_xlfn.IFS(ISBLANK(Table2[[#This Row],[GAMENUM]]),"",Table2[[#This Row],[GameOver]]=0,"",Table2[[#This Row],[AAWAYSCORE]]=0,1,1,0)</f>
        <v>0</v>
      </c>
      <c r="AI52" s="63">
        <f>_xlfn.IFS(ISBLANK(Table2[[#This Row],[GAMENUM]]),"", Table2[[#This Row],[GameOver]]=0,"",Table2[[#This Row],[AHOMESCORE]]=0,1,1,0)</f>
        <v>0</v>
      </c>
      <c r="AJ52" s="57"/>
      <c r="AK52" s="65"/>
      <c r="AL52" s="11"/>
      <c r="AM52" s="11"/>
      <c r="AN52" s="11"/>
      <c r="AO52" s="11"/>
      <c r="AP52" s="11"/>
      <c r="AQ52" s="42"/>
      <c r="AR52" s="119" t="s">
        <v>18</v>
      </c>
      <c r="AS52" s="137">
        <f>SUMIFS(Table2[Periods], Table2[TOPSEED], Table6[[#This Row],[Team]], Table2[ROUNDNUM], 3)+SUMIFS(Table2[Periods], Table2[LOWSEED], Table6[[#This Row],[Team]], Table2[ROUNDNUM],3)</f>
        <v>15.879166666666666</v>
      </c>
      <c r="AT52" s="57">
        <f>SUMIFS(Table2[TimeInSeconds], Table2[TOPSEED], Table6[[#This Row],[Team]], Table2[ROUNDNUM], 3)+SUMIFS(Table2[TimeInSeconds], Table2[LOWSEED], Table6[[#This Row],[Team]], Table2[ROUNDNUM],3)</f>
        <v>19055</v>
      </c>
      <c r="AU52" s="137">
        <f>Table6[[#This Row],[SecondsPlayed]]/3600</f>
        <v>5.2930555555555552</v>
      </c>
      <c r="AV52" s="57">
        <v>2006</v>
      </c>
      <c r="AW52" s="57">
        <f>COUNTIFS(Table2[LOWSEED], AR52, Table2[ROUNDNUM], 1, Table2[GameOver], 1) + COUNTIFS(Table2[TOPSEED], AR52, Table2[ROUNDNUM], 1, Table2[GameOver], 1)</f>
        <v>4</v>
      </c>
      <c r="AX52" s="57">
        <f>COUNTIFS(Table2[LOWSEED], AR52, Table2[ROUNDNUM], 2, Table2[GameOver], 1) + COUNTIFS(Table2[TOPSEED], AR52, Table2[ROUNDNUM], 2, Table2[GameOver], 1)</f>
        <v>4</v>
      </c>
      <c r="AY52" s="57">
        <f>COUNTIFS(Table2[LOWSEED], AR52, Table2[ROUNDNUM], 3, Table2[GameOver], 1) + COUNTIFS(Table2[TOPSEED], AR52, Table2[ROUNDNUM], 3, Table2[GameOver], 1)</f>
        <v>5</v>
      </c>
      <c r="AZ52" s="57">
        <f>COUNTIFS(Table2[LOWSEED], AR52, Table2[ROUNDNUM], 4, Table2[GameOver], 1) + COUNTIFS(Table2[TOPSEED], AR52, Table2[ROUNDNUM], 4, Table2[GameOver], 1)</f>
        <v>1</v>
      </c>
      <c r="BA52" s="57">
        <f>AW52+AX52+AY52+AZ52</f>
        <v>14</v>
      </c>
      <c r="BB52" s="57">
        <f>COUNTIF($P$2:$P$107, AR52)</f>
        <v>11</v>
      </c>
      <c r="BC52" s="57">
        <f>COUNTIF($O$2:$O$107, AR52)</f>
        <v>9</v>
      </c>
      <c r="BD52" s="57">
        <f>BF52+BH52</f>
        <v>8</v>
      </c>
      <c r="BE52" s="57">
        <f>BA52-BD52</f>
        <v>6</v>
      </c>
      <c r="BF52" s="57">
        <f>SUMPRODUCT(($P$2:$P$107=AR52)*($W$2:$W$107&gt;$V$2:$V$107))</f>
        <v>0</v>
      </c>
      <c r="BG52" s="57">
        <f>SUMPRODUCT(($P$2:$P$107=AR52)*($W$2:$W$107&lt;$V$2:$V$107))</f>
        <v>11</v>
      </c>
      <c r="BH52" s="57">
        <f>SUMPRODUCT(($O$2:$O$107=AR52)*($W$2:$W$107&lt;$V$2:$V$107))</f>
        <v>8</v>
      </c>
      <c r="BI52" s="57">
        <f>SUMPRODUCT(($O$2:$O$107=AR52)*($W$2:$W$107&gt;$V$2:$V$107))</f>
        <v>0</v>
      </c>
      <c r="BJ52" s="57">
        <f>COUNTIFS($P$2:$P$107,AR52,$G$2:$G$107,3)</f>
        <v>3</v>
      </c>
      <c r="BK52" s="57">
        <f>COUNTIFS($O$2:$O$107,AR52,$G$2:$G$107,3)</f>
        <v>3</v>
      </c>
      <c r="BL52" s="57">
        <f>SUMIFS($W$2:$W$107, $P$2:$P$107, AR52,$G$2:$G$107, 3)</f>
        <v>2</v>
      </c>
      <c r="BM52" s="57">
        <f>SUMIFS($V$2:$V$107, $O$2:$O$107, AR52,$G$2:$G$107, 3)</f>
        <v>11</v>
      </c>
      <c r="BN52" s="57">
        <f>SUMIFS($V$2:$V$107, $P$2:$P$107, AR52,$G$2:$G$107, 3)</f>
        <v>7</v>
      </c>
      <c r="BO52" s="57">
        <f>SUMIFS($W$2:$W$107, $O$2:$O$107, AR52,$G$2:$G$107, 3)</f>
        <v>1</v>
      </c>
      <c r="BP52" s="57">
        <f t="shared" ref="BP52:BQ55" si="82">BL52-BN52</f>
        <v>-5</v>
      </c>
      <c r="BQ52" s="57">
        <f t="shared" si="82"/>
        <v>10</v>
      </c>
      <c r="BR52" s="57">
        <f>BL52+BM52</f>
        <v>13</v>
      </c>
      <c r="BS52" s="57">
        <f>BN52+BO52</f>
        <v>8</v>
      </c>
      <c r="BT52" s="57">
        <f>(BL52+BM52)-(BN52+BO52)</f>
        <v>5</v>
      </c>
      <c r="BU52">
        <f t="shared" ref="BU52:BV55" si="83">BL52/BJ52</f>
        <v>0.66666666666666663</v>
      </c>
      <c r="BV52">
        <f t="shared" si="83"/>
        <v>3.6666666666666665</v>
      </c>
      <c r="BW52">
        <f t="shared" ref="BW52:BX55" si="84">BN52/BJ52</f>
        <v>2.3333333333333335</v>
      </c>
      <c r="BX52">
        <f t="shared" si="84"/>
        <v>0.33333333333333331</v>
      </c>
      <c r="BY52" s="57">
        <f>BR52/AW52</f>
        <v>3.25</v>
      </c>
      <c r="BZ52" s="57">
        <f>BS52/AW52</f>
        <v>2</v>
      </c>
      <c r="CA52" s="65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30"/>
    </row>
    <row r="53" spans="1:104" x14ac:dyDescent="0.25">
      <c r="A53" s="55" t="str">
        <f>IF(ISBLANK(Table2[[#This Row],[GAMENUM]]), "", _xlfn.TEXTJOIN("", 1, "2025030", Table2[[#This Row],[ROUNDNUM]], Table2[[#This Row],[SeriesID]], Table2[[#This Row],[GAMENUM]]))</f>
        <v>2025030242</v>
      </c>
      <c r="B53" s="63">
        <f>IF(ISBLANK(Table2[[#This Row],[GAMENUM]]), "", INDEX(Table3[SeriesID], MATCH(Table2[[#This Row],[SERIESCODE]],Table3[SeriesCode],0)))</f>
        <v>4</v>
      </c>
      <c r="C53" s="57" t="str">
        <f t="shared" si="56"/>
        <v>Wednesday</v>
      </c>
      <c r="D53" s="59">
        <v>46148</v>
      </c>
      <c r="E53" s="60">
        <v>0.9375</v>
      </c>
      <c r="F53" s="59" t="s">
        <v>38</v>
      </c>
      <c r="G53" s="62">
        <v>2</v>
      </c>
      <c r="H53" s="66" t="s">
        <v>53</v>
      </c>
      <c r="I53" s="62">
        <v>2</v>
      </c>
      <c r="J53" s="81" t="str">
        <f>INDEX(Table3[TopSeed],MATCH(Table2[[#This Row],[SERIESCODE]], Table3[SeriesCode], 0))</f>
        <v>VGK</v>
      </c>
      <c r="K53" s="86" t="str">
        <f>INDEX(Table3[LowSeed],MATCH(Table2[[#This Row],[SERIESCODE]], Table3[SeriesCode], 0))</f>
        <v>ANA</v>
      </c>
      <c r="L53" s="62">
        <v>1</v>
      </c>
      <c r="M53" s="62">
        <v>1</v>
      </c>
      <c r="N53" s="86" t="str">
        <f>IF(Table2[[#This Row],[GAMENUM]] = 6, Table2[[#This Row],[TOPSEED]], IF(Table2[[#This Row],[GAMENUM]] = 4, Table2[[#This Row],[TOPSEED]], IF(Table2[[#This Row],[GAMENUM]] = 3, Table2[[#This Row],[TOPSEED]], Table2[LOWSEED])))</f>
        <v>ANA</v>
      </c>
      <c r="O53" s="81" t="str">
        <f>IF(Table2[[#This Row],[GAMENUM]] = 6, Table2[[#This Row],[LOWSEED]], IF(Table2[[#This Row],[GAMENUM]] = 4, Table2[[#This Row],[LOWSEED]], IF(Table2[[#This Row],[GAMENUM]] = 3, Table2[[#This Row],[LOWSEED]], Table2[TOPSEED])))</f>
        <v>VGK</v>
      </c>
      <c r="P53" s="86" t="str">
        <f t="shared" si="57"/>
        <v>ANA</v>
      </c>
      <c r="Q53" s="62">
        <v>3</v>
      </c>
      <c r="R53" s="62">
        <v>2</v>
      </c>
      <c r="S53" s="63" t="s">
        <v>154</v>
      </c>
      <c r="T53" s="59">
        <v>46148</v>
      </c>
      <c r="U53" s="62">
        <v>3</v>
      </c>
      <c r="V53" s="62">
        <v>1</v>
      </c>
      <c r="W53" s="62">
        <v>0</v>
      </c>
      <c r="X53" s="62">
        <v>3600</v>
      </c>
      <c r="Y53" s="63">
        <f>Table2[[#This Row],[TimeInSeconds]]/1200</f>
        <v>3</v>
      </c>
      <c r="Z53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53" s="86" t="str">
        <f t="shared" si="58"/>
        <v>ANA</v>
      </c>
      <c r="AB53" s="63">
        <f>IF(ISBLANK(Table2[[#This Row],[OTROUNDNUM]]), "", Table2[[#This Row],[PAWAYSCORE]]-Table2[[#This Row],[AAWAYSCORE]])</f>
        <v>0</v>
      </c>
      <c r="AC53" s="63">
        <f>IF(ISBLANK(Table2[[#This Row],[OTROUNDNUM]]), "", Table2[[#This Row],[PHOMESCORE]]-Table2[[#This Row],[AHOMESCORE]])</f>
        <v>1</v>
      </c>
      <c r="AD53" s="63">
        <f>_xlfn.IFS(ISBLANK(Table2[[#This Row],[GAMENUM]]), " ", 1, IF((Table2[[#This Row],[TOPSEEDWINS]]+Table2[[#This Row],[LOWSEEDWINS]]) &lt;&gt; Table2[[#This Row],[GAMENUM]], 0, 1))</f>
        <v>1</v>
      </c>
      <c r="AE53" s="63">
        <f>_xlfn.IFS(ISBLANK(Table2[[#This Row],[GAMENUM]]),"", Table2[[#This Row],[GameOver]]=0,"",Table2[[#This Row],[AAWAYSCORE]]&gt;Table2[[#This Row],[AHOMESCORE]], 1,1,0)</f>
        <v>1</v>
      </c>
      <c r="AF53" s="63">
        <f>_xlfn.IFS(ISBLANK(Table2[[#This Row],[GAMENUM]]),"",Table2[[#This Row],[GameOver]]=0,"",Table2[[#This Row],[AAWAYSCORE]]&lt;Table2[[#This Row],[AHOMESCORE]], 1,1,0)</f>
        <v>0</v>
      </c>
      <c r="AG53" s="63">
        <f>_xlfn.IFS(ISBLANK(Table2[[#This Row],[GAMENUM]]),"",Table2[[#This Row],[GameOver]]=0,"",Table2[[#This Row],[OTROUNDNUM]]&gt;0,1,1,0)</f>
        <v>0</v>
      </c>
      <c r="AH53" s="63">
        <f>_xlfn.IFS(ISBLANK(Table2[[#This Row],[GAMENUM]]),"",Table2[[#This Row],[GameOver]]=0,"",Table2[[#This Row],[AAWAYSCORE]]=0,1,1,0)</f>
        <v>0</v>
      </c>
      <c r="AI53" s="63">
        <f>_xlfn.IFS(ISBLANK(Table2[[#This Row],[GAMENUM]]),"", Table2[[#This Row],[GameOver]]=0,"",Table2[[#This Row],[AHOMESCORE]]=0,1,1,0)</f>
        <v>0</v>
      </c>
      <c r="AJ53" s="57"/>
      <c r="AK53" s="65"/>
      <c r="AL53" s="11"/>
      <c r="AM53" s="11"/>
      <c r="AN53" s="11"/>
      <c r="AO53" s="11"/>
      <c r="AP53" s="11"/>
      <c r="AQ53" s="42"/>
      <c r="AR53" s="44" t="s">
        <v>158</v>
      </c>
      <c r="AS53" s="137">
        <f>SUMIFS(Table2[Periods], Table2[TOPSEED], Table6[[#This Row],[Team]], Table2[ROUNDNUM], 3)+SUMIFS(Table2[Periods], Table2[LOWSEED], Table6[[#This Row],[Team]], Table2[ROUNDNUM],3)</f>
        <v>15.879166666666666</v>
      </c>
      <c r="AT53" s="57">
        <f>SUMIFS(Table2[TimeInSeconds], Table2[TOPSEED], Table6[[#This Row],[Team]], Table2[ROUNDNUM], 3)+SUMIFS(Table2[TimeInSeconds], Table2[LOWSEED], Table6[[#This Row],[Team]], Table2[ROUNDNUM],3)</f>
        <v>19055</v>
      </c>
      <c r="AU53" s="137">
        <f>Table6[[#This Row],[SecondsPlayed]]/3600</f>
        <v>5.2930555555555552</v>
      </c>
      <c r="AV53" s="57">
        <v>1993</v>
      </c>
      <c r="AW53" s="57">
        <f>COUNTIFS(Table2[LOWSEED], AR53, Table2[ROUNDNUM], 1, Table2[GameOver], 1) + COUNTIFS(Table2[TOPSEED], AR53, Table2[ROUNDNUM], 1, Table2[GameOver], 1)</f>
        <v>7</v>
      </c>
      <c r="AX53" s="57">
        <f>COUNTIFS(Table2[LOWSEED], AR53, Table2[ROUNDNUM], 2, Table2[GameOver], 1) + COUNTIFS(Table2[TOPSEED], AR53, Table2[ROUNDNUM], 2, Table2[GameOver], 1)</f>
        <v>7</v>
      </c>
      <c r="AY53" s="57">
        <f>COUNTIFS(Table2[LOWSEED], AR53, Table2[ROUNDNUM], 3, Table2[GameOver], 1) + COUNTIFS(Table2[TOPSEED], AR53, Table2[ROUNDNUM], 3, Table2[GameOver], 1)</f>
        <v>5</v>
      </c>
      <c r="AZ53" s="57">
        <f>COUNTIFS(Table2[LOWSEED], AR53, Table2[ROUNDNUM], 4, Table2[GameOver], 1) + COUNTIFS(Table2[TOPSEED], AR53, Table2[ROUNDNUM], 4, Table2[GameOver], 1)</f>
        <v>0</v>
      </c>
      <c r="BA53" s="57">
        <f t="shared" ref="BA53:BA55" si="85">AW53+AX53+AY53+AZ53</f>
        <v>19</v>
      </c>
      <c r="BB53" s="57">
        <f>COUNTIF($P$2:$P$107, AR53)</f>
        <v>10</v>
      </c>
      <c r="BC53" s="57">
        <f>COUNTIF($O$2:$O$107, AR53)</f>
        <v>8</v>
      </c>
      <c r="BD53" s="57">
        <f t="shared" ref="BD53:BD55" si="86">BF53+BH53</f>
        <v>7</v>
      </c>
      <c r="BE53" s="57">
        <f t="shared" ref="BE53:BE55" si="87">BA53-BD53</f>
        <v>12</v>
      </c>
      <c r="BF53" s="57">
        <f>SUMPRODUCT(($P$2:$P$107=AR53)*($W$2:$W$107&gt;$V$2:$V$107))</f>
        <v>1</v>
      </c>
      <c r="BG53" s="57">
        <f>SUMPRODUCT(($P$2:$P$107=AR53)*($W$2:$W$107&lt;$V$2:$V$107))</f>
        <v>8</v>
      </c>
      <c r="BH53" s="57">
        <f>SUMPRODUCT(($O$2:$O$107=AR53)*($W$2:$W$107&lt;$V$2:$V$107))</f>
        <v>6</v>
      </c>
      <c r="BI53" s="57">
        <f>SUMPRODUCT(($O$2:$O$107=AR53)*($W$2:$W$107&gt;$V$2:$V$107))</f>
        <v>1</v>
      </c>
      <c r="BJ53" s="57">
        <f>COUNTIFS($P$2:$P$107,AR53,$G$2:$G$107,3)</f>
        <v>2</v>
      </c>
      <c r="BK53" s="57">
        <f>COUNTIFS($O$2:$O$107,AR53,$G$2:$G$107,3)</f>
        <v>2</v>
      </c>
      <c r="BL53" s="57">
        <f>SUMIFS($W$2:$W$107, $P$2:$P$107, AR53,$G$2:$G$107, 3)</f>
        <v>0</v>
      </c>
      <c r="BM53" s="57">
        <f>SUMIFS($V$2:$V$107, $O$2:$O$107, AR53,$G$2:$G$107, 3)</f>
        <v>2</v>
      </c>
      <c r="BN53" s="57">
        <f>SUMIFS($V$2:$V$107, $P$2:$P$107, AR53,$G$2:$G$107, 3)</f>
        <v>6</v>
      </c>
      <c r="BO53" s="57">
        <f>SUMIFS($W$2:$W$107, $O$2:$O$107, AR53,$G$2:$G$107, 3)</f>
        <v>1</v>
      </c>
      <c r="BP53" s="57">
        <f t="shared" si="82"/>
        <v>-6</v>
      </c>
      <c r="BQ53" s="57">
        <f t="shared" si="82"/>
        <v>1</v>
      </c>
      <c r="BR53" s="57">
        <f t="shared" ref="BR53:BR55" si="88">BL53+BM53</f>
        <v>2</v>
      </c>
      <c r="BS53" s="57">
        <f t="shared" ref="BS53:BS55" si="89">BN53+BO53</f>
        <v>7</v>
      </c>
      <c r="BT53" s="57">
        <f t="shared" ref="BT53:BT55" si="90">(BL53+BM53)-(BN53+BO53)</f>
        <v>-5</v>
      </c>
      <c r="BU53">
        <f t="shared" si="83"/>
        <v>0</v>
      </c>
      <c r="BV53">
        <f t="shared" si="83"/>
        <v>1</v>
      </c>
      <c r="BW53">
        <f t="shared" si="84"/>
        <v>3</v>
      </c>
      <c r="BX53">
        <f t="shared" si="84"/>
        <v>0.5</v>
      </c>
      <c r="BY53">
        <f t="shared" ref="BY53:BY55" si="91">BR53/AW53</f>
        <v>0.2857142857142857</v>
      </c>
      <c r="BZ53">
        <f t="shared" ref="BZ53:BZ55" si="92">BS53/AW53</f>
        <v>1</v>
      </c>
      <c r="CA53" s="65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30"/>
    </row>
    <row r="54" spans="1:104" x14ac:dyDescent="0.25">
      <c r="A54" s="55" t="str">
        <f>IF(ISBLANK(Table2[[#This Row],[GAMENUM]]), "", _xlfn.TEXTJOIN("", 1, "2025030", Table2[[#This Row],[ROUNDNUM]], Table2[[#This Row],[SeriesID]], Table2[[#This Row],[GAMENUM]]))</f>
        <v>2025030223</v>
      </c>
      <c r="B54" s="63">
        <f>IF(ISBLANK(Table2[[#This Row],[GAMENUM]]), "", INDEX(Table3[SeriesID], MATCH(Table2[[#This Row],[SERIESCODE]],Table3[SeriesCode],0)))</f>
        <v>2</v>
      </c>
      <c r="C54" s="57" t="str">
        <f t="shared" si="56"/>
        <v>Thursday</v>
      </c>
      <c r="D54" s="59">
        <v>46149</v>
      </c>
      <c r="E54" s="60">
        <v>0.875</v>
      </c>
      <c r="F54" s="59" t="s">
        <v>16</v>
      </c>
      <c r="G54" s="62">
        <v>2</v>
      </c>
      <c r="H54" s="66" t="s">
        <v>50</v>
      </c>
      <c r="I54" s="62">
        <v>3</v>
      </c>
      <c r="J54" s="20" t="str">
        <f>INDEX(Table3[TopSeed],MATCH(Table2[[#This Row],[SERIESCODE]], Table3[SeriesCode], 0))</f>
        <v>CAR</v>
      </c>
      <c r="K54" s="32" t="str">
        <f>INDEX(Table3[LowSeed],MATCH(Table2[[#This Row],[SERIESCODE]], Table3[SeriesCode], 0))</f>
        <v>PHI</v>
      </c>
      <c r="L54" s="62">
        <v>3</v>
      </c>
      <c r="M54" s="62">
        <v>0</v>
      </c>
      <c r="N54" s="20" t="str">
        <f>IF(Table2[[#This Row],[GAMENUM]] = 6, Table2[[#This Row],[TOPSEED]], IF(Table2[[#This Row],[GAMENUM]] = 4, Table2[[#This Row],[TOPSEED]], IF(Table2[[#This Row],[GAMENUM]] = 3, Table2[[#This Row],[TOPSEED]], Table2[LOWSEED])))</f>
        <v>CAR</v>
      </c>
      <c r="O54" s="32" t="str">
        <f>IF(Table2[[#This Row],[GAMENUM]] = 6, Table2[[#This Row],[LOWSEED]], IF(Table2[[#This Row],[GAMENUM]] = 4, Table2[[#This Row],[LOWSEED]], IF(Table2[[#This Row],[GAMENUM]] = 3, Table2[[#This Row],[LOWSEED]], Table2[TOPSEED])))</f>
        <v>PHI</v>
      </c>
      <c r="P54" s="20" t="str">
        <f t="shared" si="57"/>
        <v>CAR</v>
      </c>
      <c r="Q54" s="62">
        <v>2</v>
      </c>
      <c r="R54" s="62">
        <v>1</v>
      </c>
      <c r="S54" s="63" t="s">
        <v>154</v>
      </c>
      <c r="T54" s="59">
        <v>46149</v>
      </c>
      <c r="U54" s="62">
        <v>4</v>
      </c>
      <c r="V54" s="62">
        <v>1</v>
      </c>
      <c r="W54" s="62">
        <v>0</v>
      </c>
      <c r="X54" s="62">
        <v>3600</v>
      </c>
      <c r="Y54" s="63">
        <f>Table2[[#This Row],[TimeInSeconds]]/1200</f>
        <v>3</v>
      </c>
      <c r="Z54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54" s="20" t="str">
        <f t="shared" si="58"/>
        <v>CAR</v>
      </c>
      <c r="AB54" s="63">
        <f>IF(ISBLANK(Table2[[#This Row],[OTROUNDNUM]]), "", Table2[[#This Row],[PAWAYSCORE]]-Table2[[#This Row],[AAWAYSCORE]])</f>
        <v>-2</v>
      </c>
      <c r="AC54" s="63">
        <f>IF(ISBLANK(Table2[[#This Row],[OTROUNDNUM]]), "", Table2[[#This Row],[PHOMESCORE]]-Table2[[#This Row],[AHOMESCORE]])</f>
        <v>0</v>
      </c>
      <c r="AD54" s="63">
        <f>_xlfn.IFS(ISBLANK(Table2[[#This Row],[GAMENUM]]), " ", 1, IF((Table2[[#This Row],[TOPSEEDWINS]]+Table2[[#This Row],[LOWSEEDWINS]]) &lt;&gt; Table2[[#This Row],[GAMENUM]], 0, 1))</f>
        <v>1</v>
      </c>
      <c r="AE54" s="63">
        <f>_xlfn.IFS(ISBLANK(Table2[[#This Row],[GAMENUM]]),"", Table2[[#This Row],[GameOver]]=0,"",Table2[[#This Row],[AAWAYSCORE]]&gt;Table2[[#This Row],[AHOMESCORE]], 1,1,0)</f>
        <v>1</v>
      </c>
      <c r="AF54" s="63">
        <f>_xlfn.IFS(ISBLANK(Table2[[#This Row],[GAMENUM]]),"",Table2[[#This Row],[GameOver]]=0,"",Table2[[#This Row],[AAWAYSCORE]]&lt;Table2[[#This Row],[AHOMESCORE]], 1,1,0)</f>
        <v>0</v>
      </c>
      <c r="AG54" s="63">
        <f>_xlfn.IFS(ISBLANK(Table2[[#This Row],[GAMENUM]]),"",Table2[[#This Row],[GameOver]]=0,"",Table2[[#This Row],[OTROUNDNUM]]&gt;0,1,1,0)</f>
        <v>0</v>
      </c>
      <c r="AH54" s="63">
        <f>_xlfn.IFS(ISBLANK(Table2[[#This Row],[GAMENUM]]),"",Table2[[#This Row],[GameOver]]=0,"",Table2[[#This Row],[AAWAYSCORE]]=0,1,1,0)</f>
        <v>0</v>
      </c>
      <c r="AI54" s="63">
        <f>_xlfn.IFS(ISBLANK(Table2[[#This Row],[GAMENUM]]),"", Table2[[#This Row],[GameOver]]=0,"",Table2[[#This Row],[AHOMESCORE]]=0,1,1,0)</f>
        <v>0</v>
      </c>
      <c r="AJ54" s="57"/>
      <c r="AK54" s="65"/>
      <c r="AL54" s="11"/>
      <c r="AM54" s="11"/>
      <c r="AN54" s="11"/>
      <c r="AO54" s="11"/>
      <c r="AP54" s="11"/>
      <c r="AQ54" s="42"/>
      <c r="AR54" s="135" t="s">
        <v>40</v>
      </c>
      <c r="AS54" s="137">
        <f>SUMIFS(Table2[Periods], Table2[TOPSEED], Table6[[#This Row],[Team]], Table2[ROUNDNUM], 3)+SUMIFS(Table2[Periods], Table2[LOWSEED], Table6[[#This Row],[Team]], Table2[ROUNDNUM],3)</f>
        <v>12</v>
      </c>
      <c r="AT54" s="57">
        <f>SUMIFS(Table2[TimeInSeconds], Table2[TOPSEED], Table6[[#This Row],[Team]], Table2[ROUNDNUM], 3)+SUMIFS(Table2[TimeInSeconds], Table2[LOWSEED], Table6[[#This Row],[Team]], Table2[ROUNDNUM],3)</f>
        <v>14400</v>
      </c>
      <c r="AU54" s="137">
        <f>Table6[[#This Row],[SecondsPlayed]]/3600</f>
        <v>4</v>
      </c>
      <c r="AV54" s="57">
        <v>2022</v>
      </c>
      <c r="AW54" s="57">
        <f>COUNTIFS(Table2[LOWSEED], AR54, Table2[ROUNDNUM], 1, Table2[GameOver], 1) + COUNTIFS(Table2[TOPSEED], AR54, Table2[ROUNDNUM], 1, Table2[GameOver], 1)</f>
        <v>4</v>
      </c>
      <c r="AX54" s="57">
        <f>COUNTIFS(Table2[LOWSEED], AR54, Table2[ROUNDNUM], 2, Table2[GameOver], 1) + COUNTIFS(Table2[TOPSEED], AR54, Table2[ROUNDNUM], 2, Table2[GameOver], 1)</f>
        <v>5</v>
      </c>
      <c r="AY54" s="57">
        <f>COUNTIFS(Table2[LOWSEED], AR54, Table2[ROUNDNUM], 3, Table2[GameOver], 1) + COUNTIFS(Table2[TOPSEED], AR54, Table2[ROUNDNUM], 3, Table2[GameOver], 1)</f>
        <v>4</v>
      </c>
      <c r="AZ54" s="57">
        <f>COUNTIFS(Table2[LOWSEED], AR54, Table2[ROUNDNUM], 4, Table2[GameOver], 1) + COUNTIFS(Table2[TOPSEED], AR54, Table2[ROUNDNUM], 4, Table2[GameOver], 1)</f>
        <v>0</v>
      </c>
      <c r="BA54" s="57">
        <f t="shared" si="85"/>
        <v>13</v>
      </c>
      <c r="BB54" s="57">
        <f>COUNTIF($P$2:$P$107, AR54)</f>
        <v>10</v>
      </c>
      <c r="BC54" s="57">
        <f>COUNTIF($O$2:$O$107, AR54)</f>
        <v>7</v>
      </c>
      <c r="BD54" s="57">
        <f t="shared" si="86"/>
        <v>7</v>
      </c>
      <c r="BE54" s="57">
        <f t="shared" si="87"/>
        <v>6</v>
      </c>
      <c r="BF54" s="57">
        <f>SUMPRODUCT(($P$2:$P$107=AR54)*($W$2:$W$107&gt;$V$2:$V$107))</f>
        <v>0</v>
      </c>
      <c r="BG54" s="57">
        <f>SUMPRODUCT(($P$2:$P$107=AR54)*($W$2:$W$107&lt;$V$2:$V$107))</f>
        <v>10</v>
      </c>
      <c r="BH54" s="57">
        <f>SUMPRODUCT(($O$2:$O$107=AR54)*($W$2:$W$107&lt;$V$2:$V$107))</f>
        <v>7</v>
      </c>
      <c r="BI54" s="57">
        <f>SUMPRODUCT(($O$2:$O$107=AR54)*($W$2:$W$107&gt;$V$2:$V$107))</f>
        <v>0</v>
      </c>
      <c r="BJ54" s="57">
        <f>COUNTIFS($P$2:$P$107,AR54,$G$2:$G$107,3)</f>
        <v>3</v>
      </c>
      <c r="BK54" s="57">
        <f>COUNTIFS($O$2:$O$107,AR54,$G$2:$G$107,3)</f>
        <v>2</v>
      </c>
      <c r="BL54" s="57">
        <f>SUMIFS($W$2:$W$107, $P$2:$P$107, AR54,$G$2:$G$107, 3)</f>
        <v>0</v>
      </c>
      <c r="BM54" s="57">
        <f>SUMIFS($V$2:$V$107, $O$2:$O$107, AR54,$G$2:$G$107, 3)</f>
        <v>3</v>
      </c>
      <c r="BN54" s="57">
        <f>SUMIFS($V$2:$V$107, $P$2:$P$107, AR54,$G$2:$G$107, 3)</f>
        <v>8</v>
      </c>
      <c r="BO54" s="57">
        <f>SUMIFS($W$2:$W$107, $O$2:$O$107, AR54,$G$2:$G$107, 3)</f>
        <v>0</v>
      </c>
      <c r="BP54" s="57">
        <f t="shared" si="82"/>
        <v>-8</v>
      </c>
      <c r="BQ54" s="57">
        <f t="shared" si="82"/>
        <v>3</v>
      </c>
      <c r="BR54" s="57">
        <f t="shared" si="88"/>
        <v>3</v>
      </c>
      <c r="BS54" s="57">
        <f t="shared" si="89"/>
        <v>8</v>
      </c>
      <c r="BT54" s="57">
        <f t="shared" si="90"/>
        <v>-5</v>
      </c>
      <c r="BU54">
        <f t="shared" si="83"/>
        <v>0</v>
      </c>
      <c r="BV54">
        <f t="shared" si="83"/>
        <v>1.5</v>
      </c>
      <c r="BW54">
        <f t="shared" si="84"/>
        <v>2.6666666666666665</v>
      </c>
      <c r="BX54">
        <f t="shared" si="84"/>
        <v>0</v>
      </c>
      <c r="BY54" s="57">
        <f t="shared" si="91"/>
        <v>0.75</v>
      </c>
      <c r="BZ54" s="57">
        <f t="shared" si="92"/>
        <v>2</v>
      </c>
      <c r="CA54" s="65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30"/>
    </row>
    <row r="55" spans="1:104" x14ac:dyDescent="0.25">
      <c r="A55" s="55" t="str">
        <f>IF(ISBLANK(Table2[[#This Row],[GAMENUM]]), "", _xlfn.TEXTJOIN("", 1, "2025030", Table2[[#This Row],[ROUNDNUM]], Table2[[#This Row],[SeriesID]], Table2[[#This Row],[GAMENUM]]))</f>
        <v>2025030212</v>
      </c>
      <c r="B55" s="63">
        <f>IF(ISBLANK(Table2[[#This Row],[GAMENUM]]), "", INDEX(Table3[SeriesID], MATCH(Table2[[#This Row],[SERIESCODE]],Table3[SeriesCode],0)))</f>
        <v>1</v>
      </c>
      <c r="C55" s="57" t="str">
        <f t="shared" si="56"/>
        <v>Friday</v>
      </c>
      <c r="D55" s="59">
        <v>46150</v>
      </c>
      <c r="E55" s="60">
        <v>0.83333333333333337</v>
      </c>
      <c r="F55" s="59" t="s">
        <v>16</v>
      </c>
      <c r="G55" s="62">
        <v>2</v>
      </c>
      <c r="H55" s="66" t="s">
        <v>51</v>
      </c>
      <c r="I55" s="62">
        <v>2</v>
      </c>
      <c r="J55" s="78" t="str">
        <f>INDEX(Table3[TopSeed],MATCH(Table2[[#This Row],[SERIESCODE]], Table3[SeriesCode], 0))</f>
        <v>BUF</v>
      </c>
      <c r="K55" s="97" t="str">
        <f>INDEX(Table3[LowSeed],MATCH(Table2[[#This Row],[SERIESCODE]], Table3[SeriesCode], 0))</f>
        <v>MTL</v>
      </c>
      <c r="L55" s="62">
        <v>1</v>
      </c>
      <c r="M55" s="62">
        <v>1</v>
      </c>
      <c r="N55" s="97" t="str">
        <f>IF(Table2[[#This Row],[GAMENUM]] = 6, Table2[[#This Row],[TOPSEED]], IF(Table2[[#This Row],[GAMENUM]] = 4, Table2[[#This Row],[TOPSEED]], IF(Table2[[#This Row],[GAMENUM]] = 3, Table2[[#This Row],[TOPSEED]], Table2[LOWSEED])))</f>
        <v>MTL</v>
      </c>
      <c r="O55" s="78" t="str">
        <f>IF(Table2[[#This Row],[GAMENUM]] = 6, Table2[[#This Row],[LOWSEED]], IF(Table2[[#This Row],[GAMENUM]] = 4, Table2[[#This Row],[LOWSEED]], IF(Table2[[#This Row],[GAMENUM]] = 3, Table2[[#This Row],[LOWSEED]], Table2[TOPSEED])))</f>
        <v>BUF</v>
      </c>
      <c r="P55" s="97" t="str">
        <f t="shared" si="57"/>
        <v>MTL</v>
      </c>
      <c r="Q55" s="62">
        <v>3</v>
      </c>
      <c r="R55" s="62">
        <v>2</v>
      </c>
      <c r="S55" s="63" t="s">
        <v>154</v>
      </c>
      <c r="T55" s="59">
        <v>46150</v>
      </c>
      <c r="U55" s="62">
        <v>5</v>
      </c>
      <c r="V55" s="62">
        <v>2</v>
      </c>
      <c r="W55" s="62">
        <v>0</v>
      </c>
      <c r="X55" s="62">
        <v>3600</v>
      </c>
      <c r="Y55" s="63">
        <f>Table2[[#This Row],[TimeInSeconds]]/1200</f>
        <v>3</v>
      </c>
      <c r="Z55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55" s="97" t="str">
        <f t="shared" si="58"/>
        <v>MTL</v>
      </c>
      <c r="AB55" s="63">
        <f>IF(ISBLANK(Table2[[#This Row],[OTROUNDNUM]]), "", Table2[[#This Row],[PAWAYSCORE]]-Table2[[#This Row],[AAWAYSCORE]])</f>
        <v>-2</v>
      </c>
      <c r="AC55" s="63">
        <f>IF(ISBLANK(Table2[[#This Row],[OTROUNDNUM]]), "", Table2[[#This Row],[PHOMESCORE]]-Table2[[#This Row],[AHOMESCORE]])</f>
        <v>0</v>
      </c>
      <c r="AD55" s="63">
        <f>_xlfn.IFS(ISBLANK(Table2[[#This Row],[GAMENUM]]), " ", 1, IF((Table2[[#This Row],[TOPSEEDWINS]]+Table2[[#This Row],[LOWSEEDWINS]]) &lt;&gt; Table2[[#This Row],[GAMENUM]], 0, 1))</f>
        <v>1</v>
      </c>
      <c r="AE55" s="63">
        <f>_xlfn.IFS(ISBLANK(Table2[[#This Row],[GAMENUM]]),"", Table2[[#This Row],[GameOver]]=0,"",Table2[[#This Row],[AAWAYSCORE]]&gt;Table2[[#This Row],[AHOMESCORE]], 1,1,0)</f>
        <v>1</v>
      </c>
      <c r="AF55" s="63">
        <f>_xlfn.IFS(ISBLANK(Table2[[#This Row],[GAMENUM]]),"",Table2[[#This Row],[GameOver]]=0,"",Table2[[#This Row],[AAWAYSCORE]]&lt;Table2[[#This Row],[AHOMESCORE]], 1,1,0)</f>
        <v>0</v>
      </c>
      <c r="AG55" s="63">
        <f>_xlfn.IFS(ISBLANK(Table2[[#This Row],[GAMENUM]]),"",Table2[[#This Row],[GameOver]]=0,"",Table2[[#This Row],[OTROUNDNUM]]&gt;0,1,1,0)</f>
        <v>0</v>
      </c>
      <c r="AH55" s="63">
        <f>_xlfn.IFS(ISBLANK(Table2[[#This Row],[GAMENUM]]),"",Table2[[#This Row],[GameOver]]=0,"",Table2[[#This Row],[AAWAYSCORE]]=0,1,1,0)</f>
        <v>0</v>
      </c>
      <c r="AI55" s="63">
        <f>_xlfn.IFS(ISBLANK(Table2[[#This Row],[GAMENUM]]),"", Table2[[#This Row],[GameOver]]=0,"",Table2[[#This Row],[AHOMESCORE]]=0,1,1,0)</f>
        <v>0</v>
      </c>
      <c r="AJ55" s="57"/>
      <c r="AK55" s="65"/>
      <c r="AL55" s="11"/>
      <c r="AM55" s="11"/>
      <c r="AN55" s="11"/>
      <c r="AO55" s="11"/>
      <c r="AP55" s="11"/>
      <c r="AQ55" s="42"/>
      <c r="AR55" s="50" t="s">
        <v>47</v>
      </c>
      <c r="AS55" s="137">
        <f>SUMIFS(Table2[Periods], Table2[TOPSEED], Table6[[#This Row],[Team]], Table2[ROUNDNUM], 3)+SUMIFS(Table2[Periods], Table2[LOWSEED], Table6[[#This Row],[Team]], Table2[ROUNDNUM],3)</f>
        <v>12</v>
      </c>
      <c r="AT55" s="57">
        <f>SUMIFS(Table2[TimeInSeconds], Table2[TOPSEED], Table6[[#This Row],[Team]], Table2[ROUNDNUM], 3)+SUMIFS(Table2[TimeInSeconds], Table2[LOWSEED], Table6[[#This Row],[Team]], Table2[ROUNDNUM],3)</f>
        <v>14400</v>
      </c>
      <c r="AU55" s="137">
        <f>Table6[[#This Row],[SecondsPlayed]]/3600</f>
        <v>4</v>
      </c>
      <c r="AV55" s="57">
        <v>2023</v>
      </c>
      <c r="AW55" s="57">
        <f>COUNTIFS(Table2[LOWSEED], AR55, Table2[ROUNDNUM], 1, Table2[GameOver], 1) + COUNTIFS(Table2[TOPSEED], AR55, Table2[ROUNDNUM], 1, Table2[GameOver], 1)</f>
        <v>6</v>
      </c>
      <c r="AX55" s="57">
        <f>COUNTIFS(Table2[LOWSEED], AR55, Table2[ROUNDNUM], 2, Table2[GameOver], 1) + COUNTIFS(Table2[TOPSEED], AR55, Table2[ROUNDNUM], 2, Table2[GameOver], 1)</f>
        <v>6</v>
      </c>
      <c r="AY55" s="57">
        <f>COUNTIFS(Table2[LOWSEED], AR55, Table2[ROUNDNUM], 3, Table2[GameOver], 1) + COUNTIFS(Table2[TOPSEED], AR55, Table2[ROUNDNUM], 3, Table2[GameOver], 1)</f>
        <v>4</v>
      </c>
      <c r="AZ55" s="57">
        <f>COUNTIFS(Table2[LOWSEED], AR55, Table2[ROUNDNUM], 4, Table2[GameOver], 1) + COUNTIFS(Table2[TOPSEED], AR55, Table2[ROUNDNUM], 4, Table2[GameOver], 1)</f>
        <v>1</v>
      </c>
      <c r="BA55" s="57">
        <f t="shared" si="85"/>
        <v>17</v>
      </c>
      <c r="BB55" s="57">
        <f>COUNTIF($P$2:$P$107, AR55)</f>
        <v>4</v>
      </c>
      <c r="BC55" s="57">
        <f>COUNTIF($O$2:$O$107, AR55)</f>
        <v>10</v>
      </c>
      <c r="BD55" s="57">
        <f t="shared" si="86"/>
        <v>8</v>
      </c>
      <c r="BE55" s="57">
        <f t="shared" si="87"/>
        <v>9</v>
      </c>
      <c r="BF55" s="57">
        <f>SUMPRODUCT(($P$2:$P$107=AR55)*($W$2:$W$107&gt;$V$2:$V$107))</f>
        <v>0</v>
      </c>
      <c r="BG55" s="57">
        <f>SUMPRODUCT(($P$2:$P$107=AR55)*($W$2:$W$107&lt;$V$2:$V$107))</f>
        <v>4</v>
      </c>
      <c r="BH55" s="57">
        <f>SUMPRODUCT(($O$2:$O$107=AR55)*($W$2:$W$107&lt;$V$2:$V$107))</f>
        <v>8</v>
      </c>
      <c r="BI55" s="57">
        <f>SUMPRODUCT(($O$2:$O$107=AR55)*($W$2:$W$107&gt;$V$2:$V$107))</f>
        <v>0</v>
      </c>
      <c r="BJ55" s="57">
        <f>COUNTIFS($P$2:$P$107,AR55,$G$2:$G$107,3)</f>
        <v>1</v>
      </c>
      <c r="BK55" s="57">
        <f>COUNTIFS($O$2:$O$107,AR55,$G$2:$G$107,3)</f>
        <v>2</v>
      </c>
      <c r="BL55" s="57">
        <f>SUMIFS($W$2:$W$107, $P$2:$P$107, AR55,$G$2:$G$107, 3)</f>
        <v>0</v>
      </c>
      <c r="BM55" s="57">
        <f>SUMIFS($V$2:$V$107, $O$2:$O$107, AR55,$G$2:$G$107, 3)</f>
        <v>7</v>
      </c>
      <c r="BN55" s="57">
        <f>SUMIFS($V$2:$V$107, $P$2:$P$107, AR55,$G$2:$G$107, 3)</f>
        <v>2</v>
      </c>
      <c r="BO55" s="57">
        <f>SUMIFS($W$2:$W$107, $O$2:$O$107, AR55,$G$2:$G$107, 3)</f>
        <v>0</v>
      </c>
      <c r="BP55" s="57">
        <f t="shared" si="82"/>
        <v>-2</v>
      </c>
      <c r="BQ55" s="57">
        <f t="shared" si="82"/>
        <v>7</v>
      </c>
      <c r="BR55" s="57">
        <f t="shared" si="88"/>
        <v>7</v>
      </c>
      <c r="BS55" s="57">
        <f t="shared" si="89"/>
        <v>2</v>
      </c>
      <c r="BT55" s="57">
        <f t="shared" si="90"/>
        <v>5</v>
      </c>
      <c r="BU55">
        <f t="shared" si="83"/>
        <v>0</v>
      </c>
      <c r="BV55">
        <f t="shared" si="83"/>
        <v>3.5</v>
      </c>
      <c r="BW55">
        <f t="shared" si="84"/>
        <v>2</v>
      </c>
      <c r="BX55">
        <f t="shared" si="84"/>
        <v>0</v>
      </c>
      <c r="BY55" s="57">
        <f t="shared" si="91"/>
        <v>1.1666666666666667</v>
      </c>
      <c r="BZ55" s="57">
        <f t="shared" si="92"/>
        <v>0.33333333333333331</v>
      </c>
      <c r="CA55" s="65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30"/>
    </row>
    <row r="56" spans="1:104" x14ac:dyDescent="0.25">
      <c r="A56" s="55" t="str">
        <f>IF(ISBLANK(Table2[[#This Row],[GAMENUM]]), "", _xlfn.TEXTJOIN("", 1, "2025030", Table2[[#This Row],[ROUNDNUM]], Table2[[#This Row],[SeriesID]], Table2[[#This Row],[GAMENUM]]))</f>
        <v>2025030243</v>
      </c>
      <c r="B56" s="63">
        <f>IF(ISBLANK(Table2[[#This Row],[GAMENUM]]), "", INDEX(Table3[SeriesID], MATCH(Table2[[#This Row],[SERIESCODE]],Table3[SeriesCode],0)))</f>
        <v>4</v>
      </c>
      <c r="C56" s="57" t="str">
        <f t="shared" si="56"/>
        <v>Friday</v>
      </c>
      <c r="D56" s="59">
        <v>46150</v>
      </c>
      <c r="E56" s="60">
        <v>0.9375</v>
      </c>
      <c r="F56" s="59" t="s">
        <v>38</v>
      </c>
      <c r="G56" s="62">
        <v>2</v>
      </c>
      <c r="H56" s="66" t="s">
        <v>53</v>
      </c>
      <c r="I56" s="62">
        <v>3</v>
      </c>
      <c r="J56" s="81" t="str">
        <f>INDEX(Table3[TopSeed],MATCH(Table2[[#This Row],[SERIESCODE]], Table3[SeriesCode], 0))</f>
        <v>VGK</v>
      </c>
      <c r="K56" s="86" t="str">
        <f>INDEX(Table3[LowSeed],MATCH(Table2[[#This Row],[SERIESCODE]], Table3[SeriesCode], 0))</f>
        <v>ANA</v>
      </c>
      <c r="L56" s="62">
        <v>2</v>
      </c>
      <c r="M56" s="62">
        <v>1</v>
      </c>
      <c r="N56" s="81" t="str">
        <f>IF(Table2[[#This Row],[GAMENUM]] = 6, Table2[[#This Row],[TOPSEED]], IF(Table2[[#This Row],[GAMENUM]] = 4, Table2[[#This Row],[TOPSEED]], IF(Table2[[#This Row],[GAMENUM]] = 3, Table2[[#This Row],[TOPSEED]], Table2[LOWSEED])))</f>
        <v>VGK</v>
      </c>
      <c r="O56" s="86" t="str">
        <f>IF(Table2[[#This Row],[GAMENUM]] = 6, Table2[[#This Row],[LOWSEED]], IF(Table2[[#This Row],[GAMENUM]] = 4, Table2[[#This Row],[LOWSEED]], IF(Table2[[#This Row],[GAMENUM]] = 3, Table2[[#This Row],[LOWSEED]], Table2[TOPSEED])))</f>
        <v>ANA</v>
      </c>
      <c r="P56" s="86" t="str">
        <f t="shared" si="57"/>
        <v>ANA</v>
      </c>
      <c r="Q56" s="62">
        <v>2</v>
      </c>
      <c r="R56" s="62">
        <v>3</v>
      </c>
      <c r="S56" s="63" t="s">
        <v>154</v>
      </c>
      <c r="T56" s="59">
        <v>46150</v>
      </c>
      <c r="U56" s="62">
        <v>6</v>
      </c>
      <c r="V56" s="62">
        <v>2</v>
      </c>
      <c r="W56" s="62">
        <v>0</v>
      </c>
      <c r="X56" s="62">
        <v>3600</v>
      </c>
      <c r="Y56" s="63">
        <f>Table2[[#This Row],[TimeInSeconds]]/1200</f>
        <v>3</v>
      </c>
      <c r="Z56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56" s="81" t="str">
        <f t="shared" si="58"/>
        <v>VGK</v>
      </c>
      <c r="AB56" s="63">
        <f>IF(ISBLANK(Table2[[#This Row],[OTROUNDNUM]]), "", Table2[[#This Row],[PAWAYSCORE]]-Table2[[#This Row],[AAWAYSCORE]])</f>
        <v>-4</v>
      </c>
      <c r="AC56" s="63">
        <f>IF(ISBLANK(Table2[[#This Row],[OTROUNDNUM]]), "", Table2[[#This Row],[PHOMESCORE]]-Table2[[#This Row],[AHOMESCORE]])</f>
        <v>1</v>
      </c>
      <c r="AD56" s="63">
        <f>_xlfn.IFS(ISBLANK(Table2[[#This Row],[GAMENUM]]), " ", 1, IF((Table2[[#This Row],[TOPSEEDWINS]]+Table2[[#This Row],[LOWSEEDWINS]]) &lt;&gt; Table2[[#This Row],[GAMENUM]], 0, 1))</f>
        <v>1</v>
      </c>
      <c r="AE56" s="63">
        <f>_xlfn.IFS(ISBLANK(Table2[[#This Row],[GAMENUM]]),"", Table2[[#This Row],[GameOver]]=0,"",Table2[[#This Row],[AAWAYSCORE]]&gt;Table2[[#This Row],[AHOMESCORE]], 1,1,0)</f>
        <v>1</v>
      </c>
      <c r="AF56" s="63">
        <f>_xlfn.IFS(ISBLANK(Table2[[#This Row],[GAMENUM]]),"",Table2[[#This Row],[GameOver]]=0,"",Table2[[#This Row],[AAWAYSCORE]]&lt;Table2[[#This Row],[AHOMESCORE]], 1,1,0)</f>
        <v>0</v>
      </c>
      <c r="AG56" s="63">
        <f>_xlfn.IFS(ISBLANK(Table2[[#This Row],[GAMENUM]]),"",Table2[[#This Row],[GameOver]]=0,"",Table2[[#This Row],[OTROUNDNUM]]&gt;0,1,1,0)</f>
        <v>0</v>
      </c>
      <c r="AH56" s="63">
        <f>_xlfn.IFS(ISBLANK(Table2[[#This Row],[GAMENUM]]),"",Table2[[#This Row],[GameOver]]=0,"",Table2[[#This Row],[AAWAYSCORE]]=0,1,1,0)</f>
        <v>0</v>
      </c>
      <c r="AI56" s="63">
        <f>_xlfn.IFS(ISBLANK(Table2[[#This Row],[GAMENUM]]),"", Table2[[#This Row],[GameOver]]=0,"",Table2[[#This Row],[AHOMESCORE]]=0,1,1,0)</f>
        <v>0</v>
      </c>
      <c r="AJ56" s="57"/>
      <c r="AK56" s="65"/>
      <c r="AL56" s="11"/>
      <c r="AM56" s="11"/>
      <c r="AN56" s="11"/>
      <c r="AO56" s="11"/>
      <c r="AP56" s="11"/>
      <c r="AQ56" s="42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30"/>
    </row>
    <row r="57" spans="1:104" x14ac:dyDescent="0.25">
      <c r="A57" s="55" t="str">
        <f>IF(ISBLANK(Table2[[#This Row],[GAMENUM]]), "", _xlfn.TEXTJOIN("", 1, "2025030", Table2[[#This Row],[ROUNDNUM]], Table2[[#This Row],[SeriesID]], Table2[[#This Row],[GAMENUM]]))</f>
        <v>2025030224</v>
      </c>
      <c r="B57" s="63">
        <f>IF(ISBLANK(Table2[[#This Row],[GAMENUM]]), "", INDEX(Table3[SeriesID], MATCH(Table2[[#This Row],[SERIESCODE]],Table3[SeriesCode],0)))</f>
        <v>2</v>
      </c>
      <c r="C57" s="57" t="str">
        <f t="shared" si="56"/>
        <v>Saturday</v>
      </c>
      <c r="D57" s="59">
        <v>46151</v>
      </c>
      <c r="E57" s="60">
        <v>0.79166666666666663</v>
      </c>
      <c r="F57" s="59" t="s">
        <v>16</v>
      </c>
      <c r="G57" s="62">
        <v>2</v>
      </c>
      <c r="H57" s="66" t="s">
        <v>50</v>
      </c>
      <c r="I57" s="62">
        <v>4</v>
      </c>
      <c r="J57" s="20" t="str">
        <f>INDEX(Table3[TopSeed],MATCH(Table2[[#This Row],[SERIESCODE]], Table3[SeriesCode], 0))</f>
        <v>CAR</v>
      </c>
      <c r="K57" s="32" t="str">
        <f>INDEX(Table3[LowSeed],MATCH(Table2[[#This Row],[SERIESCODE]], Table3[SeriesCode], 0))</f>
        <v>PHI</v>
      </c>
      <c r="L57" s="62">
        <v>4</v>
      </c>
      <c r="M57" s="62">
        <v>0</v>
      </c>
      <c r="N57" s="20" t="str">
        <f>IF(Table2[[#This Row],[GAMENUM]] = 6, Table2[[#This Row],[TOPSEED]], IF(Table2[[#This Row],[GAMENUM]] = 4, Table2[[#This Row],[TOPSEED]], IF(Table2[[#This Row],[GAMENUM]] = 3, Table2[[#This Row],[TOPSEED]], Table2[LOWSEED])))</f>
        <v>CAR</v>
      </c>
      <c r="O57" s="32" t="str">
        <f>IF(Table2[[#This Row],[GAMENUM]] = 6, Table2[[#This Row],[LOWSEED]], IF(Table2[[#This Row],[GAMENUM]] = 4, Table2[[#This Row],[LOWSEED]], IF(Table2[[#This Row],[GAMENUM]] = 3, Table2[[#This Row],[LOWSEED]], Table2[TOPSEED])))</f>
        <v>PHI</v>
      </c>
      <c r="P57" s="20" t="str">
        <f t="shared" si="57"/>
        <v>CAR</v>
      </c>
      <c r="Q57" s="62">
        <v>2</v>
      </c>
      <c r="R57" s="62">
        <v>1</v>
      </c>
      <c r="S57" s="63" t="s">
        <v>154</v>
      </c>
      <c r="T57" s="59">
        <v>46151</v>
      </c>
      <c r="U57" s="62">
        <v>3</v>
      </c>
      <c r="V57" s="62">
        <v>2</v>
      </c>
      <c r="W57" s="62">
        <v>1</v>
      </c>
      <c r="X57" s="62">
        <v>3931</v>
      </c>
      <c r="Y57" s="63">
        <f>Table2[[#This Row],[TimeInSeconds]]/1200</f>
        <v>3.2758333333333334</v>
      </c>
      <c r="Z57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57" s="20" t="str">
        <f t="shared" si="58"/>
        <v>CAR</v>
      </c>
      <c r="AB57" s="63">
        <f>IF(ISBLANK(Table2[[#This Row],[OTROUNDNUM]]), "", Table2[[#This Row],[PAWAYSCORE]]-Table2[[#This Row],[AAWAYSCORE]])</f>
        <v>-1</v>
      </c>
      <c r="AC57" s="63">
        <f>IF(ISBLANK(Table2[[#This Row],[OTROUNDNUM]]), "", Table2[[#This Row],[PHOMESCORE]]-Table2[[#This Row],[AHOMESCORE]])</f>
        <v>-1</v>
      </c>
      <c r="AD57" s="63">
        <f>_xlfn.IFS(ISBLANK(Table2[[#This Row],[GAMENUM]]), " ", 1, IF((Table2[[#This Row],[TOPSEEDWINS]]+Table2[[#This Row],[LOWSEEDWINS]]) &lt;&gt; Table2[[#This Row],[GAMENUM]], 0, 1))</f>
        <v>1</v>
      </c>
      <c r="AE57" s="63">
        <f>_xlfn.IFS(ISBLANK(Table2[[#This Row],[GAMENUM]]),"", Table2[[#This Row],[GameOver]]=0,"",Table2[[#This Row],[AAWAYSCORE]]&gt;Table2[[#This Row],[AHOMESCORE]], 1,1,0)</f>
        <v>1</v>
      </c>
      <c r="AF57" s="63">
        <f>_xlfn.IFS(ISBLANK(Table2[[#This Row],[GAMENUM]]),"",Table2[[#This Row],[GameOver]]=0,"",Table2[[#This Row],[AAWAYSCORE]]&lt;Table2[[#This Row],[AHOMESCORE]], 1,1,0)</f>
        <v>0</v>
      </c>
      <c r="AG57" s="63">
        <f>_xlfn.IFS(ISBLANK(Table2[[#This Row],[GAMENUM]]),"",Table2[[#This Row],[GameOver]]=0,"",Table2[[#This Row],[OTROUNDNUM]]&gt;0,1,1,0)</f>
        <v>1</v>
      </c>
      <c r="AH57" s="63">
        <f>_xlfn.IFS(ISBLANK(Table2[[#This Row],[GAMENUM]]),"",Table2[[#This Row],[GameOver]]=0,"",Table2[[#This Row],[AAWAYSCORE]]=0,1,1,0)</f>
        <v>0</v>
      </c>
      <c r="AI57" s="63">
        <f>_xlfn.IFS(ISBLANK(Table2[[#This Row],[GAMENUM]]),"", Table2[[#This Row],[GameOver]]=0,"",Table2[[#This Row],[AHOMESCORE]]=0,1,1,0)</f>
        <v>0</v>
      </c>
      <c r="AJ57" s="57"/>
      <c r="AK57" s="65"/>
      <c r="AL57" s="11"/>
      <c r="AM57" s="11"/>
      <c r="AN57" s="11"/>
      <c r="AO57" s="11"/>
      <c r="AP57" s="11"/>
      <c r="AQ57" s="42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30"/>
    </row>
    <row r="58" spans="1:104" x14ac:dyDescent="0.25">
      <c r="A58" s="55" t="str">
        <f>IF(ISBLANK(Table2[[#This Row],[GAMENUM]]), "", _xlfn.TEXTJOIN("", 1, "2025030", Table2[[#This Row],[ROUNDNUM]], Table2[[#This Row],[SeriesID]], Table2[[#This Row],[GAMENUM]]))</f>
        <v>2025030233</v>
      </c>
      <c r="B58" s="63">
        <f>IF(ISBLANK(Table2[[#This Row],[GAMENUM]]), "", INDEX(Table3[SeriesID], MATCH(Table2[[#This Row],[SERIESCODE]],Table3[SeriesCode],0)))</f>
        <v>3</v>
      </c>
      <c r="C58" s="57" t="str">
        <f t="shared" si="56"/>
        <v>Saturday</v>
      </c>
      <c r="D58" s="59">
        <v>46151</v>
      </c>
      <c r="E58" s="60">
        <v>0.83333333333333337</v>
      </c>
      <c r="F58" s="59" t="s">
        <v>38</v>
      </c>
      <c r="G58" s="62">
        <v>2</v>
      </c>
      <c r="H58" s="66" t="s">
        <v>52</v>
      </c>
      <c r="I58" s="62">
        <v>3</v>
      </c>
      <c r="J58" s="98" t="str">
        <f>INDEX(Table3[TopSeed],MATCH(Table2[[#This Row],[SERIESCODE]], Table3[SeriesCode], 0))</f>
        <v>COL</v>
      </c>
      <c r="K58" s="95" t="str">
        <f>INDEX(Table3[LowSeed],MATCH(Table2[[#This Row],[SERIESCODE]], Table3[SeriesCode], 0))</f>
        <v>MIN</v>
      </c>
      <c r="L58" s="62">
        <v>2</v>
      </c>
      <c r="M58" s="62">
        <v>1</v>
      </c>
      <c r="N58" s="98" t="str">
        <f>IF(Table2[[#This Row],[GAMENUM]] = 6, Table2[[#This Row],[TOPSEED]], IF(Table2[[#This Row],[GAMENUM]] = 4, Table2[[#This Row],[TOPSEED]], IF(Table2[[#This Row],[GAMENUM]] = 3, Table2[[#This Row],[TOPSEED]], Table2[LOWSEED])))</f>
        <v>COL</v>
      </c>
      <c r="O58" s="95" t="str">
        <f>IF(Table2[[#This Row],[GAMENUM]] = 6, Table2[[#This Row],[LOWSEED]], IF(Table2[[#This Row],[GAMENUM]] = 4, Table2[[#This Row],[LOWSEED]], IF(Table2[[#This Row],[GAMENUM]] = 3, Table2[[#This Row],[LOWSEED]], Table2[TOPSEED])))</f>
        <v>MIN</v>
      </c>
      <c r="P58" s="95" t="str">
        <f t="shared" si="57"/>
        <v>MIN</v>
      </c>
      <c r="Q58" s="62">
        <v>3</v>
      </c>
      <c r="R58" s="62">
        <v>3</v>
      </c>
      <c r="S58" s="63" t="s">
        <v>154</v>
      </c>
      <c r="T58" s="59">
        <v>46151</v>
      </c>
      <c r="U58" s="62">
        <v>1</v>
      </c>
      <c r="V58" s="62">
        <v>5</v>
      </c>
      <c r="W58" s="62">
        <v>0</v>
      </c>
      <c r="X58" s="62">
        <v>3600</v>
      </c>
      <c r="Y58" s="63">
        <f>Table2[[#This Row],[TimeInSeconds]]/1200</f>
        <v>3</v>
      </c>
      <c r="Z58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58" s="95" t="str">
        <f t="shared" si="58"/>
        <v>MIN</v>
      </c>
      <c r="AB58" s="63">
        <f>IF(ISBLANK(Table2[[#This Row],[OTROUNDNUM]]), "", Table2[[#This Row],[PAWAYSCORE]]-Table2[[#This Row],[AAWAYSCORE]])</f>
        <v>2</v>
      </c>
      <c r="AC58" s="63">
        <f>IF(ISBLANK(Table2[[#This Row],[OTROUNDNUM]]), "", Table2[[#This Row],[PHOMESCORE]]-Table2[[#This Row],[AHOMESCORE]])</f>
        <v>-2</v>
      </c>
      <c r="AD58" s="63">
        <f>_xlfn.IFS(ISBLANK(Table2[[#This Row],[GAMENUM]]), " ", 1, IF((Table2[[#This Row],[TOPSEEDWINS]]+Table2[[#This Row],[LOWSEEDWINS]]) &lt;&gt; Table2[[#This Row],[GAMENUM]], 0, 1))</f>
        <v>1</v>
      </c>
      <c r="AE58" s="63">
        <f>_xlfn.IFS(ISBLANK(Table2[[#This Row],[GAMENUM]]),"", Table2[[#This Row],[GameOver]]=0,"",Table2[[#This Row],[AAWAYSCORE]]&gt;Table2[[#This Row],[AHOMESCORE]], 1,1,0)</f>
        <v>0</v>
      </c>
      <c r="AF58" s="63">
        <f>_xlfn.IFS(ISBLANK(Table2[[#This Row],[GAMENUM]]),"",Table2[[#This Row],[GameOver]]=0,"",Table2[[#This Row],[AAWAYSCORE]]&lt;Table2[[#This Row],[AHOMESCORE]], 1,1,0)</f>
        <v>1</v>
      </c>
      <c r="AG58" s="63">
        <f>_xlfn.IFS(ISBLANK(Table2[[#This Row],[GAMENUM]]),"",Table2[[#This Row],[GameOver]]=0,"",Table2[[#This Row],[OTROUNDNUM]]&gt;0,1,1,0)</f>
        <v>0</v>
      </c>
      <c r="AH58" s="63">
        <f>_xlfn.IFS(ISBLANK(Table2[[#This Row],[GAMENUM]]),"",Table2[[#This Row],[GameOver]]=0,"",Table2[[#This Row],[AAWAYSCORE]]=0,1,1,0)</f>
        <v>0</v>
      </c>
      <c r="AI58" s="63">
        <f>_xlfn.IFS(ISBLANK(Table2[[#This Row],[GAMENUM]]),"", Table2[[#This Row],[GameOver]]=0,"",Table2[[#This Row],[AHOMESCORE]]=0,1,1,0)</f>
        <v>0</v>
      </c>
      <c r="AJ58" s="57"/>
      <c r="AK58" s="65"/>
      <c r="AL58" s="11"/>
      <c r="AM58" s="11"/>
      <c r="AN58" s="11"/>
      <c r="AO58" s="11"/>
      <c r="AP58" s="11"/>
      <c r="AQ58" s="42"/>
      <c r="AR58" s="25" t="s">
        <v>87</v>
      </c>
      <c r="AS58" s="25" t="s">
        <v>194</v>
      </c>
      <c r="AT58" s="25" t="s">
        <v>195</v>
      </c>
      <c r="AU58" s="25" t="s">
        <v>196</v>
      </c>
      <c r="AV58" s="25" t="s">
        <v>193</v>
      </c>
      <c r="AW58" s="36" t="s">
        <v>57</v>
      </c>
      <c r="AX58" s="36" t="s">
        <v>58</v>
      </c>
      <c r="AY58" s="36" t="s">
        <v>59</v>
      </c>
      <c r="AZ58" s="36" t="s">
        <v>60</v>
      </c>
      <c r="BA58" s="36" t="s">
        <v>61</v>
      </c>
      <c r="BB58" s="36" t="s">
        <v>62</v>
      </c>
      <c r="BC58" s="36" t="s">
        <v>63</v>
      </c>
      <c r="BD58" s="36" t="s">
        <v>64</v>
      </c>
      <c r="BE58" s="36" t="s">
        <v>65</v>
      </c>
      <c r="BF58" s="36" t="s">
        <v>66</v>
      </c>
      <c r="BG58" s="36" t="s">
        <v>67</v>
      </c>
      <c r="BH58" s="36" t="s">
        <v>68</v>
      </c>
      <c r="BI58" s="36" t="s">
        <v>69</v>
      </c>
      <c r="BJ58" s="36" t="s">
        <v>137</v>
      </c>
      <c r="BK58" s="36" t="s">
        <v>138</v>
      </c>
      <c r="BL58" s="36" t="s">
        <v>139</v>
      </c>
      <c r="BM58" s="36" t="s">
        <v>140</v>
      </c>
      <c r="BN58" s="36" t="s">
        <v>141</v>
      </c>
      <c r="BO58" s="36" t="s">
        <v>142</v>
      </c>
      <c r="BP58" s="36" t="s">
        <v>143</v>
      </c>
      <c r="BQ58" s="36" t="s">
        <v>144</v>
      </c>
      <c r="BR58" s="36" t="s">
        <v>145</v>
      </c>
      <c r="BS58" s="36" t="s">
        <v>146</v>
      </c>
      <c r="BT58" s="36" t="s">
        <v>147</v>
      </c>
      <c r="BU58" s="102" t="s">
        <v>148</v>
      </c>
      <c r="BV58" s="102" t="s">
        <v>149</v>
      </c>
      <c r="BW58" s="102" t="s">
        <v>150</v>
      </c>
      <c r="BX58" s="102" t="s">
        <v>151</v>
      </c>
      <c r="BY58" s="102" t="s">
        <v>152</v>
      </c>
      <c r="BZ58" s="102" t="s">
        <v>153</v>
      </c>
      <c r="CA58" s="65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30"/>
    </row>
    <row r="59" spans="1:104" x14ac:dyDescent="0.25">
      <c r="A59" s="55" t="str">
        <f>IF(ISBLANK(Table2[[#This Row],[GAMENUM]]), "", _xlfn.TEXTJOIN("", 1, "2025030", Table2[[#This Row],[ROUNDNUM]], Table2[[#This Row],[SeriesID]], Table2[[#This Row],[GAMENUM]]))</f>
        <v>2025030213</v>
      </c>
      <c r="B59" s="63">
        <f>IF(ISBLANK(Table2[[#This Row],[GAMENUM]]), "", INDEX(Table3[SeriesID], MATCH(Table2[[#This Row],[SERIESCODE]],Table3[SeriesCode],0)))</f>
        <v>1</v>
      </c>
      <c r="C59" s="57" t="str">
        <f t="shared" si="56"/>
        <v>Sunday</v>
      </c>
      <c r="D59" s="59">
        <v>46152</v>
      </c>
      <c r="E59" s="60">
        <v>0.83333333333333337</v>
      </c>
      <c r="F59" s="59" t="s">
        <v>16</v>
      </c>
      <c r="G59" s="62">
        <v>2</v>
      </c>
      <c r="H59" s="66" t="s">
        <v>51</v>
      </c>
      <c r="I59" s="62">
        <v>3</v>
      </c>
      <c r="J59" s="78" t="str">
        <f>INDEX(Table3[TopSeed],MATCH(Table2[[#This Row],[SERIESCODE]], Table3[SeriesCode], 0))</f>
        <v>BUF</v>
      </c>
      <c r="K59" s="97" t="str">
        <f>INDEX(Table3[LowSeed],MATCH(Table2[[#This Row],[SERIESCODE]], Table3[SeriesCode], 0))</f>
        <v>MTL</v>
      </c>
      <c r="L59" s="62">
        <v>1</v>
      </c>
      <c r="M59" s="62">
        <v>2</v>
      </c>
      <c r="N59" s="78" t="str">
        <f>IF(Table2[[#This Row],[GAMENUM]] = 6, Table2[[#This Row],[TOPSEED]], IF(Table2[[#This Row],[GAMENUM]] = 4, Table2[[#This Row],[TOPSEED]], IF(Table2[[#This Row],[GAMENUM]] = 3, Table2[[#This Row],[TOPSEED]], Table2[LOWSEED])))</f>
        <v>BUF</v>
      </c>
      <c r="O59" s="97" t="str">
        <f>IF(Table2[[#This Row],[GAMENUM]] = 6, Table2[[#This Row],[LOWSEED]], IF(Table2[[#This Row],[GAMENUM]] = 4, Table2[[#This Row],[LOWSEED]], IF(Table2[[#This Row],[GAMENUM]] = 3, Table2[[#This Row],[LOWSEED]], Table2[TOPSEED])))</f>
        <v>MTL</v>
      </c>
      <c r="P59" s="78" t="str">
        <f t="shared" si="57"/>
        <v>BUF</v>
      </c>
      <c r="Q59" s="62">
        <v>3</v>
      </c>
      <c r="R59" s="62">
        <v>2</v>
      </c>
      <c r="S59" s="63" t="s">
        <v>154</v>
      </c>
      <c r="T59" s="59">
        <v>46152</v>
      </c>
      <c r="U59" s="62">
        <v>2</v>
      </c>
      <c r="V59" s="62">
        <v>6</v>
      </c>
      <c r="W59" s="62">
        <v>0</v>
      </c>
      <c r="X59" s="62">
        <v>3600</v>
      </c>
      <c r="Y59" s="63">
        <f>Table2[[#This Row],[TimeInSeconds]]/1200</f>
        <v>3</v>
      </c>
      <c r="Z59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59" s="97" t="str">
        <f t="shared" si="58"/>
        <v>MTL</v>
      </c>
      <c r="AB59" s="63">
        <f>IF(ISBLANK(Table2[[#This Row],[OTROUNDNUM]]), "", Table2[[#This Row],[PAWAYSCORE]]-Table2[[#This Row],[AAWAYSCORE]])</f>
        <v>1</v>
      </c>
      <c r="AC59" s="63">
        <f>IF(ISBLANK(Table2[[#This Row],[OTROUNDNUM]]), "", Table2[[#This Row],[PHOMESCORE]]-Table2[[#This Row],[AHOMESCORE]])</f>
        <v>-4</v>
      </c>
      <c r="AD59" s="63">
        <f>_xlfn.IFS(ISBLANK(Table2[[#This Row],[GAMENUM]]), " ", 1, IF((Table2[[#This Row],[TOPSEEDWINS]]+Table2[[#This Row],[LOWSEEDWINS]]) &lt;&gt; Table2[[#This Row],[GAMENUM]], 0, 1))</f>
        <v>1</v>
      </c>
      <c r="AE59" s="63">
        <f>_xlfn.IFS(ISBLANK(Table2[[#This Row],[GAMENUM]]),"", Table2[[#This Row],[GameOver]]=0,"",Table2[[#This Row],[AAWAYSCORE]]&gt;Table2[[#This Row],[AHOMESCORE]], 1,1,0)</f>
        <v>0</v>
      </c>
      <c r="AF59" s="63">
        <f>_xlfn.IFS(ISBLANK(Table2[[#This Row],[GAMENUM]]),"",Table2[[#This Row],[GameOver]]=0,"",Table2[[#This Row],[AAWAYSCORE]]&lt;Table2[[#This Row],[AHOMESCORE]], 1,1,0)</f>
        <v>1</v>
      </c>
      <c r="AG59" s="63">
        <f>_xlfn.IFS(ISBLANK(Table2[[#This Row],[GAMENUM]]),"",Table2[[#This Row],[GameOver]]=0,"",Table2[[#This Row],[OTROUNDNUM]]&gt;0,1,1,0)</f>
        <v>0</v>
      </c>
      <c r="AH59" s="63">
        <f>_xlfn.IFS(ISBLANK(Table2[[#This Row],[GAMENUM]]),"",Table2[[#This Row],[GameOver]]=0,"",Table2[[#This Row],[AAWAYSCORE]]=0,1,1,0)</f>
        <v>0</v>
      </c>
      <c r="AI59" s="63">
        <f>_xlfn.IFS(ISBLANK(Table2[[#This Row],[GAMENUM]]),"", Table2[[#This Row],[GameOver]]=0,"",Table2[[#This Row],[AHOMESCORE]]=0,1,1,0)</f>
        <v>0</v>
      </c>
      <c r="AJ59" s="57"/>
      <c r="AK59" s="65"/>
      <c r="AL59" s="11"/>
      <c r="AM59" s="11"/>
      <c r="AN59" s="11"/>
      <c r="AO59" s="11"/>
      <c r="AP59" s="11"/>
      <c r="AQ59" s="42"/>
      <c r="AR59" s="119" t="s">
        <v>18</v>
      </c>
      <c r="AS59" s="137">
        <f>SUMIFS(Table2[Periods], Table2[TOPSEED], Table7[[#This Row],[Team]], Table2[ROUNDNUM], 4)+SUMIFS(Table2[Periods], Table2[LOWSEED], Table7[[#This Row],[Team]], Table2[ROUNDNUM],4)</f>
        <v>3</v>
      </c>
      <c r="AT59" s="57">
        <f>SUMIFS(Table2[TimeInSeconds], Table2[TOPSEED], Table7[[#This Row],[Team]], Table2[ROUNDNUM], 4)+SUMIFS(Table2[TimeInSeconds], Table2[LOWSEED], Table7[[#This Row],[Team]], Table2[ROUNDNUM],4)</f>
        <v>3600</v>
      </c>
      <c r="AU59" s="137">
        <f>Table7[[#This Row],[SecondsPlayed]]/3600</f>
        <v>1</v>
      </c>
      <c r="AV59" s="57">
        <v>2006</v>
      </c>
      <c r="AW59" s="57">
        <f>COUNTIFS(Table2[LOWSEED], AR59, Table2[ROUNDNUM], 1, Table2[GameOver], 1) + COUNTIFS(Table2[TOPSEED], AR59, Table2[ROUNDNUM], 1, Table2[GameOver], 1)</f>
        <v>4</v>
      </c>
      <c r="AX59" s="57">
        <f>COUNTIFS(Table2[LOWSEED], AR59, Table2[ROUNDNUM], 2, Table2[GameOver], 1) + COUNTIFS(Table2[TOPSEED], AR59, Table2[ROUNDNUM], 2, Table2[GameOver], 1)</f>
        <v>4</v>
      </c>
      <c r="AY59" s="57">
        <f>COUNTIFS(Table2[LOWSEED], AR59, Table2[ROUNDNUM], 3, Table2[GameOver], 1) + COUNTIFS(Table2[TOPSEED], AR59, Table2[ROUNDNUM], 3, Table2[GameOver], 1)</f>
        <v>5</v>
      </c>
      <c r="AZ59" s="57">
        <f>COUNTIFS(Table2[LOWSEED], AR59, Table2[ROUNDNUM], 4, Table2[GameOver], 1) + COUNTIFS(Table2[TOPSEED], AR59, Table2[ROUNDNUM], 4, Table2[GameOver], 1)</f>
        <v>1</v>
      </c>
      <c r="BA59" s="57">
        <f>AW59+AX59+AY59+AZ59</f>
        <v>14</v>
      </c>
      <c r="BB59" s="57">
        <f>COUNTIF($P$2:$P$107, AR59)</f>
        <v>11</v>
      </c>
      <c r="BC59" s="57">
        <f>COUNTIF($O$2:$O$107, AR59)</f>
        <v>9</v>
      </c>
      <c r="BD59" s="57">
        <f>BF59+BH59</f>
        <v>8</v>
      </c>
      <c r="BE59" s="57">
        <f>BA59-BD59</f>
        <v>6</v>
      </c>
      <c r="BF59" s="57">
        <f>SUMPRODUCT(($P$2:$P$107=AR59)*($W$2:$W$107&gt;$V$2:$V$107))</f>
        <v>0</v>
      </c>
      <c r="BG59" s="57">
        <f>SUMPRODUCT(($P$2:$P$107=AR59)*($W$2:$W$107&lt;$V$2:$V$107))</f>
        <v>11</v>
      </c>
      <c r="BH59" s="57">
        <f>SUMPRODUCT(($O$2:$O$107=AR59)*($W$2:$W$107&lt;$V$2:$V$107))</f>
        <v>8</v>
      </c>
      <c r="BI59" s="57">
        <f>SUMPRODUCT(($O$2:$O$107=AR59)*($W$2:$W$107&gt;$V$2:$V$107))</f>
        <v>0</v>
      </c>
      <c r="BJ59" s="57">
        <f>COUNTIFS($P$2:$P$107,AR59,$G$2:$G$107,4)</f>
        <v>1</v>
      </c>
      <c r="BK59" s="57">
        <f>COUNTIFS($O$2:$O$107,AR59,$G$2:$G$107,4)</f>
        <v>2</v>
      </c>
      <c r="BL59" s="57">
        <f>SUMIFS($W$2:$W$107, $P$2:$P$107, AR59,$G$2:$G$107, 4)</f>
        <v>0</v>
      </c>
      <c r="BM59" s="57">
        <f>SUMIFS($V$2:$V$107, $O$2:$O$107, AR59,$G$2:$G$107, 4)</f>
        <v>4</v>
      </c>
      <c r="BN59" s="57">
        <f>SUMIFS($V$2:$V$107, $P$2:$P$107, AR59,$G$2:$G$107, 4)</f>
        <v>4</v>
      </c>
      <c r="BO59" s="57">
        <f>SUMIFS($W$2:$W$107, $O$2:$O$107, AR59,$G$2:$G$107, 4)</f>
        <v>0</v>
      </c>
      <c r="BP59" s="57">
        <f t="shared" ref="BP59:BQ60" si="93">BL59-BN59</f>
        <v>-4</v>
      </c>
      <c r="BQ59" s="57">
        <f t="shared" si="93"/>
        <v>4</v>
      </c>
      <c r="BR59" s="57">
        <f>BL59+BM59</f>
        <v>4</v>
      </c>
      <c r="BS59" s="57">
        <f>BN59+BO59</f>
        <v>4</v>
      </c>
      <c r="BT59" s="57">
        <f>(BL59+BM59)-(BN59+BO59)</f>
        <v>0</v>
      </c>
      <c r="BU59">
        <f t="shared" ref="BU59:BV60" si="94">BL59/BJ59</f>
        <v>0</v>
      </c>
      <c r="BV59">
        <f t="shared" si="94"/>
        <v>2</v>
      </c>
      <c r="BW59">
        <f t="shared" ref="BW59:BX60" si="95">BN59/BJ59</f>
        <v>4</v>
      </c>
      <c r="BX59">
        <f t="shared" si="95"/>
        <v>0</v>
      </c>
      <c r="BY59">
        <f>BR59/AW59</f>
        <v>1</v>
      </c>
      <c r="BZ59">
        <f>BS59/AW59</f>
        <v>1</v>
      </c>
      <c r="CA59" s="65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30"/>
    </row>
    <row r="60" spans="1:104" x14ac:dyDescent="0.25">
      <c r="A60" s="55" t="str">
        <f>IF(ISBLANK(Table2[[#This Row],[GAMENUM]]), "", _xlfn.TEXTJOIN("", 1, "2025030", Table2[[#This Row],[ROUNDNUM]], Table2[[#This Row],[SeriesID]], Table2[[#This Row],[GAMENUM]]))</f>
        <v>2025030244</v>
      </c>
      <c r="B60" s="63">
        <f>IF(ISBLANK(Table2[[#This Row],[GAMENUM]]), "", INDEX(Table3[SeriesID], MATCH(Table2[[#This Row],[SERIESCODE]],Table3[SeriesCode],0)))</f>
        <v>4</v>
      </c>
      <c r="C60" s="57" t="str">
        <f t="shared" si="56"/>
        <v>Sunday</v>
      </c>
      <c r="D60" s="59">
        <v>46152</v>
      </c>
      <c r="E60" s="60">
        <v>0.9375</v>
      </c>
      <c r="F60" s="59" t="s">
        <v>38</v>
      </c>
      <c r="G60" s="62">
        <v>2</v>
      </c>
      <c r="H60" s="66" t="s">
        <v>53</v>
      </c>
      <c r="I60" s="62">
        <v>4</v>
      </c>
      <c r="J60" s="81" t="str">
        <f>INDEX(Table3[TopSeed],MATCH(Table2[[#This Row],[SERIESCODE]], Table3[SeriesCode], 0))</f>
        <v>VGK</v>
      </c>
      <c r="K60" s="86" t="str">
        <f>INDEX(Table3[LowSeed],MATCH(Table2[[#This Row],[SERIESCODE]], Table3[SeriesCode], 0))</f>
        <v>ANA</v>
      </c>
      <c r="L60" s="62">
        <v>2</v>
      </c>
      <c r="M60" s="62">
        <v>2</v>
      </c>
      <c r="N60" s="81" t="str">
        <f>IF(Table2[[#This Row],[GAMENUM]] = 6, Table2[[#This Row],[TOPSEED]], IF(Table2[[#This Row],[GAMENUM]] = 4, Table2[[#This Row],[TOPSEED]], IF(Table2[[#This Row],[GAMENUM]] = 3, Table2[[#This Row],[TOPSEED]], Table2[LOWSEED])))</f>
        <v>VGK</v>
      </c>
      <c r="O60" s="86" t="str">
        <f>IF(Table2[[#This Row],[GAMENUM]] = 6, Table2[[#This Row],[LOWSEED]], IF(Table2[[#This Row],[GAMENUM]] = 4, Table2[[#This Row],[LOWSEED]], IF(Table2[[#This Row],[GAMENUM]] = 3, Table2[[#This Row],[LOWSEED]], Table2[TOPSEED])))</f>
        <v>ANA</v>
      </c>
      <c r="P60" s="86" t="str">
        <f t="shared" si="57"/>
        <v>ANA</v>
      </c>
      <c r="Q60" s="62">
        <v>3</v>
      </c>
      <c r="R60" s="62">
        <v>4</v>
      </c>
      <c r="S60" s="63" t="s">
        <v>154</v>
      </c>
      <c r="T60" s="59">
        <v>46152</v>
      </c>
      <c r="U60" s="62">
        <v>3</v>
      </c>
      <c r="V60" s="62">
        <v>4</v>
      </c>
      <c r="W60" s="62">
        <v>0</v>
      </c>
      <c r="X60" s="62">
        <v>3600</v>
      </c>
      <c r="Y60" s="63">
        <f>Table2[[#This Row],[TimeInSeconds]]/1200</f>
        <v>3</v>
      </c>
      <c r="Z60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60" s="86" t="str">
        <f t="shared" si="58"/>
        <v>ANA</v>
      </c>
      <c r="AB60" s="63">
        <f>IF(ISBLANK(Table2[[#This Row],[OTROUNDNUM]]), "", Table2[[#This Row],[PAWAYSCORE]]-Table2[[#This Row],[AAWAYSCORE]])</f>
        <v>0</v>
      </c>
      <c r="AC60" s="63">
        <f>IF(ISBLANK(Table2[[#This Row],[OTROUNDNUM]]), "", Table2[[#This Row],[PHOMESCORE]]-Table2[[#This Row],[AHOMESCORE]])</f>
        <v>0</v>
      </c>
      <c r="AD60" s="63">
        <f>_xlfn.IFS(ISBLANK(Table2[[#This Row],[GAMENUM]]), " ", 1, IF((Table2[[#This Row],[TOPSEEDWINS]]+Table2[[#This Row],[LOWSEEDWINS]]) &lt;&gt; Table2[[#This Row],[GAMENUM]], 0, 1))</f>
        <v>1</v>
      </c>
      <c r="AE60" s="63">
        <f>_xlfn.IFS(ISBLANK(Table2[[#This Row],[GAMENUM]]),"", Table2[[#This Row],[GameOver]]=0,"",Table2[[#This Row],[AAWAYSCORE]]&gt;Table2[[#This Row],[AHOMESCORE]], 1,1,0)</f>
        <v>0</v>
      </c>
      <c r="AF60" s="63">
        <f>_xlfn.IFS(ISBLANK(Table2[[#This Row],[GAMENUM]]),"",Table2[[#This Row],[GameOver]]=0,"",Table2[[#This Row],[AAWAYSCORE]]&lt;Table2[[#This Row],[AHOMESCORE]], 1,1,0)</f>
        <v>1</v>
      </c>
      <c r="AG60" s="63">
        <f>_xlfn.IFS(ISBLANK(Table2[[#This Row],[GAMENUM]]),"",Table2[[#This Row],[GameOver]]=0,"",Table2[[#This Row],[OTROUNDNUM]]&gt;0,1,1,0)</f>
        <v>0</v>
      </c>
      <c r="AH60" s="63">
        <f>_xlfn.IFS(ISBLANK(Table2[[#This Row],[GAMENUM]]),"",Table2[[#This Row],[GameOver]]=0,"",Table2[[#This Row],[AAWAYSCORE]]=0,1,1,0)</f>
        <v>0</v>
      </c>
      <c r="AI60" s="63">
        <f>_xlfn.IFS(ISBLANK(Table2[[#This Row],[GAMENUM]]),"", Table2[[#This Row],[GameOver]]=0,"",Table2[[#This Row],[AHOMESCORE]]=0,1,1,0)</f>
        <v>0</v>
      </c>
      <c r="AJ60" s="57"/>
      <c r="AK60" s="65"/>
      <c r="AL60" s="11"/>
      <c r="AM60" s="11"/>
      <c r="AN60" s="11"/>
      <c r="AO60" s="11"/>
      <c r="AP60" s="11"/>
      <c r="AQ60" s="42"/>
      <c r="AR60" s="50" t="s">
        <v>47</v>
      </c>
      <c r="AS60" s="137">
        <f>SUMIFS(Table2[Periods], Table2[TOPSEED], Table7[[#This Row],[Team]], Table2[ROUNDNUM], 4)+SUMIFS(Table2[Periods], Table2[LOWSEED], Table7[[#This Row],[Team]], Table2[ROUNDNUM],4)</f>
        <v>3</v>
      </c>
      <c r="AT60" s="57">
        <f>SUMIFS(Table2[TimeInSeconds], Table2[TOPSEED], Table7[[#This Row],[Team]], Table2[ROUNDNUM], 4)+SUMIFS(Table2[TimeInSeconds], Table2[LOWSEED], Table7[[#This Row],[Team]], Table2[ROUNDNUM],4)</f>
        <v>3600</v>
      </c>
      <c r="AU60" s="137">
        <f>Table7[[#This Row],[SecondsPlayed]]/3600</f>
        <v>1</v>
      </c>
      <c r="AV60" s="57">
        <v>2023</v>
      </c>
      <c r="AW60" s="57">
        <f>COUNTIFS(Table2[LOWSEED], AR60, Table2[ROUNDNUM], 1, Table2[GameOver], 1) + COUNTIFS(Table2[TOPSEED], AR60, Table2[ROUNDNUM], 1, Table2[GameOver], 1)</f>
        <v>6</v>
      </c>
      <c r="AX60" s="57">
        <f>COUNTIFS(Table2[LOWSEED], AR60, Table2[ROUNDNUM], 2, Table2[GameOver], 1) + COUNTIFS(Table2[TOPSEED], AR60, Table2[ROUNDNUM], 2, Table2[GameOver], 1)</f>
        <v>6</v>
      </c>
      <c r="AY60" s="57">
        <f>COUNTIFS(Table2[LOWSEED], AR60, Table2[ROUNDNUM], 3, Table2[GameOver], 1) + COUNTIFS(Table2[TOPSEED], AR60, Table2[ROUNDNUM], 3, Table2[GameOver], 1)</f>
        <v>4</v>
      </c>
      <c r="AZ60" s="57">
        <f>COUNTIFS(Table2[LOWSEED], AR60, Table2[ROUNDNUM], 4, Table2[GameOver], 1) + COUNTIFS(Table2[TOPSEED], AR60, Table2[ROUNDNUM], 4, Table2[GameOver], 1)</f>
        <v>1</v>
      </c>
      <c r="BA60" s="57">
        <f t="shared" ref="BA60" si="96">AW60+AX60+AY60+AZ60</f>
        <v>17</v>
      </c>
      <c r="BB60" s="57">
        <f>COUNTIF($P$2:$P$107, AR60)</f>
        <v>4</v>
      </c>
      <c r="BC60" s="57">
        <f>COUNTIF($O$2:$O$107, AR60)</f>
        <v>10</v>
      </c>
      <c r="BD60" s="57">
        <f>BF60+BH60</f>
        <v>8</v>
      </c>
      <c r="BE60" s="57">
        <f>BA60-BD60</f>
        <v>9</v>
      </c>
      <c r="BF60" s="57">
        <f>SUMPRODUCT(($P$2:$P$107=AR60)*($W$2:$W$107&gt;$V$2:$V$107))</f>
        <v>0</v>
      </c>
      <c r="BG60" s="57">
        <f>SUMPRODUCT(($P$2:$P$107=AR60)*($W$2:$W$107&lt;$V$2:$V$107))</f>
        <v>4</v>
      </c>
      <c r="BH60" s="57">
        <f>SUMPRODUCT(($O$2:$O$107=AR60)*($W$2:$W$107&lt;$V$2:$V$107))</f>
        <v>8</v>
      </c>
      <c r="BI60" s="57">
        <f>SUMPRODUCT(($O$2:$O$107=AR60)*($W$2:$W$107&gt;$V$2:$V$107))</f>
        <v>0</v>
      </c>
      <c r="BJ60" s="57">
        <f>COUNTIFS($P$2:$P$107,AR60,$G$2:$G$107,4)</f>
        <v>0</v>
      </c>
      <c r="BK60" s="57">
        <f>COUNTIFS($O$2:$O$107,AR60,$G$2:$G$107,4)</f>
        <v>2</v>
      </c>
      <c r="BL60" s="57">
        <f>SUMIFS($W$2:$W$107, $P$2:$P$107, AR60,$G$2:$G$107, 4)</f>
        <v>0</v>
      </c>
      <c r="BM60" s="57">
        <f>SUMIFS($V$2:$V$107, $O$2:$O$107, AR60,$G$2:$G$107, 4)</f>
        <v>0</v>
      </c>
      <c r="BN60" s="57">
        <f>SUMIFS($V$2:$V$107, $P$2:$P$107, AR60,$G$2:$G$107, 4)</f>
        <v>0</v>
      </c>
      <c r="BO60" s="57">
        <f>SUMIFS($W$2:$W$107, $O$2:$O$107, AR60,$G$2:$G$107, 4)</f>
        <v>0</v>
      </c>
      <c r="BP60" s="57">
        <f t="shared" si="93"/>
        <v>0</v>
      </c>
      <c r="BQ60" s="57">
        <f t="shared" si="93"/>
        <v>0</v>
      </c>
      <c r="BR60" s="57">
        <f t="shared" ref="BR60" si="97">BL60+BM60</f>
        <v>0</v>
      </c>
      <c r="BS60" s="57">
        <f t="shared" ref="BS60" si="98">BN60+BO60</f>
        <v>0</v>
      </c>
      <c r="BT60" s="57">
        <f t="shared" ref="BT60" si="99">(BL60+BM60)-(BN60+BO60)</f>
        <v>0</v>
      </c>
      <c r="BU60" t="e">
        <f t="shared" si="94"/>
        <v>#DIV/0!</v>
      </c>
      <c r="BV60">
        <f t="shared" si="94"/>
        <v>0</v>
      </c>
      <c r="BW60" t="e">
        <f t="shared" si="95"/>
        <v>#DIV/0!</v>
      </c>
      <c r="BX60">
        <f t="shared" si="95"/>
        <v>0</v>
      </c>
      <c r="BY60">
        <f t="shared" ref="BY60" si="100">BR60/AW60</f>
        <v>0</v>
      </c>
      <c r="BZ60">
        <f t="shared" ref="BZ60" si="101">BS60/AW60</f>
        <v>0</v>
      </c>
      <c r="CA60" s="65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30"/>
    </row>
    <row r="61" spans="1:104" x14ac:dyDescent="0.25">
      <c r="A61" s="55" t="str">
        <f>IF(ISBLANK(Table2[[#This Row],[GAMENUM]]), "", _xlfn.TEXTJOIN("", 1, "2025030", Table2[[#This Row],[ROUNDNUM]], Table2[[#This Row],[SeriesID]], Table2[[#This Row],[GAMENUM]]))</f>
        <v>2025030234</v>
      </c>
      <c r="B61" s="63">
        <f>IF(ISBLANK(Table2[[#This Row],[GAMENUM]]), "", INDEX(Table3[SeriesID], MATCH(Table2[[#This Row],[SERIESCODE]],Table3[SeriesCode],0)))</f>
        <v>3</v>
      </c>
      <c r="C61" s="57" t="str">
        <f t="shared" si="56"/>
        <v>Monday</v>
      </c>
      <c r="D61" s="59">
        <v>46153</v>
      </c>
      <c r="E61" s="60">
        <v>0.875</v>
      </c>
      <c r="F61" s="59" t="s">
        <v>38</v>
      </c>
      <c r="G61" s="62">
        <v>2</v>
      </c>
      <c r="H61" s="66" t="s">
        <v>52</v>
      </c>
      <c r="I61" s="62">
        <v>4</v>
      </c>
      <c r="J61" s="98" t="str">
        <f>INDEX(Table3[TopSeed],MATCH(Table2[[#This Row],[SERIESCODE]], Table3[SeriesCode], 0))</f>
        <v>COL</v>
      </c>
      <c r="K61" s="95" t="str">
        <f>INDEX(Table3[LowSeed],MATCH(Table2[[#This Row],[SERIESCODE]], Table3[SeriesCode], 0))</f>
        <v>MIN</v>
      </c>
      <c r="L61" s="62">
        <v>3</v>
      </c>
      <c r="M61" s="62">
        <v>1</v>
      </c>
      <c r="N61" s="98" t="str">
        <f>IF(Table2[[#This Row],[GAMENUM]] = 6, Table2[[#This Row],[TOPSEED]], IF(Table2[[#This Row],[GAMENUM]] = 4, Table2[[#This Row],[TOPSEED]], IF(Table2[[#This Row],[GAMENUM]] = 3, Table2[[#This Row],[TOPSEED]], Table2[LOWSEED])))</f>
        <v>COL</v>
      </c>
      <c r="O61" s="95" t="str">
        <f>IF(Table2[[#This Row],[GAMENUM]] = 6, Table2[[#This Row],[LOWSEED]], IF(Table2[[#This Row],[GAMENUM]] = 4, Table2[[#This Row],[LOWSEED]], IF(Table2[[#This Row],[GAMENUM]] = 3, Table2[[#This Row],[LOWSEED]], Table2[TOPSEED])))</f>
        <v>MIN</v>
      </c>
      <c r="P61" s="98" t="str">
        <f t="shared" si="57"/>
        <v>COL</v>
      </c>
      <c r="Q61" s="62">
        <v>3</v>
      </c>
      <c r="R61" s="62">
        <v>2</v>
      </c>
      <c r="S61" s="63" t="s">
        <v>154</v>
      </c>
      <c r="T61" s="59">
        <v>46153</v>
      </c>
      <c r="U61" s="62">
        <v>5</v>
      </c>
      <c r="V61" s="62">
        <v>2</v>
      </c>
      <c r="W61" s="62">
        <v>0</v>
      </c>
      <c r="X61" s="62">
        <v>3600</v>
      </c>
      <c r="Y61" s="63">
        <f>Table2[[#This Row],[TimeInSeconds]]/1200</f>
        <v>3</v>
      </c>
      <c r="Z61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61" s="98" t="str">
        <f t="shared" si="58"/>
        <v>COL</v>
      </c>
      <c r="AB61" s="63">
        <f>IF(ISBLANK(Table2[[#This Row],[OTROUNDNUM]]), "", Table2[[#This Row],[PAWAYSCORE]]-Table2[[#This Row],[AAWAYSCORE]])</f>
        <v>-2</v>
      </c>
      <c r="AC61" s="63">
        <f>IF(ISBLANK(Table2[[#This Row],[OTROUNDNUM]]), "", Table2[[#This Row],[PHOMESCORE]]-Table2[[#This Row],[AHOMESCORE]])</f>
        <v>0</v>
      </c>
      <c r="AD61" s="63">
        <f>_xlfn.IFS(ISBLANK(Table2[[#This Row],[GAMENUM]]), " ", 1, IF((Table2[[#This Row],[TOPSEEDWINS]]+Table2[[#This Row],[LOWSEEDWINS]]) &lt;&gt; Table2[[#This Row],[GAMENUM]], 0, 1))</f>
        <v>1</v>
      </c>
      <c r="AE61" s="63">
        <f>_xlfn.IFS(ISBLANK(Table2[[#This Row],[GAMENUM]]),"", Table2[[#This Row],[GameOver]]=0,"",Table2[[#This Row],[AAWAYSCORE]]&gt;Table2[[#This Row],[AHOMESCORE]], 1,1,0)</f>
        <v>1</v>
      </c>
      <c r="AF61" s="63">
        <f>_xlfn.IFS(ISBLANK(Table2[[#This Row],[GAMENUM]]),"",Table2[[#This Row],[GameOver]]=0,"",Table2[[#This Row],[AAWAYSCORE]]&lt;Table2[[#This Row],[AHOMESCORE]], 1,1,0)</f>
        <v>0</v>
      </c>
      <c r="AG61" s="63">
        <f>_xlfn.IFS(ISBLANK(Table2[[#This Row],[GAMENUM]]),"",Table2[[#This Row],[GameOver]]=0,"",Table2[[#This Row],[OTROUNDNUM]]&gt;0,1,1,0)</f>
        <v>0</v>
      </c>
      <c r="AH61" s="63">
        <f>_xlfn.IFS(ISBLANK(Table2[[#This Row],[GAMENUM]]),"",Table2[[#This Row],[GameOver]]=0,"",Table2[[#This Row],[AAWAYSCORE]]=0,1,1,0)</f>
        <v>0</v>
      </c>
      <c r="AI61" s="63">
        <f>_xlfn.IFS(ISBLANK(Table2[[#This Row],[GAMENUM]]),"", Table2[[#This Row],[GameOver]]=0,"",Table2[[#This Row],[AHOMESCORE]]=0,1,1,0)</f>
        <v>0</v>
      </c>
      <c r="AJ61" s="57"/>
      <c r="AK61" s="65"/>
      <c r="AL61" s="11"/>
      <c r="AM61" s="11"/>
      <c r="AN61" s="11"/>
      <c r="AO61" s="11"/>
      <c r="AP61" s="11"/>
      <c r="AQ61" s="42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30"/>
    </row>
    <row r="62" spans="1:104" x14ac:dyDescent="0.25">
      <c r="A62" s="55" t="str">
        <f>IF(ISBLANK(Table2[[#This Row],[GAMENUM]]), "", _xlfn.TEXTJOIN("", 1, "2025030", Table2[[#This Row],[ROUNDNUM]], Table2[[#This Row],[SeriesID]], Table2[[#This Row],[GAMENUM]]))</f>
        <v>2025030214</v>
      </c>
      <c r="B62" s="63">
        <f>IF(ISBLANK(Table2[[#This Row],[GAMENUM]]), "", INDEX(Table3[SeriesID], MATCH(Table2[[#This Row],[SERIESCODE]],Table3[SeriesCode],0)))</f>
        <v>1</v>
      </c>
      <c r="C62" s="57" t="str">
        <f t="shared" si="56"/>
        <v>Tuesday</v>
      </c>
      <c r="D62" s="59">
        <v>46154</v>
      </c>
      <c r="E62" s="60">
        <v>0.83333333333333337</v>
      </c>
      <c r="F62" s="59" t="s">
        <v>16</v>
      </c>
      <c r="G62" s="62">
        <v>2</v>
      </c>
      <c r="H62" s="66" t="s">
        <v>51</v>
      </c>
      <c r="I62" s="62">
        <v>4</v>
      </c>
      <c r="J62" s="78" t="str">
        <f>INDEX(Table3[TopSeed],MATCH(Table2[[#This Row],[SERIESCODE]], Table3[SeriesCode], 0))</f>
        <v>BUF</v>
      </c>
      <c r="K62" s="97" t="str">
        <f>INDEX(Table3[LowSeed],MATCH(Table2[[#This Row],[SERIESCODE]], Table3[SeriesCode], 0))</f>
        <v>MTL</v>
      </c>
      <c r="L62" s="62">
        <v>2</v>
      </c>
      <c r="M62" s="62">
        <v>2</v>
      </c>
      <c r="N62" s="78" t="str">
        <f>IF(Table2[[#This Row],[GAMENUM]] = 6, Table2[[#This Row],[TOPSEED]], IF(Table2[[#This Row],[GAMENUM]] = 4, Table2[[#This Row],[TOPSEED]], IF(Table2[[#This Row],[GAMENUM]] = 3, Table2[[#This Row],[TOPSEED]], Table2[LOWSEED])))</f>
        <v>BUF</v>
      </c>
      <c r="O62" s="97" t="str">
        <f>IF(Table2[[#This Row],[GAMENUM]] = 6, Table2[[#This Row],[LOWSEED]], IF(Table2[[#This Row],[GAMENUM]] = 4, Table2[[#This Row],[LOWSEED]], IF(Table2[[#This Row],[GAMENUM]] = 3, Table2[[#This Row],[LOWSEED]], Table2[TOPSEED])))</f>
        <v>MTL</v>
      </c>
      <c r="P62" s="97" t="str">
        <f t="shared" si="57"/>
        <v>MTL</v>
      </c>
      <c r="Q62" s="62">
        <v>2</v>
      </c>
      <c r="R62" s="62">
        <v>3</v>
      </c>
      <c r="S62" s="63" t="s">
        <v>154</v>
      </c>
      <c r="T62" s="59">
        <v>46154</v>
      </c>
      <c r="U62" s="62">
        <v>3</v>
      </c>
      <c r="V62" s="62">
        <v>2</v>
      </c>
      <c r="W62" s="62">
        <v>0</v>
      </c>
      <c r="X62" s="62">
        <v>3600</v>
      </c>
      <c r="Y62" s="63">
        <f>Table2[[#This Row],[TimeInSeconds]]/1200</f>
        <v>3</v>
      </c>
      <c r="Z62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62" s="78" t="str">
        <f t="shared" si="58"/>
        <v>BUF</v>
      </c>
      <c r="AB62" s="63">
        <f>IF(ISBLANK(Table2[[#This Row],[OTROUNDNUM]]), "", Table2[[#This Row],[PAWAYSCORE]]-Table2[[#This Row],[AAWAYSCORE]])</f>
        <v>-1</v>
      </c>
      <c r="AC62" s="63">
        <f>IF(ISBLANK(Table2[[#This Row],[OTROUNDNUM]]), "", Table2[[#This Row],[PHOMESCORE]]-Table2[[#This Row],[AHOMESCORE]])</f>
        <v>1</v>
      </c>
      <c r="AD62" s="63">
        <f>_xlfn.IFS(ISBLANK(Table2[[#This Row],[GAMENUM]]), " ", 1, IF((Table2[[#This Row],[TOPSEEDWINS]]+Table2[[#This Row],[LOWSEEDWINS]]) &lt;&gt; Table2[[#This Row],[GAMENUM]], 0, 1))</f>
        <v>1</v>
      </c>
      <c r="AE62" s="63">
        <f>_xlfn.IFS(ISBLANK(Table2[[#This Row],[GAMENUM]]),"", Table2[[#This Row],[GameOver]]=0,"",Table2[[#This Row],[AAWAYSCORE]]&gt;Table2[[#This Row],[AHOMESCORE]], 1,1,0)</f>
        <v>1</v>
      </c>
      <c r="AF62" s="63">
        <f>_xlfn.IFS(ISBLANK(Table2[[#This Row],[GAMENUM]]),"",Table2[[#This Row],[GameOver]]=0,"",Table2[[#This Row],[AAWAYSCORE]]&lt;Table2[[#This Row],[AHOMESCORE]], 1,1,0)</f>
        <v>0</v>
      </c>
      <c r="AG62" s="63">
        <f>_xlfn.IFS(ISBLANK(Table2[[#This Row],[GAMENUM]]),"",Table2[[#This Row],[GameOver]]=0,"",Table2[[#This Row],[OTROUNDNUM]]&gt;0,1,1,0)</f>
        <v>0</v>
      </c>
      <c r="AH62" s="63">
        <f>_xlfn.IFS(ISBLANK(Table2[[#This Row],[GAMENUM]]),"",Table2[[#This Row],[GameOver]]=0,"",Table2[[#This Row],[AAWAYSCORE]]=0,1,1,0)</f>
        <v>0</v>
      </c>
      <c r="AI62" s="63">
        <f>_xlfn.IFS(ISBLANK(Table2[[#This Row],[GAMENUM]]),"", Table2[[#This Row],[GameOver]]=0,"",Table2[[#This Row],[AHOMESCORE]]=0,1,1,0)</f>
        <v>0</v>
      </c>
      <c r="AJ62" s="57"/>
      <c r="AK62" s="65"/>
      <c r="AL62" s="11"/>
      <c r="AM62" s="11"/>
      <c r="AN62" s="11"/>
      <c r="AO62" s="11"/>
      <c r="AP62" s="11"/>
      <c r="AQ62" s="42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30"/>
    </row>
    <row r="63" spans="1:104" x14ac:dyDescent="0.25">
      <c r="A63" s="55" t="str">
        <f>IF(ISBLANK(Table2[[#This Row],[GAMENUM]]), "", _xlfn.TEXTJOIN("", 1, "2025030", Table2[[#This Row],[ROUNDNUM]], Table2[[#This Row],[SeriesID]], Table2[[#This Row],[GAMENUM]]))</f>
        <v>2025030245</v>
      </c>
      <c r="B63" s="63">
        <f>IF(ISBLANK(Table2[[#This Row],[GAMENUM]]), "", INDEX(Table3[SeriesID], MATCH(Table2[[#This Row],[SERIESCODE]],Table3[SeriesCode],0)))</f>
        <v>4</v>
      </c>
      <c r="C63" s="57" t="str">
        <f t="shared" si="56"/>
        <v>Tuesday</v>
      </c>
      <c r="D63" s="59">
        <v>46154</v>
      </c>
      <c r="E63" s="60">
        <v>0.9375</v>
      </c>
      <c r="F63" s="59" t="s">
        <v>38</v>
      </c>
      <c r="G63" s="62">
        <v>2</v>
      </c>
      <c r="H63" s="66" t="s">
        <v>53</v>
      </c>
      <c r="I63" s="62">
        <v>5</v>
      </c>
      <c r="J63" s="81" t="str">
        <f>INDEX(Table3[TopSeed],MATCH(Table2[[#This Row],[SERIESCODE]], Table3[SeriesCode], 0))</f>
        <v>VGK</v>
      </c>
      <c r="K63" s="86" t="str">
        <f>INDEX(Table3[LowSeed],MATCH(Table2[[#This Row],[SERIESCODE]], Table3[SeriesCode], 0))</f>
        <v>ANA</v>
      </c>
      <c r="L63" s="62">
        <v>3</v>
      </c>
      <c r="M63" s="62">
        <v>2</v>
      </c>
      <c r="N63" s="86" t="str">
        <f>IF(Table2[[#This Row],[GAMENUM]] = 6, Table2[[#This Row],[TOPSEED]], IF(Table2[[#This Row],[GAMENUM]] = 4, Table2[[#This Row],[TOPSEED]], IF(Table2[[#This Row],[GAMENUM]] = 3, Table2[[#This Row],[TOPSEED]], Table2[LOWSEED])))</f>
        <v>ANA</v>
      </c>
      <c r="O63" s="81" t="str">
        <f>IF(Table2[[#This Row],[GAMENUM]] = 6, Table2[[#This Row],[LOWSEED]], IF(Table2[[#This Row],[GAMENUM]] = 4, Table2[[#This Row],[LOWSEED]], IF(Table2[[#This Row],[GAMENUM]] = 3, Table2[[#This Row],[LOWSEED]], Table2[TOPSEED])))</f>
        <v>VGK</v>
      </c>
      <c r="P63" s="81" t="str">
        <f t="shared" si="57"/>
        <v>VGK</v>
      </c>
      <c r="Q63" s="62">
        <v>2</v>
      </c>
      <c r="R63" s="62">
        <v>3</v>
      </c>
      <c r="S63" s="63" t="s">
        <v>154</v>
      </c>
      <c r="T63" s="59">
        <v>46154</v>
      </c>
      <c r="U63" s="62">
        <v>2</v>
      </c>
      <c r="V63" s="62">
        <v>3</v>
      </c>
      <c r="W63" s="62">
        <v>1</v>
      </c>
      <c r="X63" s="62">
        <v>3850</v>
      </c>
      <c r="Y63" s="63">
        <f>Table2[[#This Row],[TimeInSeconds]]/1200</f>
        <v>3.2083333333333335</v>
      </c>
      <c r="Z63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63" s="81" t="str">
        <f t="shared" si="58"/>
        <v>VGK</v>
      </c>
      <c r="AB63" s="63">
        <f>IF(ISBLANK(Table2[[#This Row],[OTROUNDNUM]]), "", Table2[[#This Row],[PAWAYSCORE]]-Table2[[#This Row],[AAWAYSCORE]])</f>
        <v>0</v>
      </c>
      <c r="AC63" s="63">
        <f>IF(ISBLANK(Table2[[#This Row],[OTROUNDNUM]]), "", Table2[[#This Row],[PHOMESCORE]]-Table2[[#This Row],[AHOMESCORE]])</f>
        <v>0</v>
      </c>
      <c r="AD63" s="63">
        <f>_xlfn.IFS(ISBLANK(Table2[[#This Row],[GAMENUM]]), " ", 1, IF((Table2[[#This Row],[TOPSEEDWINS]]+Table2[[#This Row],[LOWSEEDWINS]]) &lt;&gt; Table2[[#This Row],[GAMENUM]], 0, 1))</f>
        <v>1</v>
      </c>
      <c r="AE63" s="63">
        <f>_xlfn.IFS(ISBLANK(Table2[[#This Row],[GAMENUM]]),"", Table2[[#This Row],[GameOver]]=0,"",Table2[[#This Row],[AAWAYSCORE]]&gt;Table2[[#This Row],[AHOMESCORE]], 1,1,0)</f>
        <v>0</v>
      </c>
      <c r="AF63" s="63">
        <f>_xlfn.IFS(ISBLANK(Table2[[#This Row],[GAMENUM]]),"",Table2[[#This Row],[GameOver]]=0,"",Table2[[#This Row],[AAWAYSCORE]]&lt;Table2[[#This Row],[AHOMESCORE]], 1,1,0)</f>
        <v>1</v>
      </c>
      <c r="AG63" s="63">
        <f>_xlfn.IFS(ISBLANK(Table2[[#This Row],[GAMENUM]]),"",Table2[[#This Row],[GameOver]]=0,"",Table2[[#This Row],[OTROUNDNUM]]&gt;0,1,1,0)</f>
        <v>1</v>
      </c>
      <c r="AH63" s="63">
        <f>_xlfn.IFS(ISBLANK(Table2[[#This Row],[GAMENUM]]),"",Table2[[#This Row],[GameOver]]=0,"",Table2[[#This Row],[AAWAYSCORE]]=0,1,1,0)</f>
        <v>0</v>
      </c>
      <c r="AI63" s="63">
        <f>_xlfn.IFS(ISBLANK(Table2[[#This Row],[GAMENUM]]),"", Table2[[#This Row],[GameOver]]=0,"",Table2[[#This Row],[AHOMESCORE]]=0,1,1,0)</f>
        <v>0</v>
      </c>
      <c r="AJ63" s="57"/>
      <c r="AK63" s="65"/>
      <c r="AL63" s="11"/>
      <c r="AM63" s="11"/>
      <c r="AN63" s="11"/>
      <c r="AO63" s="11"/>
      <c r="AP63" s="11"/>
      <c r="AQ63" s="42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30"/>
    </row>
    <row r="64" spans="1:104" x14ac:dyDescent="0.25">
      <c r="A64" s="55" t="str">
        <f>IF(ISBLANK(Table2[[#This Row],[GAMENUM]]), "", _xlfn.TEXTJOIN("", 1, "2025030", Table2[[#This Row],[ROUNDNUM]], Table2[[#This Row],[SeriesID]], Table2[[#This Row],[GAMENUM]]))</f>
        <v>2025030235</v>
      </c>
      <c r="B64" s="63">
        <f>IF(ISBLANK(Table2[[#This Row],[GAMENUM]]), "", INDEX(Table3[SeriesID], MATCH(Table2[[#This Row],[SERIESCODE]],Table3[SeriesCode],0)))</f>
        <v>3</v>
      </c>
      <c r="C64" s="57" t="str">
        <f t="shared" si="56"/>
        <v>Wednesday</v>
      </c>
      <c r="D64" s="59">
        <v>46155</v>
      </c>
      <c r="E64" s="60">
        <v>0.875</v>
      </c>
      <c r="F64" s="59" t="s">
        <v>38</v>
      </c>
      <c r="G64" s="62">
        <v>2</v>
      </c>
      <c r="H64" s="66" t="s">
        <v>52</v>
      </c>
      <c r="I64" s="62">
        <v>5</v>
      </c>
      <c r="J64" s="98" t="str">
        <f>INDEX(Table3[TopSeed],MATCH(Table2[[#This Row],[SERIESCODE]], Table3[SeriesCode], 0))</f>
        <v>COL</v>
      </c>
      <c r="K64" s="95" t="str">
        <f>INDEX(Table3[LowSeed],MATCH(Table2[[#This Row],[SERIESCODE]], Table3[SeriesCode], 0))</f>
        <v>MIN</v>
      </c>
      <c r="L64" s="62">
        <v>4</v>
      </c>
      <c r="M64" s="62">
        <v>1</v>
      </c>
      <c r="N64" s="95" t="str">
        <f>IF(Table2[[#This Row],[GAMENUM]] = 6, Table2[[#This Row],[TOPSEED]], IF(Table2[[#This Row],[GAMENUM]] = 4, Table2[[#This Row],[TOPSEED]], IF(Table2[[#This Row],[GAMENUM]] = 3, Table2[[#This Row],[TOPSEED]], Table2[LOWSEED])))</f>
        <v>MIN</v>
      </c>
      <c r="O64" s="98" t="str">
        <f>IF(Table2[[#This Row],[GAMENUM]] = 6, Table2[[#This Row],[LOWSEED]], IF(Table2[[#This Row],[GAMENUM]] = 4, Table2[[#This Row],[LOWSEED]], IF(Table2[[#This Row],[GAMENUM]] = 3, Table2[[#This Row],[LOWSEED]], Table2[TOPSEED])))</f>
        <v>COL</v>
      </c>
      <c r="P64" s="98" t="str">
        <f t="shared" si="57"/>
        <v>COL</v>
      </c>
      <c r="Q64" s="62">
        <v>2</v>
      </c>
      <c r="R64" s="62">
        <v>3</v>
      </c>
      <c r="S64" s="63" t="s">
        <v>154</v>
      </c>
      <c r="T64" s="59">
        <v>46155</v>
      </c>
      <c r="U64" s="62">
        <v>3</v>
      </c>
      <c r="V64" s="62">
        <v>4</v>
      </c>
      <c r="W64" s="62">
        <v>1</v>
      </c>
      <c r="X64" s="62">
        <v>3832</v>
      </c>
      <c r="Y64" s="63">
        <f>Table2[[#This Row],[TimeInSeconds]]/1200</f>
        <v>3.1933333333333334</v>
      </c>
      <c r="Z64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64" s="98" t="str">
        <f t="shared" si="58"/>
        <v>COL</v>
      </c>
      <c r="AB64" s="63">
        <f>IF(ISBLANK(Table2[[#This Row],[OTROUNDNUM]]), "", Table2[[#This Row],[PAWAYSCORE]]-Table2[[#This Row],[AAWAYSCORE]])</f>
        <v>-1</v>
      </c>
      <c r="AC64" s="63">
        <f>IF(ISBLANK(Table2[[#This Row],[OTROUNDNUM]]), "", Table2[[#This Row],[PHOMESCORE]]-Table2[[#This Row],[AHOMESCORE]])</f>
        <v>-1</v>
      </c>
      <c r="AD64" s="63">
        <f>_xlfn.IFS(ISBLANK(Table2[[#This Row],[GAMENUM]]), " ", 1, IF((Table2[[#This Row],[TOPSEEDWINS]]+Table2[[#This Row],[LOWSEEDWINS]]) &lt;&gt; Table2[[#This Row],[GAMENUM]], 0, 1))</f>
        <v>1</v>
      </c>
      <c r="AE64" s="63">
        <f>_xlfn.IFS(ISBLANK(Table2[[#This Row],[GAMENUM]]),"", Table2[[#This Row],[GameOver]]=0,"",Table2[[#This Row],[AAWAYSCORE]]&gt;Table2[[#This Row],[AHOMESCORE]], 1,1,0)</f>
        <v>0</v>
      </c>
      <c r="AF64" s="63">
        <f>_xlfn.IFS(ISBLANK(Table2[[#This Row],[GAMENUM]]),"",Table2[[#This Row],[GameOver]]=0,"",Table2[[#This Row],[AAWAYSCORE]]&lt;Table2[[#This Row],[AHOMESCORE]], 1,1,0)</f>
        <v>1</v>
      </c>
      <c r="AG64" s="63">
        <f>_xlfn.IFS(ISBLANK(Table2[[#This Row],[GAMENUM]]),"",Table2[[#This Row],[GameOver]]=0,"",Table2[[#This Row],[OTROUNDNUM]]&gt;0,1,1,0)</f>
        <v>1</v>
      </c>
      <c r="AH64" s="63">
        <f>_xlfn.IFS(ISBLANK(Table2[[#This Row],[GAMENUM]]),"",Table2[[#This Row],[GameOver]]=0,"",Table2[[#This Row],[AAWAYSCORE]]=0,1,1,0)</f>
        <v>0</v>
      </c>
      <c r="AI64" s="63">
        <f>_xlfn.IFS(ISBLANK(Table2[[#This Row],[GAMENUM]]),"", Table2[[#This Row],[GameOver]]=0,"",Table2[[#This Row],[AHOMESCORE]]=0,1,1,0)</f>
        <v>0</v>
      </c>
      <c r="AJ64" s="57"/>
      <c r="AK64" s="65"/>
      <c r="AL64" s="11"/>
      <c r="AM64" s="11"/>
      <c r="AN64" s="11"/>
      <c r="AO64" s="11"/>
      <c r="AP64" s="11"/>
      <c r="AQ64" s="42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30"/>
    </row>
    <row r="65" spans="1:101" x14ac:dyDescent="0.25">
      <c r="A65" s="55" t="str">
        <f>IF(ISBLANK(Table2[[#This Row],[GAMENUM]]), "", _xlfn.TEXTJOIN("", 1, "2025030", Table2[[#This Row],[ROUNDNUM]], Table2[[#This Row],[SeriesID]], Table2[[#This Row],[GAMENUM]]))</f>
        <v>2025030215</v>
      </c>
      <c r="B65" s="63">
        <f>IF(ISBLANK(Table2[[#This Row],[GAMENUM]]), "", INDEX(Table3[SeriesID], MATCH(Table2[[#This Row],[SERIESCODE]],Table3[SeriesCode],0)))</f>
        <v>1</v>
      </c>
      <c r="C65" s="57" t="str">
        <f t="shared" si="56"/>
        <v>Thursday</v>
      </c>
      <c r="D65" s="59">
        <v>46156</v>
      </c>
      <c r="E65" s="60">
        <v>0.83333333333333337</v>
      </c>
      <c r="F65" s="59" t="s">
        <v>16</v>
      </c>
      <c r="G65" s="62">
        <v>2</v>
      </c>
      <c r="H65" s="66" t="s">
        <v>51</v>
      </c>
      <c r="I65" s="62">
        <v>5</v>
      </c>
      <c r="J65" s="78" t="str">
        <f>INDEX(Table3[TopSeed],MATCH(Table2[[#This Row],[SERIESCODE]], Table3[SeriesCode], 0))</f>
        <v>BUF</v>
      </c>
      <c r="K65" s="97" t="str">
        <f>INDEX(Table3[LowSeed],MATCH(Table2[[#This Row],[SERIESCODE]], Table3[SeriesCode], 0))</f>
        <v>MTL</v>
      </c>
      <c r="L65" s="62">
        <v>2</v>
      </c>
      <c r="M65" s="62">
        <v>3</v>
      </c>
      <c r="N65" s="97" t="str">
        <f>IF(Table2[[#This Row],[GAMENUM]] = 6, Table2[[#This Row],[TOPSEED]], IF(Table2[[#This Row],[GAMENUM]] = 4, Table2[[#This Row],[TOPSEED]], IF(Table2[[#This Row],[GAMENUM]] = 3, Table2[[#This Row],[TOPSEED]], Table2[LOWSEED])))</f>
        <v>MTL</v>
      </c>
      <c r="O65" s="78" t="str">
        <f>IF(Table2[[#This Row],[GAMENUM]] = 6, Table2[[#This Row],[LOWSEED]], IF(Table2[[#This Row],[GAMENUM]] = 4, Table2[[#This Row],[LOWSEED]], IF(Table2[[#This Row],[GAMENUM]] = 3, Table2[[#This Row],[LOWSEED]], Table2[TOPSEED])))</f>
        <v>BUF</v>
      </c>
      <c r="P65" s="97" t="str">
        <f t="shared" ref="P65:P66" si="102">IF(OR(ISBLANK(Q65), ISBLANK($R65)), "", IF($Q65&gt;$R65, $N65,$O65))</f>
        <v>MTL</v>
      </c>
      <c r="Q65" s="62">
        <v>3</v>
      </c>
      <c r="R65" s="62">
        <v>2</v>
      </c>
      <c r="S65" s="63" t="s">
        <v>154</v>
      </c>
      <c r="T65" s="59">
        <v>46156</v>
      </c>
      <c r="U65" s="62">
        <v>6</v>
      </c>
      <c r="V65" s="62">
        <v>3</v>
      </c>
      <c r="W65" s="62">
        <v>0</v>
      </c>
      <c r="X65" s="62">
        <v>3600</v>
      </c>
      <c r="Y65" s="63">
        <f>Table2[[#This Row],[TimeInSeconds]]/1200</f>
        <v>3</v>
      </c>
      <c r="Z65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65" s="97" t="str">
        <f t="shared" si="58"/>
        <v>MTL</v>
      </c>
      <c r="AB65" s="63">
        <f>IF(ISBLANK(Table2[[#This Row],[OTROUNDNUM]]), "", Table2[[#This Row],[PAWAYSCORE]]-Table2[[#This Row],[AAWAYSCORE]])</f>
        <v>-3</v>
      </c>
      <c r="AC65" s="63">
        <f>IF(ISBLANK(Table2[[#This Row],[OTROUNDNUM]]), "", Table2[[#This Row],[PHOMESCORE]]-Table2[[#This Row],[AHOMESCORE]])</f>
        <v>-1</v>
      </c>
      <c r="AD65" s="63">
        <f>_xlfn.IFS(ISBLANK(Table2[[#This Row],[GAMENUM]]), " ", 1, IF((Table2[[#This Row],[TOPSEEDWINS]]+Table2[[#This Row],[LOWSEEDWINS]]) &lt;&gt; Table2[[#This Row],[GAMENUM]], 0, 1))</f>
        <v>1</v>
      </c>
      <c r="AE65" s="63">
        <f>_xlfn.IFS(ISBLANK(Table2[[#This Row],[GAMENUM]]),"", Table2[[#This Row],[GameOver]]=0,"",Table2[[#This Row],[AAWAYSCORE]]&gt;Table2[[#This Row],[AHOMESCORE]], 1,1,0)</f>
        <v>1</v>
      </c>
      <c r="AF65" s="63">
        <f>_xlfn.IFS(ISBLANK(Table2[[#This Row],[GAMENUM]]),"",Table2[[#This Row],[GameOver]]=0,"",Table2[[#This Row],[AAWAYSCORE]]&lt;Table2[[#This Row],[AHOMESCORE]], 1,1,0)</f>
        <v>0</v>
      </c>
      <c r="AG65" s="63">
        <f>_xlfn.IFS(ISBLANK(Table2[[#This Row],[GAMENUM]]),"",Table2[[#This Row],[GameOver]]=0,"",Table2[[#This Row],[OTROUNDNUM]]&gt;0,1,1,0)</f>
        <v>0</v>
      </c>
      <c r="AH65" s="63">
        <f>_xlfn.IFS(ISBLANK(Table2[[#This Row],[GAMENUM]]),"",Table2[[#This Row],[GameOver]]=0,"",Table2[[#This Row],[AAWAYSCORE]]=0,1,1,0)</f>
        <v>0</v>
      </c>
      <c r="AI65" s="63">
        <f>_xlfn.IFS(ISBLANK(Table2[[#This Row],[GAMENUM]]),"", Table2[[#This Row],[GameOver]]=0,"",Table2[[#This Row],[AHOMESCORE]]=0,1,1,0)</f>
        <v>0</v>
      </c>
      <c r="AJ65" s="57"/>
      <c r="AK65" s="65"/>
      <c r="AL65" s="11"/>
      <c r="AM65" s="11"/>
      <c r="AN65" s="11"/>
      <c r="AO65" s="11"/>
      <c r="AP65" s="11"/>
      <c r="AQ65" s="42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30"/>
    </row>
    <row r="66" spans="1:101" x14ac:dyDescent="0.25">
      <c r="A66" s="55" t="str">
        <f>IF(ISBLANK(Table2[[#This Row],[GAMENUM]]), "", _xlfn.TEXTJOIN("", 1, "2025030", Table2[[#This Row],[ROUNDNUM]], Table2[[#This Row],[SeriesID]], Table2[[#This Row],[GAMENUM]]))</f>
        <v>2025030246</v>
      </c>
      <c r="B66" s="63">
        <f>IF(ISBLANK(Table2[[#This Row],[GAMENUM]]), "", INDEX(Table3[SeriesID], MATCH(Table2[[#This Row],[SERIESCODE]],Table3[SeriesCode],0)))</f>
        <v>4</v>
      </c>
      <c r="C66" s="57" t="str">
        <f t="shared" si="56"/>
        <v>Thursday</v>
      </c>
      <c r="D66" s="59">
        <v>46156</v>
      </c>
      <c r="E66" s="60">
        <v>0.9375</v>
      </c>
      <c r="F66" s="59" t="s">
        <v>38</v>
      </c>
      <c r="G66" s="62">
        <v>2</v>
      </c>
      <c r="H66" s="66" t="s">
        <v>53</v>
      </c>
      <c r="I66" s="62">
        <v>6</v>
      </c>
      <c r="J66" s="81" t="str">
        <f>INDEX(Table3[TopSeed],MATCH(Table2[[#This Row],[SERIESCODE]], Table3[SeriesCode], 0))</f>
        <v>VGK</v>
      </c>
      <c r="K66" s="86" t="str">
        <f>INDEX(Table3[LowSeed],MATCH(Table2[[#This Row],[SERIESCODE]], Table3[SeriesCode], 0))</f>
        <v>ANA</v>
      </c>
      <c r="L66" s="62">
        <v>4</v>
      </c>
      <c r="M66" s="62">
        <v>2</v>
      </c>
      <c r="N66" s="81" t="str">
        <f>IF(Table2[[#This Row],[GAMENUM]] = 6, Table2[[#This Row],[TOPSEED]], IF(Table2[[#This Row],[GAMENUM]] = 4, Table2[[#This Row],[TOPSEED]], IF(Table2[[#This Row],[GAMENUM]] = 3, Table2[[#This Row],[TOPSEED]], Table2[LOWSEED])))</f>
        <v>VGK</v>
      </c>
      <c r="O66" s="86" t="str">
        <f>IF(Table2[[#This Row],[GAMENUM]] = 6, Table2[[#This Row],[LOWSEED]], IF(Table2[[#This Row],[GAMENUM]] = 4, Table2[[#This Row],[LOWSEED]], IF(Table2[[#This Row],[GAMENUM]] = 3, Table2[[#This Row],[LOWSEED]], Table2[TOPSEED])))</f>
        <v>ANA</v>
      </c>
      <c r="P66" s="86" t="str">
        <f t="shared" si="102"/>
        <v>ANA</v>
      </c>
      <c r="Q66" s="62">
        <v>2</v>
      </c>
      <c r="R66" s="62">
        <v>3</v>
      </c>
      <c r="S66" s="63" t="s">
        <v>154</v>
      </c>
      <c r="T66" s="59">
        <v>46156</v>
      </c>
      <c r="U66" s="62">
        <v>5</v>
      </c>
      <c r="V66" s="62">
        <v>1</v>
      </c>
      <c r="W66" s="62">
        <v>0</v>
      </c>
      <c r="X66" s="62">
        <v>3600</v>
      </c>
      <c r="Y66" s="63">
        <f>Table2[[#This Row],[TimeInSeconds]]/1200</f>
        <v>3</v>
      </c>
      <c r="Z66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66" s="81" t="str">
        <f t="shared" si="58"/>
        <v>VGK</v>
      </c>
      <c r="AB66" s="63">
        <f>IF(ISBLANK(Table2[[#This Row],[OTROUNDNUM]]), "", Table2[[#This Row],[PAWAYSCORE]]-Table2[[#This Row],[AAWAYSCORE]])</f>
        <v>-3</v>
      </c>
      <c r="AC66" s="63">
        <f>IF(ISBLANK(Table2[[#This Row],[OTROUNDNUM]]), "", Table2[[#This Row],[PHOMESCORE]]-Table2[[#This Row],[AHOMESCORE]])</f>
        <v>2</v>
      </c>
      <c r="AD66" s="63">
        <f>_xlfn.IFS(ISBLANK(Table2[[#This Row],[GAMENUM]]), " ", 1, IF((Table2[[#This Row],[TOPSEEDWINS]]+Table2[[#This Row],[LOWSEEDWINS]]) &lt;&gt; Table2[[#This Row],[GAMENUM]], 0, 1))</f>
        <v>1</v>
      </c>
      <c r="AE66" s="63">
        <f>_xlfn.IFS(ISBLANK(Table2[[#This Row],[GAMENUM]]),"", Table2[[#This Row],[GameOver]]=0,"",Table2[[#This Row],[AAWAYSCORE]]&gt;Table2[[#This Row],[AHOMESCORE]], 1,1,0)</f>
        <v>1</v>
      </c>
      <c r="AF66" s="63">
        <f>_xlfn.IFS(ISBLANK(Table2[[#This Row],[GAMENUM]]),"",Table2[[#This Row],[GameOver]]=0,"",Table2[[#This Row],[AAWAYSCORE]]&lt;Table2[[#This Row],[AHOMESCORE]], 1,1,0)</f>
        <v>0</v>
      </c>
      <c r="AG66" s="63">
        <f>_xlfn.IFS(ISBLANK(Table2[[#This Row],[GAMENUM]]),"",Table2[[#This Row],[GameOver]]=0,"",Table2[[#This Row],[OTROUNDNUM]]&gt;0,1,1,0)</f>
        <v>0</v>
      </c>
      <c r="AH66" s="63">
        <f>_xlfn.IFS(ISBLANK(Table2[[#This Row],[GAMENUM]]),"",Table2[[#This Row],[GameOver]]=0,"",Table2[[#This Row],[AAWAYSCORE]]=0,1,1,0)</f>
        <v>0</v>
      </c>
      <c r="AI66" s="63">
        <f>_xlfn.IFS(ISBLANK(Table2[[#This Row],[GAMENUM]]),"", Table2[[#This Row],[GameOver]]=0,"",Table2[[#This Row],[AHOMESCORE]]=0,1,1,0)</f>
        <v>0</v>
      </c>
      <c r="AJ66" s="57"/>
      <c r="AK66" s="65"/>
      <c r="AL66" s="11"/>
      <c r="AM66" s="11"/>
      <c r="AN66" s="11"/>
      <c r="AO66" s="11"/>
      <c r="AP66" s="11"/>
      <c r="AQ66" s="42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30"/>
    </row>
    <row r="67" spans="1:101" x14ac:dyDescent="0.25">
      <c r="A67" s="55" t="str">
        <f>IF(ISBLANK(Table2[[#This Row],[GAMENUM]]), "", _xlfn.TEXTJOIN("", 1, "2025030", Table2[[#This Row],[ROUNDNUM]], Table2[[#This Row],[SeriesID]], Table2[[#This Row],[GAMENUM]]))</f>
        <v>2025030216</v>
      </c>
      <c r="B67" s="63">
        <f>IF(ISBLANK(Table2[[#This Row],[GAMENUM]]), "", INDEX(Table3[SeriesID], MATCH(Table2[[#This Row],[SERIESCODE]],Table3[SeriesCode],0)))</f>
        <v>1</v>
      </c>
      <c r="C67" s="57" t="str">
        <f t="shared" si="56"/>
        <v>Saturday</v>
      </c>
      <c r="D67" s="59">
        <v>46158</v>
      </c>
      <c r="E67" s="60">
        <v>0.875</v>
      </c>
      <c r="F67" s="59" t="s">
        <v>16</v>
      </c>
      <c r="G67" s="62">
        <v>2</v>
      </c>
      <c r="H67" s="66" t="s">
        <v>51</v>
      </c>
      <c r="I67" s="62">
        <v>6</v>
      </c>
      <c r="J67" s="78" t="str">
        <f>INDEX(Table3[TopSeed],MATCH(Table2[[#This Row],[SERIESCODE]], Table3[SeriesCode], 0))</f>
        <v>BUF</v>
      </c>
      <c r="K67" s="97" t="str">
        <f>INDEX(Table3[LowSeed],MATCH(Table2[[#This Row],[SERIESCODE]], Table3[SeriesCode], 0))</f>
        <v>MTL</v>
      </c>
      <c r="L67" s="62">
        <v>3</v>
      </c>
      <c r="M67" s="62">
        <v>3</v>
      </c>
      <c r="N67" s="78" t="str">
        <f>IF(Table2[[#This Row],[GAMENUM]] = 6, Table2[[#This Row],[TOPSEED]], IF(Table2[[#This Row],[GAMENUM]] = 4, Table2[[#This Row],[TOPSEED]], IF(Table2[[#This Row],[GAMENUM]] = 3, Table2[[#This Row],[TOPSEED]], Table2[LOWSEED])))</f>
        <v>BUF</v>
      </c>
      <c r="O67" s="97" t="str">
        <f>IF(Table2[[#This Row],[GAMENUM]] = 6, Table2[[#This Row],[LOWSEED]], IF(Table2[[#This Row],[GAMENUM]] = 4, Table2[[#This Row],[LOWSEED]], IF(Table2[[#This Row],[GAMENUM]] = 3, Table2[[#This Row],[LOWSEED]], Table2[TOPSEED])))</f>
        <v>MTL</v>
      </c>
      <c r="P67" s="97" t="str">
        <f>IF(OR(ISBLANK(Q67), ISBLANK($R67)), "", IF($Q67&gt;$R67, $N67,$O67))</f>
        <v>MTL</v>
      </c>
      <c r="Q67" s="62">
        <v>2</v>
      </c>
      <c r="R67" s="62">
        <v>3</v>
      </c>
      <c r="S67" s="63" t="s">
        <v>154</v>
      </c>
      <c r="T67" s="59">
        <v>46158</v>
      </c>
      <c r="U67" s="62">
        <v>8</v>
      </c>
      <c r="V67" s="62">
        <v>3</v>
      </c>
      <c r="W67" s="62">
        <v>0</v>
      </c>
      <c r="X67" s="62">
        <v>3600</v>
      </c>
      <c r="Y67" s="63">
        <f>Table2[[#This Row],[TimeInSeconds]]/1200</f>
        <v>3</v>
      </c>
      <c r="Z67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67" s="78" t="str">
        <f t="shared" si="58"/>
        <v>BUF</v>
      </c>
      <c r="AB67" s="63">
        <f>IF(ISBLANK(Table2[[#This Row],[OTROUNDNUM]]), "", Table2[[#This Row],[PAWAYSCORE]]-Table2[[#This Row],[AAWAYSCORE]])</f>
        <v>-6</v>
      </c>
      <c r="AC67" s="63">
        <f>IF(ISBLANK(Table2[[#This Row],[OTROUNDNUM]]), "", Table2[[#This Row],[PHOMESCORE]]-Table2[[#This Row],[AHOMESCORE]])</f>
        <v>0</v>
      </c>
      <c r="AD67" s="63">
        <f>_xlfn.IFS(ISBLANK(Table2[[#This Row],[GAMENUM]]), " ", 1, IF((Table2[[#This Row],[TOPSEEDWINS]]+Table2[[#This Row],[LOWSEEDWINS]]) &lt;&gt; Table2[[#This Row],[GAMENUM]], 0, 1))</f>
        <v>1</v>
      </c>
      <c r="AE67" s="63">
        <f>_xlfn.IFS(ISBLANK(Table2[[#This Row],[GAMENUM]]),"", Table2[[#This Row],[GameOver]]=0,"",Table2[[#This Row],[AAWAYSCORE]]&gt;Table2[[#This Row],[AHOMESCORE]], 1,1,0)</f>
        <v>1</v>
      </c>
      <c r="AF67" s="63">
        <f>_xlfn.IFS(ISBLANK(Table2[[#This Row],[GAMENUM]]),"",Table2[[#This Row],[GameOver]]=0,"",Table2[[#This Row],[AAWAYSCORE]]&lt;Table2[[#This Row],[AHOMESCORE]], 1,1,0)</f>
        <v>0</v>
      </c>
      <c r="AG67" s="63">
        <f>_xlfn.IFS(ISBLANK(Table2[[#This Row],[GAMENUM]]),"",Table2[[#This Row],[GameOver]]=0,"",Table2[[#This Row],[OTROUNDNUM]]&gt;0,1,1,0)</f>
        <v>0</v>
      </c>
      <c r="AH67" s="63">
        <f>_xlfn.IFS(ISBLANK(Table2[[#This Row],[GAMENUM]]),"",Table2[[#This Row],[GameOver]]=0,"",Table2[[#This Row],[AAWAYSCORE]]=0,1,1,0)</f>
        <v>0</v>
      </c>
      <c r="AI67" s="63">
        <f>_xlfn.IFS(ISBLANK(Table2[[#This Row],[GAMENUM]]),"", Table2[[#This Row],[GameOver]]=0,"",Table2[[#This Row],[AHOMESCORE]]=0,1,1,0)</f>
        <v>0</v>
      </c>
      <c r="AJ67" s="57"/>
      <c r="AK67" s="65"/>
      <c r="AL67" s="11"/>
      <c r="AM67" s="11"/>
      <c r="AN67" s="11"/>
      <c r="AO67" s="11"/>
      <c r="AP67" s="11"/>
      <c r="AQ67" s="42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30"/>
    </row>
    <row r="68" spans="1:101" x14ac:dyDescent="0.25">
      <c r="A68" s="55" t="str">
        <f>IF(ISBLANK(Table2[[#This Row],[GAMENUM]]), "", _xlfn.TEXTJOIN("", 1, "2025030", Table2[[#This Row],[ROUNDNUM]], Table2[[#This Row],[SeriesID]], Table2[[#This Row],[GAMENUM]]))</f>
        <v>2025030217</v>
      </c>
      <c r="B68" s="63">
        <f>IF(ISBLANK(Table2[[#This Row],[GAMENUM]]), "", INDEX(Table3[SeriesID], MATCH(Table2[[#This Row],[SERIESCODE]],Table3[SeriesCode],0)))</f>
        <v>1</v>
      </c>
      <c r="C68" s="57" t="str">
        <f>TEXT($D68,"dddd")</f>
        <v>Monday</v>
      </c>
      <c r="D68" s="59">
        <v>46160</v>
      </c>
      <c r="E68" s="60">
        <v>0.83333333333333337</v>
      </c>
      <c r="F68" s="59" t="s">
        <v>16</v>
      </c>
      <c r="G68" s="62">
        <v>2</v>
      </c>
      <c r="H68" s="66" t="s">
        <v>51</v>
      </c>
      <c r="I68" s="3">
        <v>7</v>
      </c>
      <c r="J68" s="78" t="str">
        <f>INDEX(Table3[TopSeed],MATCH(Table2[[#This Row],[SERIESCODE]], Table3[SeriesCode], 0))</f>
        <v>BUF</v>
      </c>
      <c r="K68" s="97" t="str">
        <f>INDEX(Table3[LowSeed],MATCH(Table2[[#This Row],[SERIESCODE]], Table3[SeriesCode], 0))</f>
        <v>MTL</v>
      </c>
      <c r="L68" s="62">
        <v>3</v>
      </c>
      <c r="M68" s="62">
        <v>4</v>
      </c>
      <c r="N68" s="97" t="str">
        <f>IF(Table2[[#This Row],[GAMENUM]] = 6, Table2[[#This Row],[TOPSEED]], IF(Table2[[#This Row],[GAMENUM]] = 4, Table2[[#This Row],[TOPSEED]], IF(Table2[[#This Row],[GAMENUM]] = 3, Table2[[#This Row],[TOPSEED]], Table2[LOWSEED])))</f>
        <v>MTL</v>
      </c>
      <c r="O68" s="78" t="str">
        <f>IF(Table2[[#This Row],[GAMENUM]] = 6, Table2[[#This Row],[LOWSEED]], IF(Table2[[#This Row],[GAMENUM]] = 4, Table2[[#This Row],[LOWSEED]], IF(Table2[[#This Row],[GAMENUM]] = 3, Table2[[#This Row],[LOWSEED]], Table2[TOPSEED])))</f>
        <v>BUF</v>
      </c>
      <c r="P68" s="78" t="str">
        <f>IF(OR(ISBLANK(Q68), ISBLANK($R68)), "", IF($Q68&gt;$R68, $N68,$O68))</f>
        <v>BUF</v>
      </c>
      <c r="Q68" s="62">
        <v>2</v>
      </c>
      <c r="R68" s="62">
        <v>3</v>
      </c>
      <c r="S68" s="63" t="s">
        <v>154</v>
      </c>
      <c r="T68" s="59">
        <v>46160</v>
      </c>
      <c r="U68" s="62">
        <v>3</v>
      </c>
      <c r="V68" s="62">
        <v>2</v>
      </c>
      <c r="W68" s="62">
        <v>1</v>
      </c>
      <c r="X68" s="62">
        <v>4282</v>
      </c>
      <c r="Y68" s="63">
        <f>Table2[[#This Row],[TimeInSeconds]]/1200</f>
        <v>3.5683333333333334</v>
      </c>
      <c r="Z68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68" s="97" t="str">
        <f t="shared" si="58"/>
        <v>MTL</v>
      </c>
      <c r="AB68" s="63">
        <f>IF(ISBLANK(Table2[[#This Row],[OTROUNDNUM]]), "", Table2[[#This Row],[PAWAYSCORE]]-Table2[[#This Row],[AAWAYSCORE]])</f>
        <v>-1</v>
      </c>
      <c r="AC68" s="63">
        <f>IF(ISBLANK(Table2[[#This Row],[OTROUNDNUM]]), "", Table2[[#This Row],[PHOMESCORE]]-Table2[[#This Row],[AHOMESCORE]])</f>
        <v>1</v>
      </c>
      <c r="AD68" s="63">
        <f>_xlfn.IFS(ISBLANK(Table2[[#This Row],[GAMENUM]]), " ", 1, IF((Table2[[#This Row],[TOPSEEDWINS]]+Table2[[#This Row],[LOWSEEDWINS]]) &lt;&gt; Table2[[#This Row],[GAMENUM]], 0, 1))</f>
        <v>1</v>
      </c>
      <c r="AE68" s="63">
        <f>_xlfn.IFS(ISBLANK(Table2[[#This Row],[GAMENUM]]),"", Table2[[#This Row],[GameOver]]=0,"",Table2[[#This Row],[AAWAYSCORE]]&gt;Table2[[#This Row],[AHOMESCORE]], 1,1,0)</f>
        <v>1</v>
      </c>
      <c r="AF68" s="63">
        <f>_xlfn.IFS(ISBLANK(Table2[[#This Row],[GAMENUM]]),"",Table2[[#This Row],[GameOver]]=0,"",Table2[[#This Row],[AAWAYSCORE]]&lt;Table2[[#This Row],[AHOMESCORE]], 1,1,0)</f>
        <v>0</v>
      </c>
      <c r="AG68" s="63">
        <f>_xlfn.IFS(ISBLANK(Table2[[#This Row],[GAMENUM]]),"",Table2[[#This Row],[GameOver]]=0,"",Table2[[#This Row],[OTROUNDNUM]]&gt;0,1,1,0)</f>
        <v>1</v>
      </c>
      <c r="AH68" s="63">
        <f>_xlfn.IFS(ISBLANK(Table2[[#This Row],[GAMENUM]]),"",Table2[[#This Row],[GameOver]]=0,"",Table2[[#This Row],[AAWAYSCORE]]=0,1,1,0)</f>
        <v>0</v>
      </c>
      <c r="AI68" s="63">
        <f>_xlfn.IFS(ISBLANK(Table2[[#This Row],[GAMENUM]]),"", Table2[[#This Row],[GameOver]]=0,"",Table2[[#This Row],[AHOMESCORE]]=0,1,1,0)</f>
        <v>0</v>
      </c>
      <c r="AJ68" s="63" t="s">
        <v>205</v>
      </c>
      <c r="AK68" s="57"/>
      <c r="AL68" s="65"/>
      <c r="AM68" s="11"/>
      <c r="AN68" s="11"/>
      <c r="AO68" s="11"/>
      <c r="AP68" s="11"/>
      <c r="AQ68" s="11"/>
      <c r="AR68" s="42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30"/>
    </row>
    <row r="69" spans="1:101" x14ac:dyDescent="0.25">
      <c r="A69" s="55" t="str">
        <f>IF(ISBLANK(Table2[[#This Row],[GAMENUM]]), "", _xlfn.TEXTJOIN("", 1, "2025030", Table2[[#This Row],[ROUNDNUM]], Table2[[#This Row],[SeriesID]], Table2[[#This Row],[GAMENUM]]))</f>
        <v>2025030321</v>
      </c>
      <c r="B69" s="63">
        <f>IF(ISBLANK(Table2[[#This Row],[GAMENUM]]), "", INDEX(Table3[SeriesID], MATCH(Table2[[#This Row],[SERIESCODE]],Table3[SeriesCode],0)))</f>
        <v>2</v>
      </c>
      <c r="C69" s="57" t="str">
        <f t="shared" ref="C69:C77" si="103">TEXT($D69,"dddd")</f>
        <v>Wednesday</v>
      </c>
      <c r="D69" s="59">
        <v>46162</v>
      </c>
      <c r="E69" s="60">
        <v>0.875</v>
      </c>
      <c r="F69" s="59" t="s">
        <v>38</v>
      </c>
      <c r="G69" s="62">
        <v>3</v>
      </c>
      <c r="H69" s="66" t="s">
        <v>55</v>
      </c>
      <c r="I69" s="3">
        <v>1</v>
      </c>
      <c r="J69" s="98" t="str">
        <f>INDEX(Table3[TopSeed],MATCH(Table2[[#This Row],[SERIESCODE]], Table3[SeriesCode], 0))</f>
        <v>COL</v>
      </c>
      <c r="K69" s="81" t="str">
        <f>INDEX(Table3[LowSeed],MATCH(Table2[[#This Row],[SERIESCODE]], Table3[SeriesCode], 0))</f>
        <v>VGK</v>
      </c>
      <c r="L69" s="62">
        <v>0</v>
      </c>
      <c r="M69" s="62">
        <v>1</v>
      </c>
      <c r="N69" s="81" t="str">
        <f>IF(Table2[[#This Row],[GAMENUM]] = 6, Table2[[#This Row],[TOPSEED]], IF(Table2[[#This Row],[GAMENUM]] = 4, Table2[[#This Row],[TOPSEED]], IF(Table2[[#This Row],[GAMENUM]] = 3, Table2[[#This Row],[TOPSEED]], Table2[LOWSEED])))</f>
        <v>VGK</v>
      </c>
      <c r="O69" s="98" t="str">
        <f>IF(Table2[[#This Row],[GAMENUM]] = 6, Table2[[#This Row],[LOWSEED]], IF(Table2[[#This Row],[GAMENUM]] = 4, Table2[[#This Row],[LOWSEED]], IF(Table2[[#This Row],[GAMENUM]] = 3, Table2[[#This Row],[LOWSEED]], Table2[TOPSEED])))</f>
        <v>COL</v>
      </c>
      <c r="P69" s="98" t="str">
        <f t="shared" ref="P69:P76" si="104">IF(OR(ISBLANK(Q69), ISBLANK($R69)), "", IF($Q69&gt;$R69, $N69,$O69))</f>
        <v>COL</v>
      </c>
      <c r="Q69" s="62">
        <v>2</v>
      </c>
      <c r="R69" s="62">
        <v>4</v>
      </c>
      <c r="S69" s="63" t="s">
        <v>155</v>
      </c>
      <c r="T69" s="59">
        <v>46162</v>
      </c>
      <c r="U69" s="62">
        <v>4</v>
      </c>
      <c r="V69" s="62">
        <v>2</v>
      </c>
      <c r="W69" s="62">
        <v>0</v>
      </c>
      <c r="X69" s="62">
        <v>3600</v>
      </c>
      <c r="Y69" s="63">
        <f>Table2[[#This Row],[TimeInSeconds]]/1200</f>
        <v>3</v>
      </c>
      <c r="Z69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69" s="81" t="str">
        <f t="shared" ref="AA69:AA76" si="105">IF(OR(ISBLANK($U69), ISBLANK($V69), ISBLANK($W69)), "", IF(U69&gt;V69,N69,O69))</f>
        <v>VGK</v>
      </c>
      <c r="AB69" s="63">
        <f>IF(ISBLANK(Table2[[#This Row],[OTROUNDNUM]]), "", Table2[[#This Row],[PAWAYSCORE]]-Table2[[#This Row],[AAWAYSCORE]])</f>
        <v>-2</v>
      </c>
      <c r="AC69" s="63">
        <f>IF(ISBLANK(Table2[[#This Row],[OTROUNDNUM]]), "", Table2[[#This Row],[PHOMESCORE]]-Table2[[#This Row],[AHOMESCORE]])</f>
        <v>2</v>
      </c>
      <c r="AD69" s="63">
        <f>_xlfn.IFS(ISBLANK(Table2[[#This Row],[GAMENUM]]), " ", 1, IF((Table2[[#This Row],[TOPSEEDWINS]]+Table2[[#This Row],[LOWSEEDWINS]]) &lt;&gt; Table2[[#This Row],[GAMENUM]], 0, 1))</f>
        <v>1</v>
      </c>
      <c r="AE69" s="63">
        <f>_xlfn.IFS(ISBLANK(Table2[[#This Row],[GAMENUM]]),"", Table2[[#This Row],[GameOver]]=0,"",Table2[[#This Row],[AAWAYSCORE]]&gt;Table2[[#This Row],[AHOMESCORE]], 1,1,0)</f>
        <v>1</v>
      </c>
      <c r="AF69" s="63">
        <f>_xlfn.IFS(ISBLANK(Table2[[#This Row],[GAMENUM]]),"",Table2[[#This Row],[GameOver]]=0,"",Table2[[#This Row],[AAWAYSCORE]]&lt;Table2[[#This Row],[AHOMESCORE]], 1,1,0)</f>
        <v>0</v>
      </c>
      <c r="AG69" s="63">
        <f>_xlfn.IFS(ISBLANK(Table2[[#This Row],[GAMENUM]]),"",Table2[[#This Row],[GameOver]]=0,"",Table2[[#This Row],[OTROUNDNUM]]&gt;0,1,1,0)</f>
        <v>0</v>
      </c>
      <c r="AH69" s="63">
        <f>_xlfn.IFS(ISBLANK(Table2[[#This Row],[GAMENUM]]),"",Table2[[#This Row],[GameOver]]=0,"",Table2[[#This Row],[AAWAYSCORE]]=0,1,1,0)</f>
        <v>0</v>
      </c>
      <c r="AI69" s="63">
        <f>_xlfn.IFS(ISBLANK(Table2[[#This Row],[GAMENUM]]),"", Table2[[#This Row],[GameOver]]=0,"",Table2[[#This Row],[AHOMESCORE]]=0,1,1,0)</f>
        <v>0</v>
      </c>
      <c r="AJ69" s="63"/>
      <c r="AK69" s="57"/>
      <c r="AL69" s="65"/>
      <c r="AM69" s="11"/>
      <c r="AN69" s="11"/>
      <c r="AO69" s="11"/>
      <c r="AP69" s="11"/>
      <c r="AQ69" s="11"/>
      <c r="AR69" s="42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30"/>
    </row>
    <row r="70" spans="1:101" x14ac:dyDescent="0.25">
      <c r="A70" s="55" t="str">
        <f>IF(ISBLANK(Table2[[#This Row],[GAMENUM]]), "", _xlfn.TEXTJOIN("", 1, "2025030", Table2[[#This Row],[ROUNDNUM]], Table2[[#This Row],[SeriesID]], Table2[[#This Row],[GAMENUM]]))</f>
        <v>2025030311</v>
      </c>
      <c r="B70" s="63">
        <f>IF(ISBLANK(Table2[[#This Row],[GAMENUM]]), "", INDEX(Table3[SeriesID], MATCH(Table2[[#This Row],[SERIESCODE]],Table3[SeriesCode],0)))</f>
        <v>1</v>
      </c>
      <c r="C70" s="57" t="str">
        <f t="shared" si="103"/>
        <v>Thursday</v>
      </c>
      <c r="D70" s="59">
        <v>46163</v>
      </c>
      <c r="E70" s="60">
        <v>0.875</v>
      </c>
      <c r="F70" s="59" t="s">
        <v>16</v>
      </c>
      <c r="G70" s="62">
        <v>3</v>
      </c>
      <c r="H70" s="66" t="s">
        <v>54</v>
      </c>
      <c r="I70" s="3">
        <v>1</v>
      </c>
      <c r="J70" s="20" t="str">
        <f>INDEX(Table3[TopSeed],MATCH(Table2[[#This Row],[SERIESCODE]], Table3[SeriesCode], 0))</f>
        <v>CAR</v>
      </c>
      <c r="K70" s="97" t="str">
        <f>INDEX(Table3[LowSeed],MATCH(Table2[[#This Row],[SERIESCODE]], Table3[SeriesCode], 0))</f>
        <v>MTL</v>
      </c>
      <c r="L70" s="62">
        <v>0</v>
      </c>
      <c r="M70" s="62">
        <v>1</v>
      </c>
      <c r="N70" s="97" t="str">
        <f>IF(Table2[[#This Row],[GAMENUM]] = 6, Table2[[#This Row],[TOPSEED]], IF(Table2[[#This Row],[GAMENUM]] = 4, Table2[[#This Row],[TOPSEED]], IF(Table2[[#This Row],[GAMENUM]] = 3, Table2[[#This Row],[TOPSEED]], Table2[LOWSEED])))</f>
        <v>MTL</v>
      </c>
      <c r="O70" s="20" t="str">
        <f>IF(Table2[[#This Row],[GAMENUM]] = 6, Table2[[#This Row],[LOWSEED]], IF(Table2[[#This Row],[GAMENUM]] = 4, Table2[[#This Row],[LOWSEED]], IF(Table2[[#This Row],[GAMENUM]] = 3, Table2[[#This Row],[LOWSEED]], Table2[TOPSEED])))</f>
        <v>CAR</v>
      </c>
      <c r="P70" s="20" t="str">
        <f t="shared" si="104"/>
        <v>CAR</v>
      </c>
      <c r="Q70" s="62">
        <v>2</v>
      </c>
      <c r="R70" s="62">
        <v>4</v>
      </c>
      <c r="S70" s="63" t="s">
        <v>155</v>
      </c>
      <c r="T70" s="59">
        <v>46163</v>
      </c>
      <c r="U70" s="62">
        <v>6</v>
      </c>
      <c r="V70" s="62">
        <v>2</v>
      </c>
      <c r="W70" s="62">
        <v>0</v>
      </c>
      <c r="X70" s="62">
        <v>3600</v>
      </c>
      <c r="Y70" s="63">
        <f>Table2[[#This Row],[TimeInSeconds]]/1200</f>
        <v>3</v>
      </c>
      <c r="Z70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70" s="97" t="str">
        <f t="shared" si="105"/>
        <v>MTL</v>
      </c>
      <c r="AB70" s="63">
        <f>IF(ISBLANK(Table2[[#This Row],[OTROUNDNUM]]), "", Table2[[#This Row],[PAWAYSCORE]]-Table2[[#This Row],[AAWAYSCORE]])</f>
        <v>-4</v>
      </c>
      <c r="AC70" s="63">
        <f>IF(ISBLANK(Table2[[#This Row],[OTROUNDNUM]]), "", Table2[[#This Row],[PHOMESCORE]]-Table2[[#This Row],[AHOMESCORE]])</f>
        <v>2</v>
      </c>
      <c r="AD70" s="63">
        <f>_xlfn.IFS(ISBLANK(Table2[[#This Row],[GAMENUM]]), " ", 1, IF((Table2[[#This Row],[TOPSEEDWINS]]+Table2[[#This Row],[LOWSEEDWINS]]) &lt;&gt; Table2[[#This Row],[GAMENUM]], 0, 1))</f>
        <v>1</v>
      </c>
      <c r="AE70" s="63">
        <f>_xlfn.IFS(ISBLANK(Table2[[#This Row],[GAMENUM]]),"", Table2[[#This Row],[GameOver]]=0,"",Table2[[#This Row],[AAWAYSCORE]]&gt;Table2[[#This Row],[AHOMESCORE]], 1,1,0)</f>
        <v>1</v>
      </c>
      <c r="AF70" s="63">
        <f>_xlfn.IFS(ISBLANK(Table2[[#This Row],[GAMENUM]]),"",Table2[[#This Row],[GameOver]]=0,"",Table2[[#This Row],[AAWAYSCORE]]&lt;Table2[[#This Row],[AHOMESCORE]], 1,1,0)</f>
        <v>0</v>
      </c>
      <c r="AG70" s="63">
        <f>_xlfn.IFS(ISBLANK(Table2[[#This Row],[GAMENUM]]),"",Table2[[#This Row],[GameOver]]=0,"",Table2[[#This Row],[OTROUNDNUM]]&gt;0,1,1,0)</f>
        <v>0</v>
      </c>
      <c r="AH70" s="63">
        <f>_xlfn.IFS(ISBLANK(Table2[[#This Row],[GAMENUM]]),"",Table2[[#This Row],[GameOver]]=0,"",Table2[[#This Row],[AAWAYSCORE]]=0,1,1,0)</f>
        <v>0</v>
      </c>
      <c r="AI70" s="63">
        <f>_xlfn.IFS(ISBLANK(Table2[[#This Row],[GAMENUM]]),"", Table2[[#This Row],[GameOver]]=0,"",Table2[[#This Row],[AHOMESCORE]]=0,1,1,0)</f>
        <v>0</v>
      </c>
      <c r="AJ70" s="63" t="s">
        <v>204</v>
      </c>
      <c r="AK70" s="57"/>
      <c r="AL70" s="65"/>
      <c r="AM70" s="11"/>
      <c r="AN70" s="11"/>
      <c r="AO70" s="11"/>
      <c r="AP70" s="11"/>
      <c r="AQ70" s="11"/>
      <c r="AR70" s="42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30"/>
    </row>
    <row r="71" spans="1:101" x14ac:dyDescent="0.25">
      <c r="A71" s="55" t="str">
        <f>IF(ISBLANK(Table2[[#This Row],[GAMENUM]]), "", _xlfn.TEXTJOIN("", 1, "2025030", Table2[[#This Row],[ROUNDNUM]], Table2[[#This Row],[SeriesID]], Table2[[#This Row],[GAMENUM]]))</f>
        <v>2025030322</v>
      </c>
      <c r="B71" s="63">
        <f>IF(ISBLANK(Table2[[#This Row],[GAMENUM]]), "", INDEX(Table3[SeriesID], MATCH(Table2[[#This Row],[SERIESCODE]],Table3[SeriesCode],0)))</f>
        <v>2</v>
      </c>
      <c r="C71" s="57" t="str">
        <f t="shared" si="103"/>
        <v>Friday</v>
      </c>
      <c r="D71" s="59">
        <v>46164</v>
      </c>
      <c r="E71" s="60">
        <v>0.875</v>
      </c>
      <c r="F71" s="59" t="s">
        <v>38</v>
      </c>
      <c r="G71" s="62">
        <v>3</v>
      </c>
      <c r="H71" s="66" t="s">
        <v>55</v>
      </c>
      <c r="I71" s="3">
        <v>2</v>
      </c>
      <c r="J71" s="98" t="str">
        <f>INDEX(Table3[TopSeed],MATCH(Table2[[#This Row],[SERIESCODE]], Table3[SeriesCode], 0))</f>
        <v>COL</v>
      </c>
      <c r="K71" s="81" t="str">
        <f>INDEX(Table3[LowSeed],MATCH(Table2[[#This Row],[SERIESCODE]], Table3[SeriesCode], 0))</f>
        <v>VGK</v>
      </c>
      <c r="L71" s="62">
        <v>0</v>
      </c>
      <c r="M71" s="62">
        <v>2</v>
      </c>
      <c r="N71" s="81" t="str">
        <f>IF(Table2[[#This Row],[GAMENUM]] = 6, Table2[[#This Row],[TOPSEED]], IF(Table2[[#This Row],[GAMENUM]] = 4, Table2[[#This Row],[TOPSEED]], IF(Table2[[#This Row],[GAMENUM]] = 3, Table2[[#This Row],[TOPSEED]], Table2[LOWSEED])))</f>
        <v>VGK</v>
      </c>
      <c r="O71" s="98" t="str">
        <f>IF(Table2[[#This Row],[GAMENUM]] = 6, Table2[[#This Row],[LOWSEED]], IF(Table2[[#This Row],[GAMENUM]] = 4, Table2[[#This Row],[LOWSEED]], IF(Table2[[#This Row],[GAMENUM]] = 3, Table2[[#This Row],[LOWSEED]], Table2[TOPSEED])))</f>
        <v>COL</v>
      </c>
      <c r="P71" s="98" t="str">
        <f t="shared" si="104"/>
        <v>COL</v>
      </c>
      <c r="Q71" s="62">
        <v>2</v>
      </c>
      <c r="R71" s="62">
        <v>3</v>
      </c>
      <c r="S71" s="63" t="s">
        <v>154</v>
      </c>
      <c r="T71" s="59">
        <v>46164</v>
      </c>
      <c r="U71" s="62">
        <v>3</v>
      </c>
      <c r="V71" s="62">
        <v>1</v>
      </c>
      <c r="W71" s="62">
        <v>0</v>
      </c>
      <c r="X71" s="62">
        <v>3600</v>
      </c>
      <c r="Y71" s="63">
        <f>Table2[[#This Row],[TimeInSeconds]]/1200</f>
        <v>3</v>
      </c>
      <c r="Z71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71" s="81" t="str">
        <f t="shared" si="105"/>
        <v>VGK</v>
      </c>
      <c r="AB71" s="63">
        <f>IF(ISBLANK(Table2[[#This Row],[OTROUNDNUM]]), "", Table2[[#This Row],[PAWAYSCORE]]-Table2[[#This Row],[AAWAYSCORE]])</f>
        <v>-1</v>
      </c>
      <c r="AC71" s="63">
        <f>IF(ISBLANK(Table2[[#This Row],[OTROUNDNUM]]), "", Table2[[#This Row],[PHOMESCORE]]-Table2[[#This Row],[AHOMESCORE]])</f>
        <v>2</v>
      </c>
      <c r="AD71" s="63">
        <f>_xlfn.IFS(ISBLANK(Table2[[#This Row],[GAMENUM]]), " ", 1, IF((Table2[[#This Row],[TOPSEEDWINS]]+Table2[[#This Row],[LOWSEEDWINS]]) &lt;&gt; Table2[[#This Row],[GAMENUM]], 0, 1))</f>
        <v>1</v>
      </c>
      <c r="AE71" s="63">
        <f>_xlfn.IFS(ISBLANK(Table2[[#This Row],[GAMENUM]]),"", Table2[[#This Row],[GameOver]]=0,"",Table2[[#This Row],[AAWAYSCORE]]&gt;Table2[[#This Row],[AHOMESCORE]], 1,1,0)</f>
        <v>1</v>
      </c>
      <c r="AF71" s="63">
        <f>_xlfn.IFS(ISBLANK(Table2[[#This Row],[GAMENUM]]),"",Table2[[#This Row],[GameOver]]=0,"",Table2[[#This Row],[AAWAYSCORE]]&lt;Table2[[#This Row],[AHOMESCORE]], 1,1,0)</f>
        <v>0</v>
      </c>
      <c r="AG71" s="63">
        <f>_xlfn.IFS(ISBLANK(Table2[[#This Row],[GAMENUM]]),"",Table2[[#This Row],[GameOver]]=0,"",Table2[[#This Row],[OTROUNDNUM]]&gt;0,1,1,0)</f>
        <v>0</v>
      </c>
      <c r="AH71" s="63">
        <f>_xlfn.IFS(ISBLANK(Table2[[#This Row],[GAMENUM]]),"",Table2[[#This Row],[GameOver]]=0,"",Table2[[#This Row],[AAWAYSCORE]]=0,1,1,0)</f>
        <v>0</v>
      </c>
      <c r="AI71" s="63">
        <f>_xlfn.IFS(ISBLANK(Table2[[#This Row],[GAMENUM]]),"", Table2[[#This Row],[GameOver]]=0,"",Table2[[#This Row],[AHOMESCORE]]=0,1,1,0)</f>
        <v>0</v>
      </c>
      <c r="AJ71" s="63"/>
      <c r="AK71" s="57"/>
      <c r="AL71" s="65"/>
      <c r="AM71" s="11"/>
      <c r="AN71" s="11"/>
      <c r="AO71" s="11"/>
      <c r="AP71" s="11"/>
      <c r="AQ71" s="11"/>
      <c r="AR71" s="42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30"/>
    </row>
    <row r="72" spans="1:101" x14ac:dyDescent="0.25">
      <c r="A72" s="55" t="str">
        <f>IF(ISBLANK(Table2[[#This Row],[GAMENUM]]), "", _xlfn.TEXTJOIN("", 1, "2025030", Table2[[#This Row],[ROUNDNUM]], Table2[[#This Row],[SeriesID]], Table2[[#This Row],[GAMENUM]]))</f>
        <v>2025030312</v>
      </c>
      <c r="B72" s="63">
        <f>IF(ISBLANK(Table2[[#This Row],[GAMENUM]]), "", INDEX(Table3[SeriesID], MATCH(Table2[[#This Row],[SERIESCODE]],Table3[SeriesCode],0)))</f>
        <v>1</v>
      </c>
      <c r="C72" s="57" t="str">
        <f t="shared" si="103"/>
        <v>Saturday</v>
      </c>
      <c r="D72" s="59">
        <v>46165</v>
      </c>
      <c r="E72" s="60">
        <v>0.83333333333333337</v>
      </c>
      <c r="F72" s="59" t="s">
        <v>16</v>
      </c>
      <c r="G72" s="62">
        <v>3</v>
      </c>
      <c r="H72" s="66" t="s">
        <v>54</v>
      </c>
      <c r="I72" s="3">
        <v>2</v>
      </c>
      <c r="J72" s="20" t="str">
        <f>INDEX(Table3[TopSeed],MATCH(Table2[[#This Row],[SERIESCODE]], Table3[SeriesCode], 0))</f>
        <v>CAR</v>
      </c>
      <c r="K72" s="97" t="str">
        <f>INDEX(Table3[LowSeed],MATCH(Table2[[#This Row],[SERIESCODE]], Table3[SeriesCode], 0))</f>
        <v>MTL</v>
      </c>
      <c r="L72" s="62">
        <v>1</v>
      </c>
      <c r="M72" s="62">
        <v>1</v>
      </c>
      <c r="N72" s="97" t="str">
        <f>IF(Table2[[#This Row],[GAMENUM]] = 6, Table2[[#This Row],[TOPSEED]], IF(Table2[[#This Row],[GAMENUM]] = 4, Table2[[#This Row],[TOPSEED]], IF(Table2[[#This Row],[GAMENUM]] = 3, Table2[[#This Row],[TOPSEED]], Table2[LOWSEED])))</f>
        <v>MTL</v>
      </c>
      <c r="O72" s="20" t="str">
        <f>IF(Table2[[#This Row],[GAMENUM]] = 6, Table2[[#This Row],[LOWSEED]], IF(Table2[[#This Row],[GAMENUM]] = 4, Table2[[#This Row],[LOWSEED]], IF(Table2[[#This Row],[GAMENUM]] = 3, Table2[[#This Row],[LOWSEED]], Table2[TOPSEED])))</f>
        <v>CAR</v>
      </c>
      <c r="P72" s="20" t="str">
        <f t="shared" si="104"/>
        <v>CAR</v>
      </c>
      <c r="Q72" s="62">
        <v>2</v>
      </c>
      <c r="R72" s="62">
        <v>3</v>
      </c>
      <c r="S72" s="63" t="s">
        <v>154</v>
      </c>
      <c r="T72" s="59">
        <v>46165</v>
      </c>
      <c r="U72" s="62">
        <v>2</v>
      </c>
      <c r="V72" s="62">
        <v>3</v>
      </c>
      <c r="W72" s="62">
        <v>1</v>
      </c>
      <c r="X72" s="62">
        <v>3809</v>
      </c>
      <c r="Y72" s="63">
        <f>Table2[[#This Row],[TimeInSeconds]]/1200</f>
        <v>3.1741666666666668</v>
      </c>
      <c r="Z72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72" s="20" t="str">
        <f t="shared" si="105"/>
        <v>CAR</v>
      </c>
      <c r="AB72" s="63">
        <f>IF(ISBLANK(Table2[[#This Row],[OTROUNDNUM]]), "", Table2[[#This Row],[PAWAYSCORE]]-Table2[[#This Row],[AAWAYSCORE]])</f>
        <v>0</v>
      </c>
      <c r="AC72" s="63">
        <f>IF(ISBLANK(Table2[[#This Row],[OTROUNDNUM]]), "", Table2[[#This Row],[PHOMESCORE]]-Table2[[#This Row],[AHOMESCORE]])</f>
        <v>0</v>
      </c>
      <c r="AD72" s="63">
        <f>_xlfn.IFS(ISBLANK(Table2[[#This Row],[GAMENUM]]), " ", 1, IF((Table2[[#This Row],[TOPSEEDWINS]]+Table2[[#This Row],[LOWSEEDWINS]]) &lt;&gt; Table2[[#This Row],[GAMENUM]], 0, 1))</f>
        <v>1</v>
      </c>
      <c r="AE72" s="63">
        <f>_xlfn.IFS(ISBLANK(Table2[[#This Row],[GAMENUM]]),"", Table2[[#This Row],[GameOver]]=0,"",Table2[[#This Row],[AAWAYSCORE]]&gt;Table2[[#This Row],[AHOMESCORE]], 1,1,0)</f>
        <v>0</v>
      </c>
      <c r="AF72" s="63">
        <f>_xlfn.IFS(ISBLANK(Table2[[#This Row],[GAMENUM]]),"",Table2[[#This Row],[GameOver]]=0,"",Table2[[#This Row],[AAWAYSCORE]]&lt;Table2[[#This Row],[AHOMESCORE]], 1,1,0)</f>
        <v>1</v>
      </c>
      <c r="AG72" s="63">
        <f>_xlfn.IFS(ISBLANK(Table2[[#This Row],[GAMENUM]]),"",Table2[[#This Row],[GameOver]]=0,"",Table2[[#This Row],[OTROUNDNUM]]&gt;0,1,1,0)</f>
        <v>1</v>
      </c>
      <c r="AH72" s="63">
        <f>_xlfn.IFS(ISBLANK(Table2[[#This Row],[GAMENUM]]),"",Table2[[#This Row],[GameOver]]=0,"",Table2[[#This Row],[AAWAYSCORE]]=0,1,1,0)</f>
        <v>0</v>
      </c>
      <c r="AI72" s="63">
        <f>_xlfn.IFS(ISBLANK(Table2[[#This Row],[GAMENUM]]),"", Table2[[#This Row],[GameOver]]=0,"",Table2[[#This Row],[AHOMESCORE]]=0,1,1,0)</f>
        <v>0</v>
      </c>
      <c r="AJ72" s="63"/>
      <c r="AK72" s="57"/>
      <c r="AL72" s="65"/>
      <c r="AM72" s="11"/>
      <c r="AN72" s="11"/>
      <c r="AO72" s="11"/>
      <c r="AP72" s="11"/>
      <c r="AQ72" s="11"/>
      <c r="AR72" s="42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30"/>
    </row>
    <row r="73" spans="1:101" x14ac:dyDescent="0.25">
      <c r="A73" s="55" t="str">
        <f>IF(ISBLANK(Table2[[#This Row],[GAMENUM]]), "", _xlfn.TEXTJOIN("", 1, "2025030", Table2[[#This Row],[ROUNDNUM]], Table2[[#This Row],[SeriesID]], Table2[[#This Row],[GAMENUM]]))</f>
        <v>2025030323</v>
      </c>
      <c r="B73" s="63">
        <f>IF(ISBLANK(Table2[[#This Row],[GAMENUM]]), "", INDEX(Table3[SeriesID], MATCH(Table2[[#This Row],[SERIESCODE]],Table3[SeriesCode],0)))</f>
        <v>2</v>
      </c>
      <c r="C73" s="57" t="str">
        <f t="shared" si="103"/>
        <v>Sunday</v>
      </c>
      <c r="D73" s="59">
        <v>46166</v>
      </c>
      <c r="E73" s="60">
        <v>0.875</v>
      </c>
      <c r="F73" s="59" t="s">
        <v>38</v>
      </c>
      <c r="G73" s="62">
        <v>3</v>
      </c>
      <c r="H73" s="66" t="s">
        <v>55</v>
      </c>
      <c r="I73" s="3">
        <v>3</v>
      </c>
      <c r="J73" s="98" t="str">
        <f>INDEX(Table3[TopSeed],MATCH(Table2[[#This Row],[SERIESCODE]], Table3[SeriesCode], 0))</f>
        <v>COL</v>
      </c>
      <c r="K73" s="81" t="str">
        <f>INDEX(Table3[LowSeed],MATCH(Table2[[#This Row],[SERIESCODE]], Table3[SeriesCode], 0))</f>
        <v>VGK</v>
      </c>
      <c r="L73" s="62">
        <v>0</v>
      </c>
      <c r="M73" s="62">
        <v>3</v>
      </c>
      <c r="N73" s="98" t="str">
        <f>IF(Table2[[#This Row],[GAMENUM]] = 6, Table2[[#This Row],[TOPSEED]], IF(Table2[[#This Row],[GAMENUM]] = 4, Table2[[#This Row],[TOPSEED]], IF(Table2[[#This Row],[GAMENUM]] = 3, Table2[[#This Row],[TOPSEED]], Table2[LOWSEED])))</f>
        <v>COL</v>
      </c>
      <c r="O73" s="81" t="str">
        <f>IF(Table2[[#This Row],[GAMENUM]] = 6, Table2[[#This Row],[LOWSEED]], IF(Table2[[#This Row],[GAMENUM]] = 4, Table2[[#This Row],[LOWSEED]], IF(Table2[[#This Row],[GAMENUM]] = 3, Table2[[#This Row],[LOWSEED]], Table2[TOPSEED])))</f>
        <v>VGK</v>
      </c>
      <c r="P73" s="98" t="str">
        <f t="shared" si="104"/>
        <v>COL</v>
      </c>
      <c r="Q73" s="62">
        <v>3</v>
      </c>
      <c r="R73" s="62">
        <v>2</v>
      </c>
      <c r="S73" s="63" t="s">
        <v>154</v>
      </c>
      <c r="T73" s="59">
        <v>46166</v>
      </c>
      <c r="U73" s="62">
        <v>3</v>
      </c>
      <c r="V73" s="62">
        <v>5</v>
      </c>
      <c r="W73" s="62">
        <v>0</v>
      </c>
      <c r="X73" s="62">
        <v>3600</v>
      </c>
      <c r="Y73" s="63">
        <f>Table2[[#This Row],[TimeInSeconds]]/1200</f>
        <v>3</v>
      </c>
      <c r="Z73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73" s="81" t="str">
        <f t="shared" si="105"/>
        <v>VGK</v>
      </c>
      <c r="AB73" s="63">
        <f>IF(ISBLANK(Table2[[#This Row],[OTROUNDNUM]]), "", Table2[[#This Row],[PAWAYSCORE]]-Table2[[#This Row],[AAWAYSCORE]])</f>
        <v>0</v>
      </c>
      <c r="AC73" s="63">
        <f>IF(ISBLANK(Table2[[#This Row],[OTROUNDNUM]]), "", Table2[[#This Row],[PHOMESCORE]]-Table2[[#This Row],[AHOMESCORE]])</f>
        <v>-3</v>
      </c>
      <c r="AD73" s="63">
        <f>_xlfn.IFS(ISBLANK(Table2[[#This Row],[GAMENUM]]), " ", 1, IF((Table2[[#This Row],[TOPSEEDWINS]]+Table2[[#This Row],[LOWSEEDWINS]]) &lt;&gt; Table2[[#This Row],[GAMENUM]], 0, 1))</f>
        <v>1</v>
      </c>
      <c r="AE73" s="63">
        <f>_xlfn.IFS(ISBLANK(Table2[[#This Row],[GAMENUM]]),"", Table2[[#This Row],[GameOver]]=0,"",Table2[[#This Row],[AAWAYSCORE]]&gt;Table2[[#This Row],[AHOMESCORE]], 1,1,0)</f>
        <v>0</v>
      </c>
      <c r="AF73" s="63">
        <f>_xlfn.IFS(ISBLANK(Table2[[#This Row],[GAMENUM]]),"",Table2[[#This Row],[GameOver]]=0,"",Table2[[#This Row],[AAWAYSCORE]]&lt;Table2[[#This Row],[AHOMESCORE]], 1,1,0)</f>
        <v>1</v>
      </c>
      <c r="AG73" s="63">
        <f>_xlfn.IFS(ISBLANK(Table2[[#This Row],[GAMENUM]]),"",Table2[[#This Row],[GameOver]]=0,"",Table2[[#This Row],[OTROUNDNUM]]&gt;0,1,1,0)</f>
        <v>0</v>
      </c>
      <c r="AH73" s="63">
        <f>_xlfn.IFS(ISBLANK(Table2[[#This Row],[GAMENUM]]),"",Table2[[#This Row],[GameOver]]=0,"",Table2[[#This Row],[AAWAYSCORE]]=0,1,1,0)</f>
        <v>0</v>
      </c>
      <c r="AI73" s="63">
        <f>_xlfn.IFS(ISBLANK(Table2[[#This Row],[GAMENUM]]),"", Table2[[#This Row],[GameOver]]=0,"",Table2[[#This Row],[AHOMESCORE]]=0,1,1,0)</f>
        <v>0</v>
      </c>
      <c r="AJ73" s="63"/>
      <c r="AK73" s="57"/>
      <c r="AL73" s="65"/>
      <c r="AM73" s="11"/>
      <c r="AN73" s="11"/>
      <c r="AO73" s="11"/>
      <c r="AP73" s="12"/>
      <c r="AQ73" s="11"/>
      <c r="AR73" s="42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30"/>
    </row>
    <row r="74" spans="1:101" x14ac:dyDescent="0.25">
      <c r="A74" s="55" t="str">
        <f>IF(ISBLANK(Table2[[#This Row],[GAMENUM]]), "", _xlfn.TEXTJOIN("", 1, "2025030", Table2[[#This Row],[ROUNDNUM]], Table2[[#This Row],[SeriesID]], Table2[[#This Row],[GAMENUM]]))</f>
        <v>2025030313</v>
      </c>
      <c r="B74" s="63">
        <f>IF(ISBLANK(Table2[[#This Row],[GAMENUM]]), "", INDEX(Table3[SeriesID], MATCH(Table2[[#This Row],[SERIESCODE]],Table3[SeriesCode],0)))</f>
        <v>1</v>
      </c>
      <c r="C74" s="57" t="str">
        <f t="shared" si="103"/>
        <v>Monday</v>
      </c>
      <c r="D74" s="59">
        <v>46167</v>
      </c>
      <c r="E74" s="60">
        <v>0.875</v>
      </c>
      <c r="F74" s="59" t="s">
        <v>16</v>
      </c>
      <c r="G74" s="62">
        <v>3</v>
      </c>
      <c r="H74" s="66" t="s">
        <v>54</v>
      </c>
      <c r="I74" s="3">
        <v>3</v>
      </c>
      <c r="J74" s="20" t="str">
        <f>INDEX(Table3[TopSeed],MATCH(Table2[[#This Row],[SERIESCODE]], Table3[SeriesCode], 0))</f>
        <v>CAR</v>
      </c>
      <c r="K74" s="97" t="str">
        <f>INDEX(Table3[LowSeed],MATCH(Table2[[#This Row],[SERIESCODE]], Table3[SeriesCode], 0))</f>
        <v>MTL</v>
      </c>
      <c r="L74" s="62">
        <v>2</v>
      </c>
      <c r="M74" s="62">
        <v>1</v>
      </c>
      <c r="N74" s="20" t="str">
        <f>IF(Table2[[#This Row],[GAMENUM]] = 6, Table2[[#This Row],[TOPSEED]], IF(Table2[[#This Row],[GAMENUM]] = 4, Table2[[#This Row],[TOPSEED]], IF(Table2[[#This Row],[GAMENUM]] = 3, Table2[[#This Row],[TOPSEED]], Table2[LOWSEED])))</f>
        <v>CAR</v>
      </c>
      <c r="O74" s="97" t="str">
        <f>IF(Table2[[#This Row],[GAMENUM]] = 6, Table2[[#This Row],[LOWSEED]], IF(Table2[[#This Row],[GAMENUM]] = 4, Table2[[#This Row],[LOWSEED]], IF(Table2[[#This Row],[GAMENUM]] = 3, Table2[[#This Row],[LOWSEED]], Table2[TOPSEED])))</f>
        <v>MTL</v>
      </c>
      <c r="P74" s="20" t="str">
        <f t="shared" si="104"/>
        <v>CAR</v>
      </c>
      <c r="Q74" s="62">
        <v>3</v>
      </c>
      <c r="R74" s="62">
        <v>2</v>
      </c>
      <c r="S74" s="63" t="s">
        <v>154</v>
      </c>
      <c r="T74" s="59">
        <v>46167</v>
      </c>
      <c r="U74" s="62">
        <v>3</v>
      </c>
      <c r="V74" s="62">
        <v>2</v>
      </c>
      <c r="W74" s="62">
        <v>1</v>
      </c>
      <c r="X74" s="62">
        <v>4446</v>
      </c>
      <c r="Y74" s="63">
        <f>Table2[[#This Row],[TimeInSeconds]]/1200</f>
        <v>3.7050000000000001</v>
      </c>
      <c r="Z74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74" s="20" t="str">
        <f t="shared" si="105"/>
        <v>CAR</v>
      </c>
      <c r="AB74" s="63">
        <f>IF(ISBLANK(Table2[[#This Row],[OTROUNDNUM]]), "", Table2[[#This Row],[PAWAYSCORE]]-Table2[[#This Row],[AAWAYSCORE]])</f>
        <v>0</v>
      </c>
      <c r="AC74" s="63">
        <f>IF(ISBLANK(Table2[[#This Row],[OTROUNDNUM]]), "", Table2[[#This Row],[PHOMESCORE]]-Table2[[#This Row],[AHOMESCORE]])</f>
        <v>0</v>
      </c>
      <c r="AD74" s="63">
        <f>_xlfn.IFS(ISBLANK(Table2[[#This Row],[GAMENUM]]), " ", 1, IF((Table2[[#This Row],[TOPSEEDWINS]]+Table2[[#This Row],[LOWSEEDWINS]]) &lt;&gt; Table2[[#This Row],[GAMENUM]], 0, 1))</f>
        <v>1</v>
      </c>
      <c r="AE74" s="63">
        <f>_xlfn.IFS(ISBLANK(Table2[[#This Row],[GAMENUM]]),"", Table2[[#This Row],[GameOver]]=0,"",Table2[[#This Row],[AAWAYSCORE]]&gt;Table2[[#This Row],[AHOMESCORE]], 1,1,0)</f>
        <v>1</v>
      </c>
      <c r="AF74" s="63">
        <f>_xlfn.IFS(ISBLANK(Table2[[#This Row],[GAMENUM]]),"",Table2[[#This Row],[GameOver]]=0,"",Table2[[#This Row],[AAWAYSCORE]]&lt;Table2[[#This Row],[AHOMESCORE]], 1,1,0)</f>
        <v>0</v>
      </c>
      <c r="AG74" s="63">
        <f>_xlfn.IFS(ISBLANK(Table2[[#This Row],[GAMENUM]]),"",Table2[[#This Row],[GameOver]]=0,"",Table2[[#This Row],[OTROUNDNUM]]&gt;0,1,1,0)</f>
        <v>1</v>
      </c>
      <c r="AH74" s="63">
        <f>_xlfn.IFS(ISBLANK(Table2[[#This Row],[GAMENUM]]),"",Table2[[#This Row],[GameOver]]=0,"",Table2[[#This Row],[AAWAYSCORE]]=0,1,1,0)</f>
        <v>0</v>
      </c>
      <c r="AI74" s="63">
        <f>_xlfn.IFS(ISBLANK(Table2[[#This Row],[GAMENUM]]),"", Table2[[#This Row],[GameOver]]=0,"",Table2[[#This Row],[AHOMESCORE]]=0,1,1,0)</f>
        <v>0</v>
      </c>
      <c r="AJ74" s="63"/>
      <c r="AK74" s="57"/>
      <c r="AL74" s="65"/>
      <c r="AM74" s="11"/>
      <c r="AN74" s="11"/>
      <c r="AO74" s="30"/>
      <c r="AP74" s="1" t="e">
        <f>WEEKDAY(#REF!)</f>
        <v>#REF!</v>
      </c>
      <c r="AQ74" s="11"/>
      <c r="AR74" s="42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30"/>
    </row>
    <row r="75" spans="1:101" x14ac:dyDescent="0.25">
      <c r="A75" s="55" t="str">
        <f>IF(ISBLANK(Table2[[#This Row],[GAMENUM]]), "", _xlfn.TEXTJOIN("", 1, "2025030", Table2[[#This Row],[ROUNDNUM]], Table2[[#This Row],[SeriesID]], Table2[[#This Row],[GAMENUM]]))</f>
        <v>2025030324</v>
      </c>
      <c r="B75" s="63">
        <f>IF(ISBLANK(Table2[[#This Row],[GAMENUM]]), "", INDEX(Table3[SeriesID], MATCH(Table2[[#This Row],[SERIESCODE]],Table3[SeriesCode],0)))</f>
        <v>2</v>
      </c>
      <c r="C75" s="57" t="str">
        <f t="shared" si="103"/>
        <v>Tuesday</v>
      </c>
      <c r="D75" s="59">
        <v>46168</v>
      </c>
      <c r="E75" s="60">
        <v>0.91666666666666663</v>
      </c>
      <c r="F75" s="59" t="s">
        <v>38</v>
      </c>
      <c r="G75" s="62">
        <v>3</v>
      </c>
      <c r="H75" s="66" t="s">
        <v>55</v>
      </c>
      <c r="I75" s="3">
        <v>4</v>
      </c>
      <c r="J75" s="98" t="str">
        <f>INDEX(Table3[TopSeed],MATCH(Table2[[#This Row],[SERIESCODE]], Table3[SeriesCode], 0))</f>
        <v>COL</v>
      </c>
      <c r="K75" s="81" t="str">
        <f>INDEX(Table3[LowSeed],MATCH(Table2[[#This Row],[SERIESCODE]], Table3[SeriesCode], 0))</f>
        <v>VGK</v>
      </c>
      <c r="L75" s="62">
        <v>0</v>
      </c>
      <c r="M75" s="62">
        <v>4</v>
      </c>
      <c r="N75" s="98" t="str">
        <f>IF(Table2[[#This Row],[GAMENUM]] = 6, Table2[[#This Row],[TOPSEED]], IF(Table2[[#This Row],[GAMENUM]] = 4, Table2[[#This Row],[TOPSEED]], IF(Table2[[#This Row],[GAMENUM]] = 3, Table2[[#This Row],[TOPSEED]], Table2[LOWSEED])))</f>
        <v>COL</v>
      </c>
      <c r="O75" s="81" t="str">
        <f>IF(Table2[[#This Row],[GAMENUM]] = 6, Table2[[#This Row],[LOWSEED]], IF(Table2[[#This Row],[GAMENUM]] = 4, Table2[[#This Row],[LOWSEED]], IF(Table2[[#This Row],[GAMENUM]] = 3, Table2[[#This Row],[LOWSEED]], Table2[TOPSEED])))</f>
        <v>VGK</v>
      </c>
      <c r="P75" s="81" t="str">
        <f t="shared" si="104"/>
        <v>VGK</v>
      </c>
      <c r="Q75" s="62">
        <v>2</v>
      </c>
      <c r="R75" s="62">
        <v>3</v>
      </c>
      <c r="S75" s="63" t="s">
        <v>154</v>
      </c>
      <c r="T75" s="59">
        <v>46168</v>
      </c>
      <c r="U75" s="62">
        <v>1</v>
      </c>
      <c r="V75" s="62">
        <v>2</v>
      </c>
      <c r="W75" s="62">
        <v>0</v>
      </c>
      <c r="X75" s="62">
        <v>3600</v>
      </c>
      <c r="Y75" s="63">
        <f>Table2[[#This Row],[TimeInSeconds]]/1200</f>
        <v>3</v>
      </c>
      <c r="Z75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1</v>
      </c>
      <c r="AA75" s="81" t="str">
        <f t="shared" si="105"/>
        <v>VGK</v>
      </c>
      <c r="AB75" s="63">
        <f>IF(ISBLANK(Table2[[#This Row],[OTROUNDNUM]]), "", Table2[[#This Row],[PAWAYSCORE]]-Table2[[#This Row],[AAWAYSCORE]])</f>
        <v>1</v>
      </c>
      <c r="AC75" s="63">
        <f>IF(ISBLANK(Table2[[#This Row],[OTROUNDNUM]]), "", Table2[[#This Row],[PHOMESCORE]]-Table2[[#This Row],[AHOMESCORE]])</f>
        <v>1</v>
      </c>
      <c r="AD75" s="63">
        <f>_xlfn.IFS(ISBLANK(Table2[[#This Row],[GAMENUM]]), " ", 1, IF((Table2[[#This Row],[TOPSEEDWINS]]+Table2[[#This Row],[LOWSEEDWINS]]) &lt;&gt; Table2[[#This Row],[GAMENUM]], 0, 1))</f>
        <v>1</v>
      </c>
      <c r="AE75" s="63">
        <f>_xlfn.IFS(ISBLANK(Table2[[#This Row],[GAMENUM]]),"", Table2[[#This Row],[GameOver]]=0,"",Table2[[#This Row],[AAWAYSCORE]]&gt;Table2[[#This Row],[AHOMESCORE]], 1,1,0)</f>
        <v>0</v>
      </c>
      <c r="AF75" s="63">
        <f>_xlfn.IFS(ISBLANK(Table2[[#This Row],[GAMENUM]]),"",Table2[[#This Row],[GameOver]]=0,"",Table2[[#This Row],[AAWAYSCORE]]&lt;Table2[[#This Row],[AHOMESCORE]], 1,1,0)</f>
        <v>1</v>
      </c>
      <c r="AG75" s="63">
        <f>_xlfn.IFS(ISBLANK(Table2[[#This Row],[GAMENUM]]),"",Table2[[#This Row],[GameOver]]=0,"",Table2[[#This Row],[OTROUNDNUM]]&gt;0,1,1,0)</f>
        <v>0</v>
      </c>
      <c r="AH75" s="63">
        <f>_xlfn.IFS(ISBLANK(Table2[[#This Row],[GAMENUM]]),"",Table2[[#This Row],[GameOver]]=0,"",Table2[[#This Row],[AAWAYSCORE]]=0,1,1,0)</f>
        <v>0</v>
      </c>
      <c r="AI75" s="63">
        <f>_xlfn.IFS(ISBLANK(Table2[[#This Row],[GAMENUM]]),"", Table2[[#This Row],[GameOver]]=0,"",Table2[[#This Row],[AHOMESCORE]]=0,1,1,0)</f>
        <v>0</v>
      </c>
      <c r="AJ75" s="63"/>
      <c r="AK75" s="57"/>
      <c r="AL75" s="65"/>
      <c r="AM75" s="11"/>
      <c r="AN75" s="11"/>
      <c r="AO75" s="11"/>
      <c r="AP75" s="11"/>
      <c r="AQ75" s="11"/>
      <c r="AR75" s="42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30"/>
    </row>
    <row r="76" spans="1:101" x14ac:dyDescent="0.25">
      <c r="A76" s="55" t="str">
        <f>IF(ISBLANK(Table2[[#This Row],[GAMENUM]]), "", _xlfn.TEXTJOIN("", 1, "2025030", Table2[[#This Row],[ROUNDNUM]], Table2[[#This Row],[SeriesID]], Table2[[#This Row],[GAMENUM]]))</f>
        <v>2025030314</v>
      </c>
      <c r="B76" s="63">
        <f>IF(ISBLANK(Table2[[#This Row],[GAMENUM]]), "", INDEX(Table3[SeriesID], MATCH(Table2[[#This Row],[SERIESCODE]],Table3[SeriesCode],0)))</f>
        <v>1</v>
      </c>
      <c r="C76" s="57" t="str">
        <f t="shared" si="103"/>
        <v>Wednesday</v>
      </c>
      <c r="D76" s="59">
        <v>46169</v>
      </c>
      <c r="E76" s="60">
        <v>0.875</v>
      </c>
      <c r="F76" s="59" t="s">
        <v>16</v>
      </c>
      <c r="G76" s="62">
        <v>3</v>
      </c>
      <c r="H76" s="66" t="s">
        <v>54</v>
      </c>
      <c r="I76" s="3">
        <v>4</v>
      </c>
      <c r="J76" s="20" t="str">
        <f>INDEX(Table3[TopSeed],MATCH(Table2[[#This Row],[SERIESCODE]], Table3[SeriesCode], 0))</f>
        <v>CAR</v>
      </c>
      <c r="K76" s="97" t="str">
        <f>INDEX(Table3[LowSeed],MATCH(Table2[[#This Row],[SERIESCODE]], Table3[SeriesCode], 0))</f>
        <v>MTL</v>
      </c>
      <c r="L76" s="62">
        <v>3</v>
      </c>
      <c r="M76" s="62">
        <v>1</v>
      </c>
      <c r="N76" s="20" t="str">
        <f>IF(Table2[[#This Row],[GAMENUM]] = 6, Table2[[#This Row],[TOPSEED]], IF(Table2[[#This Row],[GAMENUM]] = 4, Table2[[#This Row],[TOPSEED]], IF(Table2[[#This Row],[GAMENUM]] = 3, Table2[[#This Row],[TOPSEED]], Table2[LOWSEED])))</f>
        <v>CAR</v>
      </c>
      <c r="O76" s="97" t="str">
        <f>IF(Table2[[#This Row],[GAMENUM]] = 6, Table2[[#This Row],[LOWSEED]], IF(Table2[[#This Row],[GAMENUM]] = 4, Table2[[#This Row],[LOWSEED]], IF(Table2[[#This Row],[GAMENUM]] = 3, Table2[[#This Row],[LOWSEED]], Table2[TOPSEED])))</f>
        <v>MTL</v>
      </c>
      <c r="P76" s="97" t="str">
        <f t="shared" si="104"/>
        <v>MTL</v>
      </c>
      <c r="Q76" s="62">
        <v>2</v>
      </c>
      <c r="R76" s="62">
        <v>3</v>
      </c>
      <c r="S76" s="63" t="s">
        <v>154</v>
      </c>
      <c r="T76" s="59">
        <v>46169</v>
      </c>
      <c r="U76" s="62">
        <v>4</v>
      </c>
      <c r="V76" s="62">
        <v>0</v>
      </c>
      <c r="W76" s="62">
        <v>0</v>
      </c>
      <c r="X76" s="62">
        <v>3600</v>
      </c>
      <c r="Y76" s="63">
        <f>Table2[[#This Row],[TimeInSeconds]]/1200</f>
        <v>3</v>
      </c>
      <c r="Z76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76" s="20" t="str">
        <f t="shared" si="105"/>
        <v>CAR</v>
      </c>
      <c r="AB76" s="63">
        <f>IF(ISBLANK(Table2[[#This Row],[OTROUNDNUM]]), "", Table2[[#This Row],[PAWAYSCORE]]-Table2[[#This Row],[AAWAYSCORE]])</f>
        <v>-2</v>
      </c>
      <c r="AC76" s="63">
        <f>IF(ISBLANK(Table2[[#This Row],[OTROUNDNUM]]), "", Table2[[#This Row],[PHOMESCORE]]-Table2[[#This Row],[AHOMESCORE]])</f>
        <v>3</v>
      </c>
      <c r="AD76" s="63">
        <f>_xlfn.IFS(ISBLANK(Table2[[#This Row],[GAMENUM]]), " ", 1, IF((Table2[[#This Row],[TOPSEEDWINS]]+Table2[[#This Row],[LOWSEEDWINS]]) &lt;&gt; Table2[[#This Row],[GAMENUM]], 0, 1))</f>
        <v>1</v>
      </c>
      <c r="AE76" s="63">
        <f>_xlfn.IFS(ISBLANK(Table2[[#This Row],[GAMENUM]]),"", Table2[[#This Row],[GameOver]]=0,"",Table2[[#This Row],[AAWAYSCORE]]&gt;Table2[[#This Row],[AHOMESCORE]], 1,1,0)</f>
        <v>1</v>
      </c>
      <c r="AF76" s="63">
        <f>_xlfn.IFS(ISBLANK(Table2[[#This Row],[GAMENUM]]),"",Table2[[#This Row],[GameOver]]=0,"",Table2[[#This Row],[AAWAYSCORE]]&lt;Table2[[#This Row],[AHOMESCORE]], 1,1,0)</f>
        <v>0</v>
      </c>
      <c r="AG76" s="63">
        <f>_xlfn.IFS(ISBLANK(Table2[[#This Row],[GAMENUM]]),"",Table2[[#This Row],[GameOver]]=0,"",Table2[[#This Row],[OTROUNDNUM]]&gt;0,1,1,0)</f>
        <v>0</v>
      </c>
      <c r="AH76" s="63">
        <f>_xlfn.IFS(ISBLANK(Table2[[#This Row],[GAMENUM]]),"",Table2[[#This Row],[GameOver]]=0,"",Table2[[#This Row],[AAWAYSCORE]]=0,1,1,0)</f>
        <v>0</v>
      </c>
      <c r="AI76" s="63">
        <f>_xlfn.IFS(ISBLANK(Table2[[#This Row],[GAMENUM]]),"", Table2[[#This Row],[GameOver]]=0,"",Table2[[#This Row],[AHOMESCORE]]=0,1,1,0)</f>
        <v>1</v>
      </c>
      <c r="AJ76" s="63"/>
      <c r="AK76" s="57"/>
      <c r="AL76" s="65"/>
      <c r="AM76" s="11"/>
      <c r="AN76" s="11"/>
      <c r="AO76" s="11"/>
      <c r="AP76" s="11"/>
      <c r="AQ76" s="11"/>
      <c r="AR76" s="42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30"/>
    </row>
    <row r="77" spans="1:101" x14ac:dyDescent="0.25">
      <c r="A77" s="55" t="str">
        <f>IF(ISBLANK(Table2[[#This Row],[GAMENUM]]), "", _xlfn.TEXTJOIN("", 1, "2025030", Table2[[#This Row],[ROUNDNUM]], Table2[[#This Row],[SeriesID]], Table2[[#This Row],[GAMENUM]]))</f>
        <v>2025030315</v>
      </c>
      <c r="B77" s="63">
        <f>IF(ISBLANK(Table2[[#This Row],[GAMENUM]]), "", INDEX(Table3[SeriesID], MATCH(Table2[[#This Row],[SERIESCODE]],Table3[SeriesCode],0)))</f>
        <v>1</v>
      </c>
      <c r="C77" s="57" t="str">
        <f t="shared" si="103"/>
        <v>Friday</v>
      </c>
      <c r="D77" s="59">
        <v>46171</v>
      </c>
      <c r="E77" s="60">
        <v>0.875</v>
      </c>
      <c r="F77" s="59" t="s">
        <v>16</v>
      </c>
      <c r="G77" s="62">
        <v>3</v>
      </c>
      <c r="H77" s="66" t="s">
        <v>54</v>
      </c>
      <c r="I77" s="3">
        <v>5</v>
      </c>
      <c r="J77" s="20" t="str">
        <f>INDEX(Table3[TopSeed],MATCH(Table2[[#This Row],[SERIESCODE]], Table3[SeriesCode], 0))</f>
        <v>CAR</v>
      </c>
      <c r="K77" s="97" t="str">
        <f>INDEX(Table3[LowSeed],MATCH(Table2[[#This Row],[SERIESCODE]], Table3[SeriesCode], 0))</f>
        <v>MTL</v>
      </c>
      <c r="L77" s="62">
        <v>4</v>
      </c>
      <c r="M77" s="62">
        <v>1</v>
      </c>
      <c r="N77" s="20" t="str">
        <f>IF(Table2[[#This Row],[GAMENUM]] = 6, Table2[[#This Row],[TOPSEED]], IF(Table2[[#This Row],[GAMENUM]] = 4, Table2[[#This Row],[TOPSEED]], IF(Table2[[#This Row],[GAMENUM]] = 3, Table2[[#This Row],[TOPSEED]], Table2[LOWSEED])))</f>
        <v>MTL</v>
      </c>
      <c r="O77" s="97" t="str">
        <f>IF(Table2[[#This Row],[GAMENUM]] = 6, Table2[[#This Row],[LOWSEED]], IF(Table2[[#This Row],[GAMENUM]] = 4, Table2[[#This Row],[LOWSEED]], IF(Table2[[#This Row],[GAMENUM]] = 3, Table2[[#This Row],[LOWSEED]], Table2[TOPSEED])))</f>
        <v>CAR</v>
      </c>
      <c r="P77" s="97" t="str">
        <f t="shared" ref="P77" si="106">IF(OR(ISBLANK(Q77), ISBLANK($R77)), "", IF($Q77&gt;$R77, $N77,$O77))</f>
        <v>MTL</v>
      </c>
      <c r="Q77" s="62">
        <v>3</v>
      </c>
      <c r="R77" s="62">
        <v>2</v>
      </c>
      <c r="S77" s="63" t="s">
        <v>154</v>
      </c>
      <c r="T77" s="59">
        <v>46171</v>
      </c>
      <c r="U77" s="62">
        <v>1</v>
      </c>
      <c r="V77" s="62">
        <v>6</v>
      </c>
      <c r="W77" s="62">
        <v>0</v>
      </c>
      <c r="X77" s="62">
        <v>3600</v>
      </c>
      <c r="Y77" s="63">
        <f>Table2[[#This Row],[TimeInSeconds]]/1200</f>
        <v>3</v>
      </c>
      <c r="Z77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77" s="20" t="str">
        <f t="shared" ref="AA77" si="107">IF(OR(ISBLANK($U77), ISBLANK($V77), ISBLANK($W77)), "", IF(U77&gt;V77,N77,O77))</f>
        <v>CAR</v>
      </c>
      <c r="AB77" s="63">
        <f>IF(ISBLANK(Table2[[#This Row],[OTROUNDNUM]]), "", Table2[[#This Row],[PAWAYSCORE]]-Table2[[#This Row],[AAWAYSCORE]])</f>
        <v>2</v>
      </c>
      <c r="AC77" s="63">
        <f>IF(ISBLANK(Table2[[#This Row],[OTROUNDNUM]]), "", Table2[[#This Row],[PHOMESCORE]]-Table2[[#This Row],[AHOMESCORE]])</f>
        <v>-4</v>
      </c>
      <c r="AD77" s="63">
        <f>_xlfn.IFS(ISBLANK(Table2[[#This Row],[GAMENUM]]), " ", 1, IF((Table2[[#This Row],[TOPSEEDWINS]]+Table2[[#This Row],[LOWSEEDWINS]]) &lt;&gt; Table2[[#This Row],[GAMENUM]], 0, 1))</f>
        <v>1</v>
      </c>
      <c r="AE77" s="63">
        <f>_xlfn.IFS(ISBLANK(Table2[[#This Row],[GAMENUM]]),"", Table2[[#This Row],[GameOver]]=0,"",Table2[[#This Row],[AAWAYSCORE]]&gt;Table2[[#This Row],[AHOMESCORE]], 1,1,0)</f>
        <v>0</v>
      </c>
      <c r="AF77" s="63">
        <f>_xlfn.IFS(ISBLANK(Table2[[#This Row],[GAMENUM]]),"",Table2[[#This Row],[GameOver]]=0,"",Table2[[#This Row],[AAWAYSCORE]]&lt;Table2[[#This Row],[AHOMESCORE]], 1,1,0)</f>
        <v>1</v>
      </c>
      <c r="AG77" s="63">
        <f>_xlfn.IFS(ISBLANK(Table2[[#This Row],[GAMENUM]]),"",Table2[[#This Row],[GameOver]]=0,"",Table2[[#This Row],[OTROUNDNUM]]&gt;0,1,1,0)</f>
        <v>0</v>
      </c>
      <c r="AH77" s="63">
        <f>_xlfn.IFS(ISBLANK(Table2[[#This Row],[GAMENUM]]),"",Table2[[#This Row],[GameOver]]=0,"",Table2[[#This Row],[AAWAYSCORE]]=0,1,1,0)</f>
        <v>0</v>
      </c>
      <c r="AI77" s="63">
        <f>_xlfn.IFS(ISBLANK(Table2[[#This Row],[GAMENUM]]),"", Table2[[#This Row],[GameOver]]=0,"",Table2[[#This Row],[AHOMESCORE]]=0,1,1,0)</f>
        <v>0</v>
      </c>
      <c r="AJ77" s="63"/>
      <c r="AK77" s="57"/>
      <c r="AL77" s="65"/>
      <c r="AM77" s="11"/>
      <c r="AN77" s="11"/>
      <c r="AO77" s="11"/>
      <c r="AP77" s="11"/>
      <c r="AQ77" s="11"/>
      <c r="AR77" s="42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30"/>
    </row>
    <row r="78" spans="1:101" x14ac:dyDescent="0.25">
      <c r="A78" s="55" t="str">
        <f>IF(ISBLANK(Table2[[#This Row],[GAMENUM]]), "", _xlfn.TEXTJOIN("", 1, "2025030", Table2[[#This Row],[ROUNDNUM]], Table2[[#This Row],[SeriesID]], Table2[[#This Row],[GAMENUM]]))</f>
        <v>2025030411</v>
      </c>
      <c r="B78" s="63">
        <f>IF(ISBLANK(Table2[[#This Row],[GAMENUM]]), "", INDEX(Table3[SeriesID], MATCH(Table2[[#This Row],[SERIESCODE]],Table3[SeriesCode],0)))</f>
        <v>1</v>
      </c>
      <c r="C78" s="57" t="str">
        <f t="shared" ref="C78:C81" si="108">TEXT($D78,"dddd")</f>
        <v>Tuesday</v>
      </c>
      <c r="D78" s="59">
        <v>46175</v>
      </c>
      <c r="E78" s="60">
        <v>0.875</v>
      </c>
      <c r="F78" s="59" t="s">
        <v>38</v>
      </c>
      <c r="G78" s="62">
        <v>4</v>
      </c>
      <c r="H78" s="66" t="s">
        <v>56</v>
      </c>
      <c r="I78" s="3">
        <v>1</v>
      </c>
      <c r="J78" s="20" t="str">
        <f>INDEX(Table3[TopSeed],MATCH(Table2[[#This Row],[SERIESCODE]], Table3[SeriesCode], 0))</f>
        <v>CAR</v>
      </c>
      <c r="K78" s="81" t="str">
        <f>INDEX(Table3[LowSeed],MATCH(Table2[[#This Row],[SERIESCODE]], Table3[SeriesCode], 0))</f>
        <v>VGK</v>
      </c>
      <c r="L78" s="62">
        <v>0</v>
      </c>
      <c r="M78" s="62">
        <v>1</v>
      </c>
      <c r="N78" s="81" t="str">
        <f>IF(Table2[[#This Row],[GAMENUM]] = 6, Table2[[#This Row],[TOPSEED]], IF(Table2[[#This Row],[GAMENUM]] = 4, Table2[[#This Row],[TOPSEED]], IF(Table2[[#This Row],[GAMENUM]] = 3, Table2[[#This Row],[TOPSEED]], Table2[LOWSEED])))</f>
        <v>VGK</v>
      </c>
      <c r="O78" s="97" t="str">
        <f>IF(Table2[[#This Row],[GAMENUM]] = 6, Table2[[#This Row],[LOWSEED]], IF(Table2[[#This Row],[GAMENUM]] = 4, Table2[[#This Row],[LOWSEED]], IF(Table2[[#This Row],[GAMENUM]] = 3, Table2[[#This Row],[LOWSEED]], Table2[TOPSEED])))</f>
        <v>CAR</v>
      </c>
      <c r="P78" s="97" t="str">
        <f t="shared" ref="P78:P81" si="109">IF(OR(ISBLANK(Q78), ISBLANK($R78)), "", IF($Q78&gt;$R78, $N78,$O78))</f>
        <v>CAR</v>
      </c>
      <c r="Q78" s="62">
        <v>2</v>
      </c>
      <c r="R78" s="62">
        <v>3</v>
      </c>
      <c r="S78" s="63" t="s">
        <v>154</v>
      </c>
      <c r="T78" s="59">
        <v>46175</v>
      </c>
      <c r="U78" s="62">
        <v>5</v>
      </c>
      <c r="V78" s="62">
        <v>4</v>
      </c>
      <c r="W78" s="62">
        <v>0</v>
      </c>
      <c r="X78" s="62">
        <v>3600</v>
      </c>
      <c r="Y78" s="63">
        <f>Table2[[#This Row],[TimeInSeconds]]/1200</f>
        <v>3</v>
      </c>
      <c r="Z78" s="63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>0</v>
      </c>
      <c r="AA78" s="81" t="str">
        <f t="shared" ref="AA78:AA81" si="110">IF(OR(ISBLANK($U78), ISBLANK($V78), ISBLANK($W78)), "", IF(U78&gt;V78,N78,O78))</f>
        <v>VGK</v>
      </c>
      <c r="AB78" s="63">
        <f>IF(ISBLANK(Table2[[#This Row],[OTROUNDNUM]]), "", Table2[[#This Row],[PAWAYSCORE]]-Table2[[#This Row],[AAWAYSCORE]])</f>
        <v>-3</v>
      </c>
      <c r="AC78" s="63">
        <f>IF(ISBLANK(Table2[[#This Row],[OTROUNDNUM]]), "", Table2[[#This Row],[PHOMESCORE]]-Table2[[#This Row],[AHOMESCORE]])</f>
        <v>-1</v>
      </c>
      <c r="AD78" s="63">
        <f>_xlfn.IFS(ISBLANK(Table2[[#This Row],[GAMENUM]]), " ", 1, IF((Table2[[#This Row],[TOPSEEDWINS]]+Table2[[#This Row],[LOWSEEDWINS]]) &lt;&gt; Table2[[#This Row],[GAMENUM]], 0, 1))</f>
        <v>1</v>
      </c>
      <c r="AE78" s="63">
        <f>_xlfn.IFS(ISBLANK(Table2[[#This Row],[GAMENUM]]),"", Table2[[#This Row],[GameOver]]=0,"",Table2[[#This Row],[AAWAYSCORE]]&gt;Table2[[#This Row],[AHOMESCORE]], 1,1,0)</f>
        <v>1</v>
      </c>
      <c r="AF78" s="63">
        <f>_xlfn.IFS(ISBLANK(Table2[[#This Row],[GAMENUM]]),"",Table2[[#This Row],[GameOver]]=0,"",Table2[[#This Row],[AAWAYSCORE]]&lt;Table2[[#This Row],[AHOMESCORE]], 1,1,0)</f>
        <v>0</v>
      </c>
      <c r="AG78" s="63">
        <f>_xlfn.IFS(ISBLANK(Table2[[#This Row],[GAMENUM]]),"",Table2[[#This Row],[GameOver]]=0,"",Table2[[#This Row],[OTROUNDNUM]]&gt;0,1,1,0)</f>
        <v>0</v>
      </c>
      <c r="AH78" s="63">
        <f>_xlfn.IFS(ISBLANK(Table2[[#This Row],[GAMENUM]]),"",Table2[[#This Row],[GameOver]]=0,"",Table2[[#This Row],[AAWAYSCORE]]=0,1,1,0)</f>
        <v>0</v>
      </c>
      <c r="AI78" s="63">
        <f>_xlfn.IFS(ISBLANK(Table2[[#This Row],[GAMENUM]]),"", Table2[[#This Row],[GameOver]]=0,"",Table2[[#This Row],[AHOMESCORE]]=0,1,1,0)</f>
        <v>0</v>
      </c>
      <c r="AJ78" s="63"/>
      <c r="AK78" s="57"/>
      <c r="AL78" s="65"/>
      <c r="AM78" s="11"/>
      <c r="AN78" s="11"/>
      <c r="AO78" s="11"/>
      <c r="AP78" s="11"/>
      <c r="AQ78" s="11"/>
      <c r="AR78" s="42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30"/>
    </row>
    <row r="79" spans="1:101" x14ac:dyDescent="0.25">
      <c r="A79" s="55" t="str">
        <f>IF(ISBLANK(Table2[[#This Row],[GAMENUM]]), "", _xlfn.TEXTJOIN("", 1, "2025030", Table2[[#This Row],[ROUNDNUM]], Table2[[#This Row],[SeriesID]], Table2[[#This Row],[GAMENUM]]))</f>
        <v>2025030412</v>
      </c>
      <c r="B79" s="63">
        <f>IF(ISBLANK(Table2[[#This Row],[GAMENUM]]), "", INDEX(Table3[SeriesID], MATCH(Table2[[#This Row],[SERIESCODE]],Table3[SeriesCode],0)))</f>
        <v>1</v>
      </c>
      <c r="C79" s="57" t="str">
        <f t="shared" si="108"/>
        <v>Thursday</v>
      </c>
      <c r="D79" s="59">
        <v>46177</v>
      </c>
      <c r="E79" s="60">
        <v>0.875</v>
      </c>
      <c r="F79" s="59" t="s">
        <v>38</v>
      </c>
      <c r="G79" s="62">
        <v>4</v>
      </c>
      <c r="H79" s="66" t="s">
        <v>56</v>
      </c>
      <c r="I79" s="3">
        <v>2</v>
      </c>
      <c r="J79" s="20" t="str">
        <f>INDEX(Table3[TopSeed],MATCH(Table2[[#This Row],[SERIESCODE]], Table3[SeriesCode], 0))</f>
        <v>CAR</v>
      </c>
      <c r="K79" s="81" t="str">
        <f>INDEX(Table3[LowSeed],MATCH(Table2[[#This Row],[SERIESCODE]], Table3[SeriesCode], 0))</f>
        <v>VGK</v>
      </c>
      <c r="L79" s="62">
        <v>0</v>
      </c>
      <c r="M79" s="62">
        <v>0</v>
      </c>
      <c r="N79" s="81" t="str">
        <f>IF(Table2[[#This Row],[GAMENUM]] = 6, Table2[[#This Row],[TOPSEED]], IF(Table2[[#This Row],[GAMENUM]] = 4, Table2[[#This Row],[TOPSEED]], IF(Table2[[#This Row],[GAMENUM]] = 3, Table2[[#This Row],[TOPSEED]], Table2[LOWSEED])))</f>
        <v>VGK</v>
      </c>
      <c r="O79" s="97" t="str">
        <f>IF(Table2[[#This Row],[GAMENUM]] = 6, Table2[[#This Row],[LOWSEED]], IF(Table2[[#This Row],[GAMENUM]] = 4, Table2[[#This Row],[LOWSEED]], IF(Table2[[#This Row],[GAMENUM]] = 3, Table2[[#This Row],[LOWSEED]], Table2[TOPSEED])))</f>
        <v>CAR</v>
      </c>
      <c r="P79" s="63" t="str">
        <f t="shared" si="109"/>
        <v/>
      </c>
      <c r="Q79" s="62"/>
      <c r="R79" s="62"/>
      <c r="S79" s="63"/>
      <c r="T79" s="59"/>
      <c r="U79" s="62"/>
      <c r="V79" s="62"/>
      <c r="W79" s="62"/>
      <c r="X79" s="62"/>
      <c r="Y79" s="63">
        <f>Table2[[#This Row],[TimeInSeconds]]/1200</f>
        <v>0</v>
      </c>
      <c r="Z79" s="63" t="str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/>
      </c>
      <c r="AA79" s="63" t="str">
        <f t="shared" si="110"/>
        <v/>
      </c>
      <c r="AB79" s="63" t="str">
        <f>IF(ISBLANK(Table2[[#This Row],[OTROUNDNUM]]), "", Table2[[#This Row],[PAWAYSCORE]]-Table2[[#This Row],[AAWAYSCORE]])</f>
        <v/>
      </c>
      <c r="AC79" s="63" t="str">
        <f>IF(ISBLANK(Table2[[#This Row],[OTROUNDNUM]]), "", Table2[[#This Row],[PHOMESCORE]]-Table2[[#This Row],[AHOMESCORE]])</f>
        <v/>
      </c>
      <c r="AD79" s="63">
        <f>_xlfn.IFS(ISBLANK(Table2[[#This Row],[GAMENUM]]), " ", 1, IF((Table2[[#This Row],[TOPSEEDWINS]]+Table2[[#This Row],[LOWSEEDWINS]]) &lt;&gt; Table2[[#This Row],[GAMENUM]], 0, 1))</f>
        <v>0</v>
      </c>
      <c r="AE79" s="63" t="str">
        <f>_xlfn.IFS(ISBLANK(Table2[[#This Row],[GAMENUM]]),"", Table2[[#This Row],[GameOver]]=0,"",Table2[[#This Row],[AAWAYSCORE]]&gt;Table2[[#This Row],[AHOMESCORE]], 1,1,0)</f>
        <v/>
      </c>
      <c r="AF79" s="63" t="str">
        <f>_xlfn.IFS(ISBLANK(Table2[[#This Row],[GAMENUM]]),"",Table2[[#This Row],[GameOver]]=0,"",Table2[[#This Row],[AAWAYSCORE]]&lt;Table2[[#This Row],[AHOMESCORE]], 1,1,0)</f>
        <v/>
      </c>
      <c r="AG79" s="63" t="str">
        <f>_xlfn.IFS(ISBLANK(Table2[[#This Row],[GAMENUM]]),"",Table2[[#This Row],[GameOver]]=0,"",Table2[[#This Row],[OTROUNDNUM]]&gt;0,1,1,0)</f>
        <v/>
      </c>
      <c r="AH79" s="63" t="str">
        <f>_xlfn.IFS(ISBLANK(Table2[[#This Row],[GAMENUM]]),"",Table2[[#This Row],[GameOver]]=0,"",Table2[[#This Row],[AAWAYSCORE]]=0,1,1,0)</f>
        <v/>
      </c>
      <c r="AI79" s="63" t="str">
        <f>_xlfn.IFS(ISBLANK(Table2[[#This Row],[GAMENUM]]),"", Table2[[#This Row],[GameOver]]=0,"",Table2[[#This Row],[AHOMESCORE]]=0,1,1,0)</f>
        <v/>
      </c>
      <c r="AJ79" s="63"/>
      <c r="AK79" s="57"/>
      <c r="AL79" s="65"/>
      <c r="AM79" s="11"/>
      <c r="AN79" s="11"/>
      <c r="AO79" s="11"/>
      <c r="AP79" s="11"/>
      <c r="AQ79" s="11"/>
      <c r="AR79" s="42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30"/>
    </row>
    <row r="80" spans="1:101" x14ac:dyDescent="0.25">
      <c r="A80" s="55" t="str">
        <f>IF(ISBLANK(Table2[[#This Row],[GAMENUM]]), "", _xlfn.TEXTJOIN("", 1, "2025030", Table2[[#This Row],[ROUNDNUM]], Table2[[#This Row],[SeriesID]], Table2[[#This Row],[GAMENUM]]))</f>
        <v>2025030413</v>
      </c>
      <c r="B80" s="63">
        <f>IF(ISBLANK(Table2[[#This Row],[GAMENUM]]), "", INDEX(Table3[SeriesID], MATCH(Table2[[#This Row],[SERIESCODE]],Table3[SeriesCode],0)))</f>
        <v>1</v>
      </c>
      <c r="C80" s="57" t="str">
        <f t="shared" si="108"/>
        <v>Saturday</v>
      </c>
      <c r="D80" s="59">
        <v>46179</v>
      </c>
      <c r="E80" s="60">
        <v>0.875</v>
      </c>
      <c r="F80" s="59" t="s">
        <v>38</v>
      </c>
      <c r="G80" s="62">
        <v>4</v>
      </c>
      <c r="H80" s="66" t="s">
        <v>56</v>
      </c>
      <c r="I80" s="3">
        <v>3</v>
      </c>
      <c r="J80" s="20" t="str">
        <f>INDEX(Table3[TopSeed],MATCH(Table2[[#This Row],[SERIESCODE]], Table3[SeriesCode], 0))</f>
        <v>CAR</v>
      </c>
      <c r="K80" s="81" t="str">
        <f>INDEX(Table3[LowSeed],MATCH(Table2[[#This Row],[SERIESCODE]], Table3[SeriesCode], 0))</f>
        <v>VGK</v>
      </c>
      <c r="L80" s="62">
        <v>0</v>
      </c>
      <c r="M80" s="62">
        <v>0</v>
      </c>
      <c r="N80" s="20" t="str">
        <f>IF(Table2[[#This Row],[GAMENUM]] = 6, Table2[[#This Row],[TOPSEED]], IF(Table2[[#This Row],[GAMENUM]] = 4, Table2[[#This Row],[TOPSEED]], IF(Table2[[#This Row],[GAMENUM]] = 3, Table2[[#This Row],[TOPSEED]], Table2[LOWSEED])))</f>
        <v>CAR</v>
      </c>
      <c r="O80" s="81" t="str">
        <f>IF(Table2[[#This Row],[GAMENUM]] = 6, Table2[[#This Row],[LOWSEED]], IF(Table2[[#This Row],[GAMENUM]] = 4, Table2[[#This Row],[LOWSEED]], IF(Table2[[#This Row],[GAMENUM]] = 3, Table2[[#This Row],[LOWSEED]], Table2[TOPSEED])))</f>
        <v>VGK</v>
      </c>
      <c r="P80" s="62" t="str">
        <f t="shared" si="109"/>
        <v/>
      </c>
      <c r="Q80" s="62"/>
      <c r="R80" s="62"/>
      <c r="S80" s="63"/>
      <c r="T80" s="59"/>
      <c r="U80" s="62"/>
      <c r="V80" s="62"/>
      <c r="W80" s="62"/>
      <c r="X80" s="62"/>
      <c r="Y80" s="63">
        <f>Table2[[#This Row],[TimeInSeconds]]/1200</f>
        <v>0</v>
      </c>
      <c r="Z80" s="63" t="str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/>
      </c>
      <c r="AA80" s="63" t="str">
        <f t="shared" si="110"/>
        <v/>
      </c>
      <c r="AB80" s="63" t="str">
        <f>IF(ISBLANK(Table2[[#This Row],[OTROUNDNUM]]), "", Table2[[#This Row],[PAWAYSCORE]]-Table2[[#This Row],[AAWAYSCORE]])</f>
        <v/>
      </c>
      <c r="AC80" s="63" t="str">
        <f>IF(ISBLANK(Table2[[#This Row],[OTROUNDNUM]]), "", Table2[[#This Row],[PHOMESCORE]]-Table2[[#This Row],[AHOMESCORE]])</f>
        <v/>
      </c>
      <c r="AD80" s="63">
        <f>_xlfn.IFS(ISBLANK(Table2[[#This Row],[GAMENUM]]), " ", 1, IF((Table2[[#This Row],[TOPSEEDWINS]]+Table2[[#This Row],[LOWSEEDWINS]]) &lt;&gt; Table2[[#This Row],[GAMENUM]], 0, 1))</f>
        <v>0</v>
      </c>
      <c r="AE80" s="63" t="str">
        <f>_xlfn.IFS(ISBLANK(Table2[[#This Row],[GAMENUM]]),"", Table2[[#This Row],[GameOver]]=0,"",Table2[[#This Row],[AAWAYSCORE]]&gt;Table2[[#This Row],[AHOMESCORE]], 1,1,0)</f>
        <v/>
      </c>
      <c r="AF80" s="63" t="str">
        <f>_xlfn.IFS(ISBLANK(Table2[[#This Row],[GAMENUM]]),"",Table2[[#This Row],[GameOver]]=0,"",Table2[[#This Row],[AAWAYSCORE]]&lt;Table2[[#This Row],[AHOMESCORE]], 1,1,0)</f>
        <v/>
      </c>
      <c r="AG80" s="63" t="str">
        <f>_xlfn.IFS(ISBLANK(Table2[[#This Row],[GAMENUM]]),"",Table2[[#This Row],[GameOver]]=0,"",Table2[[#This Row],[OTROUNDNUM]]&gt;0,1,1,0)</f>
        <v/>
      </c>
      <c r="AH80" s="63" t="str">
        <f>_xlfn.IFS(ISBLANK(Table2[[#This Row],[GAMENUM]]),"",Table2[[#This Row],[GameOver]]=0,"",Table2[[#This Row],[AAWAYSCORE]]=0,1,1,0)</f>
        <v/>
      </c>
      <c r="AI80" s="63" t="str">
        <f>_xlfn.IFS(ISBLANK(Table2[[#This Row],[GAMENUM]]),"", Table2[[#This Row],[GameOver]]=0,"",Table2[[#This Row],[AHOMESCORE]]=0,1,1,0)</f>
        <v/>
      </c>
      <c r="AJ80" s="63"/>
      <c r="AK80" s="57"/>
      <c r="AL80" s="65"/>
      <c r="AM80" s="11"/>
      <c r="AN80" s="11"/>
      <c r="AO80" s="11"/>
      <c r="AP80" s="11"/>
      <c r="AQ80" s="11"/>
      <c r="AR80" s="42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30"/>
    </row>
    <row r="81" spans="1:101" x14ac:dyDescent="0.25">
      <c r="A81" s="55" t="str">
        <f>IF(ISBLANK(Table2[[#This Row],[GAMENUM]]), "", _xlfn.TEXTJOIN("", 1, "2025030", Table2[[#This Row],[ROUNDNUM]], Table2[[#This Row],[SeriesID]], Table2[[#This Row],[GAMENUM]]))</f>
        <v>2025030414</v>
      </c>
      <c r="B81" s="63">
        <f>IF(ISBLANK(Table2[[#This Row],[GAMENUM]]), "", INDEX(Table3[SeriesID], MATCH(Table2[[#This Row],[SERIESCODE]],Table3[SeriesCode],0)))</f>
        <v>1</v>
      </c>
      <c r="C81" s="57" t="str">
        <f t="shared" si="108"/>
        <v>Tuesday</v>
      </c>
      <c r="D81" s="59">
        <v>46182</v>
      </c>
      <c r="E81" s="60">
        <v>0.875</v>
      </c>
      <c r="F81" s="59" t="s">
        <v>38</v>
      </c>
      <c r="G81" s="62">
        <v>4</v>
      </c>
      <c r="H81" s="66" t="s">
        <v>56</v>
      </c>
      <c r="I81" s="3">
        <v>4</v>
      </c>
      <c r="J81" s="20" t="str">
        <f>INDEX(Table3[TopSeed],MATCH(Table2[[#This Row],[SERIESCODE]], Table3[SeriesCode], 0))</f>
        <v>CAR</v>
      </c>
      <c r="K81" s="81" t="str">
        <f>INDEX(Table3[LowSeed],MATCH(Table2[[#This Row],[SERIESCODE]], Table3[SeriesCode], 0))</f>
        <v>VGK</v>
      </c>
      <c r="L81" s="62">
        <v>0</v>
      </c>
      <c r="M81" s="62">
        <v>0</v>
      </c>
      <c r="N81" s="20" t="str">
        <f>IF(Table2[[#This Row],[GAMENUM]] = 6, Table2[[#This Row],[TOPSEED]], IF(Table2[[#This Row],[GAMENUM]] = 4, Table2[[#This Row],[TOPSEED]], IF(Table2[[#This Row],[GAMENUM]] = 3, Table2[[#This Row],[TOPSEED]], Table2[LOWSEED])))</f>
        <v>CAR</v>
      </c>
      <c r="O81" s="81" t="str">
        <f>IF(Table2[[#This Row],[GAMENUM]] = 6, Table2[[#This Row],[LOWSEED]], IF(Table2[[#This Row],[GAMENUM]] = 4, Table2[[#This Row],[LOWSEED]], IF(Table2[[#This Row],[GAMENUM]] = 3, Table2[[#This Row],[LOWSEED]], Table2[TOPSEED])))</f>
        <v>VGK</v>
      </c>
      <c r="P81" s="62" t="str">
        <f t="shared" si="109"/>
        <v/>
      </c>
      <c r="Q81" s="62"/>
      <c r="R81" s="62"/>
      <c r="S81" s="63"/>
      <c r="T81" s="59"/>
      <c r="U81" s="62"/>
      <c r="V81" s="62"/>
      <c r="W81" s="62"/>
      <c r="X81" s="62"/>
      <c r="Y81" s="63">
        <f>Table2[[#This Row],[TimeInSeconds]]/1200</f>
        <v>0</v>
      </c>
      <c r="Z81" s="63" t="str">
        <f>IF(ISBLANK(Table2[[#This Row],[OTROUNDNUM]]),"",IF(Table2[[#This Row],[AAWAYSCORE]]=Table2[[#This Row],[AHOMESCORE]],0,IF(Table2[[#This Row],[AWAYTEAM]]=Table2[[#This Row],[MYCHOICE]],IF(Table2[[#This Row],[AAWAYSCORE]]&gt;Table2[[#This Row],[AHOMESCORE]],1,0),IF(Table2[[#This Row],[AHOMESCORE]]&gt;Table2[[#This Row],[AAWAYSCORE]],1,0))))</f>
        <v/>
      </c>
      <c r="AA81" s="63" t="str">
        <f t="shared" si="110"/>
        <v/>
      </c>
      <c r="AB81" s="63" t="str">
        <f>IF(ISBLANK(Table2[[#This Row],[OTROUNDNUM]]), "", Table2[[#This Row],[PAWAYSCORE]]-Table2[[#This Row],[AAWAYSCORE]])</f>
        <v/>
      </c>
      <c r="AC81" s="63" t="str">
        <f>IF(ISBLANK(Table2[[#This Row],[OTROUNDNUM]]), "", Table2[[#This Row],[PHOMESCORE]]-Table2[[#This Row],[AHOMESCORE]])</f>
        <v/>
      </c>
      <c r="AD81" s="63">
        <f>_xlfn.IFS(ISBLANK(Table2[[#This Row],[GAMENUM]]), " ", 1, IF((Table2[[#This Row],[TOPSEEDWINS]]+Table2[[#This Row],[LOWSEEDWINS]]) &lt;&gt; Table2[[#This Row],[GAMENUM]], 0, 1))</f>
        <v>0</v>
      </c>
      <c r="AE81" s="63" t="str">
        <f>_xlfn.IFS(ISBLANK(Table2[[#This Row],[GAMENUM]]),"", Table2[[#This Row],[GameOver]]=0,"",Table2[[#This Row],[AAWAYSCORE]]&gt;Table2[[#This Row],[AHOMESCORE]], 1,1,0)</f>
        <v/>
      </c>
      <c r="AF81" s="63" t="str">
        <f>_xlfn.IFS(ISBLANK(Table2[[#This Row],[GAMENUM]]),"",Table2[[#This Row],[GameOver]]=0,"",Table2[[#This Row],[AAWAYSCORE]]&lt;Table2[[#This Row],[AHOMESCORE]], 1,1,0)</f>
        <v/>
      </c>
      <c r="AG81" s="63" t="str">
        <f>_xlfn.IFS(ISBLANK(Table2[[#This Row],[GAMENUM]]),"",Table2[[#This Row],[GameOver]]=0,"",Table2[[#This Row],[OTROUNDNUM]]&gt;0,1,1,0)</f>
        <v/>
      </c>
      <c r="AH81" s="63" t="str">
        <f>_xlfn.IFS(ISBLANK(Table2[[#This Row],[GAMENUM]]),"",Table2[[#This Row],[GameOver]]=0,"",Table2[[#This Row],[AAWAYSCORE]]=0,1,1,0)</f>
        <v/>
      </c>
      <c r="AI81" s="63" t="str">
        <f>_xlfn.IFS(ISBLANK(Table2[[#This Row],[GAMENUM]]),"", Table2[[#This Row],[GameOver]]=0,"",Table2[[#This Row],[AHOMESCORE]]=0,1,1,0)</f>
        <v/>
      </c>
      <c r="AJ81" s="63"/>
      <c r="AK81" s="57"/>
      <c r="AL81" s="65"/>
      <c r="AM81" s="11"/>
      <c r="AN81" s="11"/>
      <c r="AO81" s="11"/>
      <c r="AP81" s="11"/>
      <c r="AQ81" s="11"/>
      <c r="AR81" s="42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30"/>
    </row>
    <row r="82" spans="1:101" x14ac:dyDescent="0.25">
      <c r="A82" s="57"/>
      <c r="B82" s="66"/>
      <c r="C82" s="57"/>
      <c r="D82" s="59"/>
      <c r="E82" s="60"/>
      <c r="F82" s="59"/>
      <c r="G82" s="62"/>
      <c r="H82" s="66"/>
      <c r="J82" s="62"/>
      <c r="K82" s="62"/>
      <c r="L82" s="62"/>
      <c r="M82" s="62"/>
      <c r="N82" s="62"/>
      <c r="O82" s="62"/>
      <c r="P82" s="62"/>
      <c r="Q82" s="63"/>
      <c r="R82" s="63"/>
      <c r="S82" s="63"/>
      <c r="T82" s="63"/>
      <c r="U82" s="59"/>
      <c r="V82" s="63"/>
      <c r="W82" s="63"/>
      <c r="X82" s="63"/>
      <c r="Y82" s="63"/>
      <c r="Z82" s="63"/>
      <c r="AA82" s="63"/>
      <c r="AB82" s="63" t="str">
        <f t="shared" ref="AB78:AB88" si="111">IF(OR(ISBLANK($V82), ISBLANK($W82), ISBLANK($X82)), "", IF(V82&gt;W82,O82,P82))</f>
        <v/>
      </c>
      <c r="AC82" s="63"/>
      <c r="AD82" s="63"/>
      <c r="AE82" s="63"/>
      <c r="AF82" s="63"/>
      <c r="AG82" s="63"/>
      <c r="AH82" s="63"/>
      <c r="AI82" s="63"/>
      <c r="AJ82" s="63"/>
      <c r="AK82" s="57"/>
      <c r="AL82" s="65"/>
      <c r="AM82" s="11"/>
      <c r="AN82" s="11"/>
      <c r="AO82" s="11"/>
      <c r="AP82" s="11"/>
      <c r="AQ82" s="11"/>
      <c r="AR82" s="42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30"/>
    </row>
    <row r="83" spans="1:101" x14ac:dyDescent="0.25">
      <c r="A83" s="57"/>
      <c r="B83" s="66"/>
      <c r="C83" s="57"/>
      <c r="D83" s="59"/>
      <c r="E83" s="60"/>
      <c r="F83" s="59"/>
      <c r="G83" s="62"/>
      <c r="H83" s="66"/>
      <c r="J83" s="62"/>
      <c r="K83" s="62"/>
      <c r="L83" s="63"/>
      <c r="M83" s="62"/>
      <c r="N83" s="62"/>
      <c r="O83" s="63"/>
      <c r="P83" s="62"/>
      <c r="Q83" s="63"/>
      <c r="R83" s="63"/>
      <c r="S83" s="63"/>
      <c r="T83" s="63"/>
      <c r="U83" s="59"/>
      <c r="V83" s="63"/>
      <c r="W83" s="63"/>
      <c r="X83" s="63"/>
      <c r="Y83" s="63"/>
      <c r="Z83" s="63"/>
      <c r="AA83" s="63"/>
      <c r="AB83" s="63" t="str">
        <f t="shared" si="111"/>
        <v/>
      </c>
      <c r="AC83" s="63"/>
      <c r="AD83" s="63"/>
      <c r="AE83" s="63"/>
      <c r="AF83" s="63"/>
      <c r="AG83" s="63"/>
      <c r="AH83" s="63"/>
      <c r="AI83" s="63"/>
      <c r="AJ83" s="63"/>
      <c r="AK83" s="57"/>
      <c r="AL83" s="65"/>
      <c r="AM83" s="11"/>
      <c r="AN83" s="11"/>
      <c r="AO83" s="11"/>
      <c r="AP83" s="11"/>
      <c r="AQ83" s="11"/>
      <c r="AR83" s="42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30"/>
    </row>
    <row r="84" spans="1:101" x14ac:dyDescent="0.25">
      <c r="A84" s="57"/>
      <c r="B84" s="66"/>
      <c r="C84" s="57"/>
      <c r="D84" s="59"/>
      <c r="E84" s="60"/>
      <c r="F84" s="59"/>
      <c r="G84" s="62"/>
      <c r="H84" s="66"/>
      <c r="J84" s="62"/>
      <c r="K84" s="62"/>
      <c r="L84" s="63"/>
      <c r="M84" s="62"/>
      <c r="N84" s="62"/>
      <c r="O84" s="63"/>
      <c r="P84" s="62"/>
      <c r="Q84" s="63"/>
      <c r="R84" s="63"/>
      <c r="S84" s="63"/>
      <c r="T84" s="63"/>
      <c r="U84" s="59"/>
      <c r="V84" s="63"/>
      <c r="W84" s="63"/>
      <c r="X84" s="63"/>
      <c r="Y84" s="63"/>
      <c r="Z84" s="63"/>
      <c r="AA84" s="63"/>
      <c r="AB84" s="63" t="str">
        <f t="shared" si="111"/>
        <v/>
      </c>
      <c r="AC84" s="63"/>
      <c r="AD84" s="63"/>
      <c r="AE84" s="63"/>
      <c r="AF84" s="63"/>
      <c r="AG84" s="63"/>
      <c r="AH84" s="63"/>
      <c r="AI84" s="63"/>
      <c r="AJ84" s="63"/>
      <c r="AK84" s="57"/>
      <c r="AL84" s="65"/>
      <c r="AM84" s="11"/>
      <c r="AN84" s="11"/>
      <c r="AO84" s="11"/>
      <c r="AP84" s="11"/>
      <c r="AQ84" s="11"/>
      <c r="AR84" s="42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30"/>
    </row>
    <row r="85" spans="1:101" x14ac:dyDescent="0.25">
      <c r="A85" s="57"/>
      <c r="B85" s="66"/>
      <c r="C85" s="57"/>
      <c r="D85" s="59"/>
      <c r="E85" s="60"/>
      <c r="F85" s="59"/>
      <c r="G85" s="62"/>
      <c r="H85" s="66"/>
      <c r="J85" s="62"/>
      <c r="K85" s="62"/>
      <c r="L85" s="63"/>
      <c r="M85" s="62"/>
      <c r="N85" s="62"/>
      <c r="O85" s="62"/>
      <c r="P85" s="63"/>
      <c r="Q85" s="63"/>
      <c r="R85" s="63"/>
      <c r="S85" s="63"/>
      <c r="T85" s="63"/>
      <c r="U85" s="59"/>
      <c r="V85" s="63"/>
      <c r="W85" s="63"/>
      <c r="X85" s="63"/>
      <c r="Y85" s="63"/>
      <c r="Z85" s="63"/>
      <c r="AA85" s="63"/>
      <c r="AB85" s="63" t="str">
        <f t="shared" si="111"/>
        <v/>
      </c>
      <c r="AC85" s="63"/>
      <c r="AD85" s="63"/>
      <c r="AE85" s="63"/>
      <c r="AF85" s="63"/>
      <c r="AG85" s="63"/>
      <c r="AH85" s="63"/>
      <c r="AI85" s="63"/>
      <c r="AJ85" s="63"/>
      <c r="AK85" s="57"/>
      <c r="AL85" s="65"/>
      <c r="AM85" s="11"/>
      <c r="AN85" s="11"/>
      <c r="AO85" s="11"/>
      <c r="AP85" s="11"/>
      <c r="AQ85" s="11"/>
      <c r="AR85" s="42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30"/>
    </row>
    <row r="86" spans="1:101" x14ac:dyDescent="0.25">
      <c r="A86" s="57"/>
      <c r="B86" s="66"/>
      <c r="C86" s="57"/>
      <c r="D86" s="59"/>
      <c r="E86" s="60"/>
      <c r="F86" s="59"/>
      <c r="G86" s="62"/>
      <c r="H86" s="66"/>
      <c r="J86" s="62"/>
      <c r="K86" s="62"/>
      <c r="L86" s="63"/>
      <c r="M86" s="62"/>
      <c r="N86" s="62"/>
      <c r="O86" s="62"/>
      <c r="P86" s="63"/>
      <c r="Q86" s="63"/>
      <c r="R86" s="63"/>
      <c r="S86" s="63"/>
      <c r="T86" s="63"/>
      <c r="U86" s="59"/>
      <c r="V86" s="63"/>
      <c r="W86" s="63"/>
      <c r="X86" s="63"/>
      <c r="Y86" s="63"/>
      <c r="Z86" s="63"/>
      <c r="AA86" s="63"/>
      <c r="AB86" s="63" t="str">
        <f t="shared" si="111"/>
        <v/>
      </c>
      <c r="AC86" s="63"/>
      <c r="AD86" s="63"/>
      <c r="AE86" s="63"/>
      <c r="AF86" s="63"/>
      <c r="AG86" s="63"/>
      <c r="AH86" s="63"/>
      <c r="AI86" s="63"/>
      <c r="AJ86" s="63"/>
      <c r="AK86" s="57"/>
      <c r="AL86" s="65"/>
      <c r="AM86" s="11"/>
      <c r="AN86" s="11"/>
      <c r="AO86" s="11"/>
      <c r="AP86" s="11"/>
      <c r="AQ86" s="11"/>
      <c r="AR86" s="42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30"/>
    </row>
    <row r="87" spans="1:101" x14ac:dyDescent="0.25">
      <c r="A87" s="57"/>
      <c r="B87" s="66"/>
      <c r="C87" s="57"/>
      <c r="D87" s="59"/>
      <c r="E87" s="60"/>
      <c r="F87" s="59"/>
      <c r="G87" s="62"/>
      <c r="H87" s="66"/>
      <c r="J87" s="62"/>
      <c r="K87" s="62"/>
      <c r="L87" s="63"/>
      <c r="M87" s="62"/>
      <c r="N87" s="62"/>
      <c r="O87" s="63"/>
      <c r="P87" s="62"/>
      <c r="Q87" s="63"/>
      <c r="R87" s="63"/>
      <c r="S87" s="63"/>
      <c r="T87" s="63"/>
      <c r="U87" s="59"/>
      <c r="V87" s="63"/>
      <c r="W87" s="63"/>
      <c r="X87" s="63"/>
      <c r="Y87" s="63"/>
      <c r="Z87" s="63"/>
      <c r="AA87" s="63"/>
      <c r="AB87" s="63" t="str">
        <f t="shared" si="111"/>
        <v/>
      </c>
      <c r="AC87" s="63"/>
      <c r="AD87" s="63"/>
      <c r="AE87" s="63"/>
      <c r="AF87" s="63"/>
      <c r="AG87" s="63"/>
      <c r="AH87" s="63"/>
      <c r="AI87" s="63"/>
      <c r="AJ87" s="63"/>
      <c r="AK87" s="57"/>
      <c r="AL87" s="65"/>
      <c r="AM87" s="11"/>
      <c r="AN87" s="11"/>
      <c r="AO87" s="11"/>
      <c r="AP87" s="11"/>
      <c r="AQ87" s="11"/>
      <c r="AR87" s="42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30"/>
    </row>
    <row r="88" spans="1:101" x14ac:dyDescent="0.25">
      <c r="A88" s="57"/>
      <c r="B88" s="66"/>
      <c r="C88" s="57"/>
      <c r="D88" s="59"/>
      <c r="E88" s="60"/>
      <c r="F88" s="59"/>
      <c r="G88" s="62"/>
      <c r="H88" s="66"/>
      <c r="J88" s="62"/>
      <c r="K88" s="62"/>
      <c r="L88" s="63"/>
      <c r="M88" s="62"/>
      <c r="N88" s="62"/>
      <c r="O88" s="62"/>
      <c r="P88" s="63"/>
      <c r="Q88" s="63"/>
      <c r="R88" s="63"/>
      <c r="S88" s="63"/>
      <c r="T88" s="63"/>
      <c r="U88" s="59"/>
      <c r="V88" s="63"/>
      <c r="W88" s="63"/>
      <c r="X88" s="63"/>
      <c r="Y88" s="63"/>
      <c r="Z88" s="63"/>
      <c r="AA88" s="63"/>
      <c r="AB88" s="63" t="str">
        <f t="shared" si="111"/>
        <v/>
      </c>
      <c r="AC88" s="63"/>
      <c r="AD88" s="63"/>
      <c r="AE88" s="63"/>
      <c r="AF88" s="63"/>
      <c r="AG88" s="63"/>
      <c r="AH88" s="63"/>
      <c r="AI88" s="63"/>
      <c r="AJ88" s="63"/>
      <c r="AK88" s="57"/>
      <c r="AL88" s="11"/>
      <c r="AM88" s="11"/>
      <c r="AN88" s="11"/>
      <c r="AO88" s="11"/>
      <c r="AP88" s="11"/>
      <c r="AQ88" s="11"/>
      <c r="AR88" s="42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30"/>
    </row>
    <row r="89" spans="1:101" x14ac:dyDescent="0.25">
      <c r="A89" s="36"/>
      <c r="B89" s="39"/>
      <c r="C89" s="36"/>
      <c r="D89" s="58"/>
      <c r="E89" s="58"/>
      <c r="F89" s="64"/>
      <c r="G89" s="61"/>
      <c r="H89" s="39"/>
      <c r="J89" s="61"/>
      <c r="K89" s="61"/>
      <c r="L89" s="61"/>
      <c r="M89" s="61"/>
      <c r="N89" s="61"/>
      <c r="O89" s="64"/>
      <c r="P89" s="64"/>
      <c r="Q89" s="64"/>
      <c r="R89" s="64"/>
      <c r="S89" s="64"/>
      <c r="T89" s="64"/>
      <c r="U89" s="58"/>
      <c r="V89" s="64"/>
      <c r="W89" s="64"/>
      <c r="X89" s="64"/>
      <c r="Y89" s="64"/>
      <c r="Z89" s="64"/>
      <c r="AA89" s="64" t="str">
        <f t="shared" ref="AA89:AA96" si="112">IF(ISBLANK($X89),"",IF($V89=$W89,0,IF($O89=$Q89,IF($V89&gt;$W89,1,0),IF($W89&gt;$V89,1,0))))</f>
        <v/>
      </c>
      <c r="AB89" s="64" t="str">
        <f t="shared" ref="AB89:AB96" si="113">IF(OR(ISBLANK($V89), ISBLANK($W89), ISBLANK($X89)), "", IF(V89&gt;W89,O89,P89))</f>
        <v/>
      </c>
      <c r="AC89" s="64"/>
      <c r="AD89" s="64"/>
      <c r="AE89" s="64"/>
      <c r="AF89" s="64"/>
      <c r="AG89" s="64"/>
      <c r="AH89" s="64"/>
      <c r="AI89" s="64"/>
      <c r="AJ89" s="64"/>
      <c r="AK89" s="36"/>
      <c r="AL89" s="11"/>
      <c r="AM89" s="11"/>
      <c r="AN89" s="11"/>
      <c r="AO89" s="11"/>
      <c r="AP89" s="11"/>
      <c r="AQ89" s="11"/>
      <c r="AR89" s="42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30"/>
    </row>
    <row r="90" spans="1:101" x14ac:dyDescent="0.25">
      <c r="A90" s="11"/>
      <c r="B90" s="22"/>
      <c r="C90" s="11"/>
      <c r="D90" s="14"/>
      <c r="E90" s="14"/>
      <c r="F90" s="18"/>
      <c r="G90" s="16"/>
      <c r="H90" s="22"/>
      <c r="J90" s="16"/>
      <c r="K90" s="16"/>
      <c r="L90" s="16"/>
      <c r="M90" s="16"/>
      <c r="N90" s="16"/>
      <c r="O90" s="18"/>
      <c r="P90" s="18"/>
      <c r="Q90" s="18"/>
      <c r="R90" s="18"/>
      <c r="S90" s="18"/>
      <c r="T90" s="18"/>
      <c r="U90" s="14"/>
      <c r="V90" s="18"/>
      <c r="W90" s="18"/>
      <c r="X90" s="18"/>
      <c r="Y90" s="18"/>
      <c r="Z90" s="18"/>
      <c r="AA90" s="18" t="str">
        <f t="shared" si="112"/>
        <v/>
      </c>
      <c r="AB90" s="18" t="str">
        <f t="shared" si="113"/>
        <v/>
      </c>
      <c r="AC90" s="18"/>
      <c r="AD90" s="18"/>
      <c r="AE90" s="18"/>
      <c r="AF90" s="18"/>
      <c r="AG90" s="18"/>
      <c r="AH90" s="18"/>
      <c r="AI90" s="18"/>
      <c r="AJ90" s="18"/>
      <c r="AK90" s="11"/>
      <c r="AL90" s="11"/>
      <c r="AM90" s="11"/>
      <c r="AN90" s="11"/>
      <c r="AO90" s="11"/>
      <c r="AP90" s="11"/>
      <c r="AQ90" s="11"/>
      <c r="AR90" s="42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30"/>
    </row>
    <row r="91" spans="1:101" x14ac:dyDescent="0.25">
      <c r="A91" s="11"/>
      <c r="B91" s="22"/>
      <c r="C91" s="11"/>
      <c r="D91" s="14"/>
      <c r="E91" s="14"/>
      <c r="F91" s="18"/>
      <c r="G91" s="16"/>
      <c r="H91" s="22"/>
      <c r="J91" s="16"/>
      <c r="K91" s="16"/>
      <c r="L91" s="16"/>
      <c r="M91" s="16"/>
      <c r="N91" s="16"/>
      <c r="O91" s="18"/>
      <c r="P91" s="18"/>
      <c r="Q91" s="18"/>
      <c r="R91" s="18"/>
      <c r="S91" s="18"/>
      <c r="T91" s="18"/>
      <c r="U91" s="14"/>
      <c r="V91" s="18"/>
      <c r="W91" s="18"/>
      <c r="X91" s="18"/>
      <c r="Y91" s="18"/>
      <c r="Z91" s="18"/>
      <c r="AA91" s="18" t="str">
        <f t="shared" si="112"/>
        <v/>
      </c>
      <c r="AB91" s="18" t="str">
        <f t="shared" si="113"/>
        <v/>
      </c>
      <c r="AC91" s="18"/>
      <c r="AD91" s="18"/>
      <c r="AE91" s="18"/>
      <c r="AF91" s="18"/>
      <c r="AG91" s="18"/>
      <c r="AH91" s="18"/>
      <c r="AI91" s="18"/>
      <c r="AJ91" s="18"/>
      <c r="AK91" s="11"/>
      <c r="AL91" s="11"/>
      <c r="AM91" s="11"/>
      <c r="AN91" s="11"/>
      <c r="AO91" s="11"/>
      <c r="AP91" s="11"/>
      <c r="AQ91" s="11"/>
      <c r="AR91" s="42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30"/>
    </row>
    <row r="92" spans="1:101" x14ac:dyDescent="0.25">
      <c r="A92" s="11"/>
      <c r="B92" s="22"/>
      <c r="C92" s="11"/>
      <c r="D92" s="14"/>
      <c r="E92" s="14"/>
      <c r="F92" s="18"/>
      <c r="G92" s="16"/>
      <c r="H92" s="22"/>
      <c r="J92" s="16"/>
      <c r="K92" s="16"/>
      <c r="L92" s="16"/>
      <c r="M92" s="16"/>
      <c r="N92" s="16"/>
      <c r="O92" s="18"/>
      <c r="P92" s="18"/>
      <c r="Q92" s="18"/>
      <c r="R92" s="18"/>
      <c r="S92" s="18"/>
      <c r="T92" s="18"/>
      <c r="U92" s="14"/>
      <c r="V92" s="18"/>
      <c r="W92" s="18"/>
      <c r="X92" s="18"/>
      <c r="Y92" s="18"/>
      <c r="Z92" s="18"/>
      <c r="AA92" s="18" t="str">
        <f t="shared" si="112"/>
        <v/>
      </c>
      <c r="AB92" s="18" t="str">
        <f t="shared" si="113"/>
        <v/>
      </c>
      <c r="AC92" s="18"/>
      <c r="AD92" s="18"/>
      <c r="AE92" s="18"/>
      <c r="AF92" s="18"/>
      <c r="AG92" s="18"/>
      <c r="AH92" s="18"/>
      <c r="AI92" s="18"/>
      <c r="AJ92" s="18"/>
      <c r="AK92" s="11"/>
      <c r="AL92" s="11"/>
      <c r="AM92" s="11"/>
      <c r="AN92" s="11"/>
      <c r="AO92" s="11"/>
      <c r="AP92" s="11"/>
      <c r="AQ92" s="11"/>
      <c r="AR92" s="42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30"/>
    </row>
    <row r="93" spans="1:101" x14ac:dyDescent="0.25">
      <c r="A93" s="11"/>
      <c r="B93" s="22"/>
      <c r="C93" s="11"/>
      <c r="D93" s="14"/>
      <c r="E93" s="14"/>
      <c r="F93" s="18"/>
      <c r="G93" s="16"/>
      <c r="H93" s="22"/>
      <c r="J93" s="16"/>
      <c r="K93" s="16"/>
      <c r="L93" s="16"/>
      <c r="M93" s="16"/>
      <c r="N93" s="16"/>
      <c r="O93" s="18"/>
      <c r="P93" s="18"/>
      <c r="Q93" s="18"/>
      <c r="R93" s="18"/>
      <c r="S93" s="18"/>
      <c r="T93" s="18"/>
      <c r="U93" s="14"/>
      <c r="V93" s="18"/>
      <c r="W93" s="18"/>
      <c r="X93" s="18"/>
      <c r="Y93" s="18"/>
      <c r="Z93" s="18"/>
      <c r="AA93" s="18" t="str">
        <f t="shared" si="112"/>
        <v/>
      </c>
      <c r="AB93" s="18" t="str">
        <f t="shared" si="113"/>
        <v/>
      </c>
      <c r="AC93" s="18"/>
      <c r="AD93" s="18"/>
      <c r="AE93" s="18"/>
      <c r="AF93" s="18"/>
      <c r="AG93" s="18"/>
      <c r="AH93" s="18"/>
      <c r="AI93" s="18"/>
      <c r="AJ93" s="18"/>
      <c r="AK93" s="11"/>
      <c r="AL93" s="11"/>
      <c r="AM93" s="11"/>
      <c r="AN93" s="11"/>
      <c r="AO93" s="11"/>
      <c r="AP93" s="11"/>
      <c r="AQ93" s="11"/>
      <c r="AR93" s="42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30"/>
    </row>
    <row r="94" spans="1:101" x14ac:dyDescent="0.25">
      <c r="A94" s="11"/>
      <c r="B94" s="22"/>
      <c r="C94" s="11"/>
      <c r="D94" s="14"/>
      <c r="E94" s="14"/>
      <c r="F94" s="18"/>
      <c r="G94" s="16"/>
      <c r="H94" s="22"/>
      <c r="J94" s="16"/>
      <c r="K94" s="16"/>
      <c r="L94" s="16"/>
      <c r="M94" s="16"/>
      <c r="N94" s="16"/>
      <c r="O94" s="18"/>
      <c r="P94" s="18"/>
      <c r="Q94" s="18"/>
      <c r="R94" s="18"/>
      <c r="S94" s="18"/>
      <c r="T94" s="18"/>
      <c r="U94" s="14"/>
      <c r="V94" s="18"/>
      <c r="W94" s="18"/>
      <c r="X94" s="18"/>
      <c r="Y94" s="18"/>
      <c r="Z94" s="18"/>
      <c r="AA94" s="18" t="str">
        <f t="shared" si="112"/>
        <v/>
      </c>
      <c r="AB94" s="18" t="str">
        <f t="shared" si="113"/>
        <v/>
      </c>
      <c r="AC94" s="18"/>
      <c r="AD94" s="18"/>
      <c r="AE94" s="18"/>
      <c r="AF94" s="18"/>
      <c r="AG94" s="18"/>
      <c r="AH94" s="18"/>
      <c r="AI94" s="18"/>
      <c r="AJ94" s="18"/>
      <c r="AK94" s="11"/>
      <c r="AL94" s="11"/>
      <c r="AM94" s="11"/>
      <c r="AN94" s="11"/>
      <c r="AO94" s="11"/>
      <c r="AP94" s="11"/>
      <c r="AQ94" s="11"/>
      <c r="AR94" s="42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30"/>
    </row>
    <row r="95" spans="1:101" x14ac:dyDescent="0.25">
      <c r="A95" s="11"/>
      <c r="B95" s="22"/>
      <c r="C95" s="11"/>
      <c r="D95" s="14"/>
      <c r="E95" s="14"/>
      <c r="F95" s="18"/>
      <c r="G95" s="16"/>
      <c r="H95" s="22"/>
      <c r="J95" s="16"/>
      <c r="K95" s="16"/>
      <c r="L95" s="16"/>
      <c r="M95" s="16"/>
      <c r="N95" s="16"/>
      <c r="O95" s="18"/>
      <c r="P95" s="18"/>
      <c r="Q95" s="18"/>
      <c r="R95" s="18"/>
      <c r="S95" s="18"/>
      <c r="T95" s="18"/>
      <c r="U95" s="14"/>
      <c r="V95" s="18"/>
      <c r="W95" s="18"/>
      <c r="X95" s="18"/>
      <c r="Y95" s="18"/>
      <c r="Z95" s="18"/>
      <c r="AA95" s="18" t="str">
        <f t="shared" si="112"/>
        <v/>
      </c>
      <c r="AB95" s="18" t="str">
        <f t="shared" si="113"/>
        <v/>
      </c>
      <c r="AC95" s="18"/>
      <c r="AD95" s="18"/>
      <c r="AE95" s="18"/>
      <c r="AF95" s="18"/>
      <c r="AG95" s="18"/>
      <c r="AH95" s="18"/>
      <c r="AI95" s="18"/>
      <c r="AJ95" s="18"/>
      <c r="AK95" s="11"/>
      <c r="AL95" s="12"/>
      <c r="AM95" s="12"/>
      <c r="AN95" s="12"/>
      <c r="AO95" s="12"/>
      <c r="AP95" s="12"/>
      <c r="AQ95" s="12"/>
      <c r="AR95" s="43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3"/>
    </row>
    <row r="96" spans="1:101" x14ac:dyDescent="0.25">
      <c r="A96" s="12"/>
      <c r="B96" s="23"/>
      <c r="C96" s="12"/>
      <c r="D96" s="15"/>
      <c r="E96" s="15"/>
      <c r="F96" s="19"/>
      <c r="G96" s="17"/>
      <c r="H96" s="23"/>
      <c r="J96" s="17"/>
      <c r="K96" s="17"/>
      <c r="L96" s="17"/>
      <c r="M96" s="17"/>
      <c r="N96" s="17"/>
      <c r="O96" s="19"/>
      <c r="P96" s="19"/>
      <c r="Q96" s="19"/>
      <c r="R96" s="19"/>
      <c r="S96" s="19"/>
      <c r="T96" s="19"/>
      <c r="U96" s="15"/>
      <c r="V96" s="19"/>
      <c r="W96" s="19"/>
      <c r="X96" s="19"/>
      <c r="Y96" s="19"/>
      <c r="Z96" s="19"/>
      <c r="AA96" s="19" t="str">
        <f t="shared" si="112"/>
        <v/>
      </c>
      <c r="AB96" s="19" t="str">
        <f t="shared" si="113"/>
        <v/>
      </c>
      <c r="AC96" s="19"/>
      <c r="AD96" s="19"/>
      <c r="AE96" s="19"/>
      <c r="AF96" s="19"/>
      <c r="AG96" s="19"/>
      <c r="AH96" s="19"/>
      <c r="AI96" s="19"/>
      <c r="AJ96" s="19"/>
      <c r="AK96" s="12"/>
    </row>
  </sheetData>
  <phoneticPr fontId="1" type="noConversion"/>
  <conditionalFormatting sqref="M82:N1048576 L1:M8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8:Y76 X1:X76 Y78:Y1048576 X77:Y77">
    <cfRule type="colorScale" priority="9">
      <colorScale>
        <cfvo type="min"/>
        <cfvo type="max"/>
        <color rgb="FFFCFCFF"/>
        <color rgb="FFF8696B"/>
      </colorScale>
    </cfRule>
  </conditionalFormatting>
  <conditionalFormatting sqref="AA79:AA1048576 Z1:Z8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3:AW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D22:CD3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22:CG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22:CH3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22:CI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J22:CJ37">
    <cfRule type="colorScale" priority="1">
      <colorScale>
        <cfvo type="min"/>
        <cfvo type="max"/>
        <color rgb="FFFCFCFF"/>
        <color rgb="FF63BE7B"/>
      </colorScale>
    </cfRule>
  </conditionalFormatting>
  <conditionalFormatting sqref="CK22:CK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Jordan Briggs</cp:lastModifiedBy>
  <dcterms:created xsi:type="dcterms:W3CDTF">2025-04-19T05:23:59Z</dcterms:created>
  <dcterms:modified xsi:type="dcterms:W3CDTF">2026-06-03T05:06:47Z</dcterms:modified>
</cp:coreProperties>
</file>