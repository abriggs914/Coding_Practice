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brig\Documents\Coding_Practice\Python\Hockey pool\2026\"/>
    </mc:Choice>
  </mc:AlternateContent>
  <xr:revisionPtr revIDLastSave="0" documentId="13_ncr:1_{558C3963-7924-4563-885A-FD2A86110AEF}" xr6:coauthVersionLast="47" xr6:coauthVersionMax="47" xr10:uidLastSave="{00000000-0000-0000-0000-000000000000}"/>
  <bookViews>
    <workbookView xWindow="-120" yWindow="-120" windowWidth="29040" windowHeight="15840" xr2:uid="{CCC5B65E-930E-4DB7-8BD5-D516C728EBC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" i="1" l="1"/>
  <c r="A31" i="1"/>
  <c r="A32" i="1"/>
  <c r="A33" i="1"/>
  <c r="A34" i="1"/>
  <c r="A35" i="1"/>
  <c r="A36" i="1"/>
  <c r="A37" i="1"/>
  <c r="A38" i="1"/>
  <c r="N30" i="1"/>
  <c r="N31" i="1"/>
  <c r="N32" i="1"/>
  <c r="N33" i="1"/>
  <c r="N34" i="1"/>
  <c r="N35" i="1"/>
  <c r="N36" i="1"/>
  <c r="N37" i="1"/>
  <c r="N38" i="1"/>
  <c r="V30" i="1"/>
  <c r="V31" i="1"/>
  <c r="V32" i="1"/>
  <c r="V33" i="1"/>
  <c r="V34" i="1"/>
  <c r="V35" i="1"/>
  <c r="V36" i="1"/>
  <c r="V37" i="1"/>
  <c r="V38" i="1"/>
  <c r="X30" i="1"/>
  <c r="X31" i="1"/>
  <c r="X32" i="1"/>
  <c r="X33" i="1"/>
  <c r="X34" i="1"/>
  <c r="X35" i="1"/>
  <c r="X36" i="1"/>
  <c r="X37" i="1"/>
  <c r="X38" i="1"/>
  <c r="Y30" i="1"/>
  <c r="Y31" i="1"/>
  <c r="Y32" i="1"/>
  <c r="Y33" i="1"/>
  <c r="Y34" i="1"/>
  <c r="Y35" i="1"/>
  <c r="Y36" i="1"/>
  <c r="Y37" i="1"/>
  <c r="Y38" i="1"/>
  <c r="Z30" i="1"/>
  <c r="Z31" i="1"/>
  <c r="Z32" i="1"/>
  <c r="Z33" i="1"/>
  <c r="Z34" i="1"/>
  <c r="Z35" i="1"/>
  <c r="Z36" i="1"/>
  <c r="Z37" i="1"/>
  <c r="Z38" i="1"/>
  <c r="A27" i="1"/>
  <c r="A28" i="1"/>
  <c r="A29" i="1"/>
  <c r="N27" i="1"/>
  <c r="N28" i="1"/>
  <c r="N29" i="1"/>
  <c r="V27" i="1"/>
  <c r="V28" i="1"/>
  <c r="V29" i="1"/>
  <c r="X27" i="1"/>
  <c r="X28" i="1"/>
  <c r="X29" i="1"/>
  <c r="Y27" i="1"/>
  <c r="Y28" i="1"/>
  <c r="Y29" i="1"/>
  <c r="Z27" i="1"/>
  <c r="Z28" i="1"/>
  <c r="Z2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A18" i="1"/>
  <c r="A19" i="1"/>
  <c r="A20" i="1"/>
  <c r="A21" i="1"/>
  <c r="A22" i="1"/>
  <c r="A23" i="1"/>
  <c r="A24" i="1"/>
  <c r="A25" i="1"/>
  <c r="A26" i="1"/>
  <c r="N18" i="1"/>
  <c r="N19" i="1"/>
  <c r="N20" i="1"/>
  <c r="N21" i="1"/>
  <c r="N22" i="1"/>
  <c r="N23" i="1"/>
  <c r="N24" i="1"/>
  <c r="N25" i="1"/>
  <c r="N26" i="1"/>
  <c r="X26" i="1"/>
  <c r="Y26" i="1"/>
  <c r="Z18" i="1"/>
  <c r="Z19" i="1"/>
  <c r="Z20" i="1"/>
  <c r="Z21" i="1"/>
  <c r="Z22" i="1"/>
  <c r="Z23" i="1"/>
  <c r="Z24" i="1"/>
  <c r="Z25" i="1"/>
  <c r="Z26" i="1"/>
  <c r="A13" i="1"/>
  <c r="A14" i="1"/>
  <c r="A15" i="1"/>
  <c r="A16" i="1"/>
  <c r="A17" i="1"/>
  <c r="N13" i="1"/>
  <c r="N14" i="1"/>
  <c r="N15" i="1"/>
  <c r="N16" i="1"/>
  <c r="N17" i="1"/>
  <c r="Z13" i="1"/>
  <c r="Z14" i="1"/>
  <c r="Z15" i="1"/>
  <c r="Z16" i="1"/>
  <c r="Z17" i="1"/>
  <c r="A12" i="1"/>
  <c r="N12" i="1"/>
  <c r="W12" i="1"/>
  <c r="Z12" i="1"/>
  <c r="N3" i="1"/>
  <c r="N4" i="1"/>
  <c r="N5" i="1"/>
  <c r="N6" i="1"/>
  <c r="N7" i="1"/>
  <c r="N8" i="1"/>
  <c r="N9" i="1"/>
  <c r="N10" i="1"/>
  <c r="N11" i="1"/>
  <c r="A10" i="1"/>
  <c r="A11" i="1"/>
  <c r="Z10" i="1"/>
  <c r="Z11" i="1"/>
  <c r="Z9" i="1"/>
  <c r="A9" i="1"/>
  <c r="A8" i="1"/>
  <c r="Z8" i="1"/>
  <c r="Z5" i="1"/>
  <c r="Z6" i="1"/>
  <c r="A7" i="1"/>
  <c r="Z7" i="1"/>
  <c r="A3" i="1"/>
  <c r="A4" i="1"/>
  <c r="A5" i="1"/>
  <c r="A6" i="1"/>
  <c r="W3" i="1"/>
  <c r="W4" i="1"/>
  <c r="W5" i="1"/>
  <c r="W6" i="1"/>
  <c r="W7" i="1"/>
  <c r="W8" i="1"/>
  <c r="W9" i="1"/>
  <c r="W10" i="1"/>
  <c r="W11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2" i="1"/>
  <c r="AM24" i="1" l="1"/>
  <c r="Z2" i="1" l="1"/>
  <c r="Z3" i="1"/>
  <c r="Z4" i="1"/>
  <c r="Y2" i="1" l="1"/>
  <c r="X2" i="1"/>
  <c r="V89" i="1"/>
  <c r="W89" i="1"/>
  <c r="V90" i="1"/>
  <c r="W90" i="1"/>
  <c r="V91" i="1"/>
  <c r="W91" i="1"/>
  <c r="V92" i="1"/>
  <c r="W92" i="1"/>
  <c r="V93" i="1"/>
  <c r="W93" i="1"/>
  <c r="V94" i="1"/>
  <c r="W94" i="1"/>
  <c r="V95" i="1"/>
  <c r="W95" i="1"/>
  <c r="V96" i="1"/>
  <c r="W96" i="1"/>
  <c r="N2" i="1" l="1"/>
  <c r="AF74" i="1"/>
  <c r="BB60" i="1"/>
  <c r="BA60" i="1"/>
  <c r="AZ60" i="1"/>
  <c r="AY60" i="1"/>
  <c r="AX60" i="1"/>
  <c r="AW60" i="1"/>
  <c r="AV60" i="1"/>
  <c r="AU60" i="1"/>
  <c r="AT60" i="1"/>
  <c r="AS60" i="1"/>
  <c r="AP60" i="1"/>
  <c r="AO60" i="1"/>
  <c r="AM60" i="1"/>
  <c r="AL60" i="1"/>
  <c r="AK60" i="1"/>
  <c r="AJ60" i="1"/>
  <c r="BB59" i="1"/>
  <c r="BA59" i="1"/>
  <c r="AZ59" i="1"/>
  <c r="AY59" i="1"/>
  <c r="AX59" i="1"/>
  <c r="AW59" i="1"/>
  <c r="AV59" i="1"/>
  <c r="AU59" i="1"/>
  <c r="AT59" i="1"/>
  <c r="AS59" i="1"/>
  <c r="AP59" i="1"/>
  <c r="AO59" i="1"/>
  <c r="AM59" i="1"/>
  <c r="AL59" i="1"/>
  <c r="AK59" i="1"/>
  <c r="AJ59" i="1"/>
  <c r="BB55" i="1"/>
  <c r="BA55" i="1"/>
  <c r="AZ55" i="1"/>
  <c r="AY55" i="1"/>
  <c r="AX55" i="1"/>
  <c r="AW55" i="1"/>
  <c r="AV55" i="1"/>
  <c r="AU55" i="1"/>
  <c r="AT55" i="1"/>
  <c r="AS55" i="1"/>
  <c r="AP55" i="1"/>
  <c r="AO55" i="1"/>
  <c r="AM55" i="1"/>
  <c r="AL55" i="1"/>
  <c r="AK55" i="1"/>
  <c r="AJ55" i="1"/>
  <c r="BB54" i="1"/>
  <c r="BA54" i="1"/>
  <c r="AZ54" i="1"/>
  <c r="AY54" i="1"/>
  <c r="AX54" i="1"/>
  <c r="AW54" i="1"/>
  <c r="AV54" i="1"/>
  <c r="AU54" i="1"/>
  <c r="AT54" i="1"/>
  <c r="AS54" i="1"/>
  <c r="AP54" i="1"/>
  <c r="AO54" i="1"/>
  <c r="AM54" i="1"/>
  <c r="AL54" i="1"/>
  <c r="AK54" i="1"/>
  <c r="AJ54" i="1"/>
  <c r="BB53" i="1"/>
  <c r="BA53" i="1"/>
  <c r="AZ53" i="1"/>
  <c r="AY53" i="1"/>
  <c r="AX53" i="1"/>
  <c r="AW53" i="1"/>
  <c r="AV53" i="1"/>
  <c r="AU53" i="1"/>
  <c r="AT53" i="1"/>
  <c r="AS53" i="1"/>
  <c r="AP53" i="1"/>
  <c r="AO53" i="1"/>
  <c r="AM53" i="1"/>
  <c r="AL53" i="1"/>
  <c r="AK53" i="1"/>
  <c r="AJ53" i="1"/>
  <c r="BB52" i="1"/>
  <c r="BA52" i="1"/>
  <c r="AZ52" i="1"/>
  <c r="AY52" i="1"/>
  <c r="AX52" i="1"/>
  <c r="AW52" i="1"/>
  <c r="AV52" i="1"/>
  <c r="AU52" i="1"/>
  <c r="AT52" i="1"/>
  <c r="AS52" i="1"/>
  <c r="AP52" i="1"/>
  <c r="AO52" i="1"/>
  <c r="AM52" i="1"/>
  <c r="AL52" i="1"/>
  <c r="AK52" i="1"/>
  <c r="AJ52" i="1"/>
  <c r="AL14" i="1"/>
  <c r="BB48" i="1"/>
  <c r="BA48" i="1"/>
  <c r="AZ48" i="1"/>
  <c r="AY48" i="1"/>
  <c r="AX48" i="1"/>
  <c r="AW48" i="1"/>
  <c r="AV48" i="1"/>
  <c r="AU48" i="1"/>
  <c r="AT48" i="1"/>
  <c r="AS48" i="1"/>
  <c r="AP48" i="1"/>
  <c r="AO48" i="1"/>
  <c r="AM48" i="1"/>
  <c r="AL48" i="1"/>
  <c r="AK48" i="1"/>
  <c r="AJ48" i="1"/>
  <c r="BB47" i="1"/>
  <c r="BA47" i="1"/>
  <c r="AZ47" i="1"/>
  <c r="AY47" i="1"/>
  <c r="AX47" i="1"/>
  <c r="AW47" i="1"/>
  <c r="AV47" i="1"/>
  <c r="AU47" i="1"/>
  <c r="AT47" i="1"/>
  <c r="AS47" i="1"/>
  <c r="AP47" i="1"/>
  <c r="AO47" i="1"/>
  <c r="AM47" i="1"/>
  <c r="AL47" i="1"/>
  <c r="AK47" i="1"/>
  <c r="AJ47" i="1"/>
  <c r="BB46" i="1"/>
  <c r="BA46" i="1"/>
  <c r="AZ46" i="1"/>
  <c r="AY46" i="1"/>
  <c r="AX46" i="1"/>
  <c r="AW46" i="1"/>
  <c r="AV46" i="1"/>
  <c r="AU46" i="1"/>
  <c r="AT46" i="1"/>
  <c r="AS46" i="1"/>
  <c r="AP46" i="1"/>
  <c r="AO46" i="1"/>
  <c r="AM46" i="1"/>
  <c r="AL46" i="1"/>
  <c r="AK46" i="1"/>
  <c r="AJ46" i="1"/>
  <c r="AL11" i="1"/>
  <c r="BB45" i="1"/>
  <c r="BA45" i="1"/>
  <c r="AZ45" i="1"/>
  <c r="AY45" i="1"/>
  <c r="AX45" i="1"/>
  <c r="AW45" i="1"/>
  <c r="AV45" i="1"/>
  <c r="AU45" i="1"/>
  <c r="AT45" i="1"/>
  <c r="AS45" i="1"/>
  <c r="AP45" i="1"/>
  <c r="AO45" i="1"/>
  <c r="AM45" i="1"/>
  <c r="AL45" i="1"/>
  <c r="AK45" i="1"/>
  <c r="AJ45" i="1"/>
  <c r="BB44" i="1"/>
  <c r="BA44" i="1"/>
  <c r="AZ44" i="1"/>
  <c r="AY44" i="1"/>
  <c r="AX44" i="1"/>
  <c r="AW44" i="1"/>
  <c r="AV44" i="1"/>
  <c r="AU44" i="1"/>
  <c r="AT44" i="1"/>
  <c r="AS44" i="1"/>
  <c r="AP44" i="1"/>
  <c r="AO44" i="1"/>
  <c r="AM44" i="1"/>
  <c r="AL44" i="1"/>
  <c r="AK44" i="1"/>
  <c r="AJ44" i="1"/>
  <c r="BB43" i="1"/>
  <c r="BA43" i="1"/>
  <c r="AZ43" i="1"/>
  <c r="AY43" i="1"/>
  <c r="AX43" i="1"/>
  <c r="AW43" i="1"/>
  <c r="AV43" i="1"/>
  <c r="AU43" i="1"/>
  <c r="AT43" i="1"/>
  <c r="AS43" i="1"/>
  <c r="AP43" i="1"/>
  <c r="AO43" i="1"/>
  <c r="AM43" i="1"/>
  <c r="AL43" i="1"/>
  <c r="AK43" i="1"/>
  <c r="AJ43" i="1"/>
  <c r="BB42" i="1"/>
  <c r="BA42" i="1"/>
  <c r="AZ42" i="1"/>
  <c r="AY42" i="1"/>
  <c r="AX42" i="1"/>
  <c r="AW42" i="1"/>
  <c r="AV42" i="1"/>
  <c r="AU42" i="1"/>
  <c r="AT42" i="1"/>
  <c r="AS42" i="1"/>
  <c r="AP42" i="1"/>
  <c r="AO42" i="1"/>
  <c r="AM42" i="1"/>
  <c r="AL42" i="1"/>
  <c r="AK42" i="1"/>
  <c r="AJ42" i="1"/>
  <c r="BB41" i="1"/>
  <c r="BA41" i="1"/>
  <c r="AZ41" i="1"/>
  <c r="AY41" i="1"/>
  <c r="AX41" i="1"/>
  <c r="AW41" i="1"/>
  <c r="AV41" i="1"/>
  <c r="AU41" i="1"/>
  <c r="AT41" i="1"/>
  <c r="AS41" i="1"/>
  <c r="AP41" i="1"/>
  <c r="AO41" i="1"/>
  <c r="AM41" i="1"/>
  <c r="AL41" i="1"/>
  <c r="AK41" i="1"/>
  <c r="AJ41" i="1"/>
  <c r="CB37" i="1"/>
  <c r="CA37" i="1"/>
  <c r="BZ37" i="1"/>
  <c r="BY37" i="1"/>
  <c r="BO37" i="1"/>
  <c r="BB37" i="1"/>
  <c r="BA37" i="1"/>
  <c r="AZ37" i="1"/>
  <c r="AY37" i="1"/>
  <c r="AX37" i="1"/>
  <c r="AW37" i="1"/>
  <c r="AV37" i="1"/>
  <c r="BX37" i="1" s="1"/>
  <c r="AU37" i="1"/>
  <c r="BW37" i="1" s="1"/>
  <c r="AT37" i="1"/>
  <c r="BV37" i="1" s="1"/>
  <c r="AS37" i="1"/>
  <c r="BU37" i="1" s="1"/>
  <c r="AP37" i="1"/>
  <c r="BR37" i="1" s="1"/>
  <c r="AO37" i="1"/>
  <c r="BQ37" i="1" s="1"/>
  <c r="AM37" i="1"/>
  <c r="AL37" i="1"/>
  <c r="AK37" i="1"/>
  <c r="AJ37" i="1"/>
  <c r="CB36" i="1"/>
  <c r="CA36" i="1"/>
  <c r="BZ36" i="1"/>
  <c r="BY36" i="1"/>
  <c r="BO36" i="1"/>
  <c r="BB36" i="1"/>
  <c r="BA36" i="1"/>
  <c r="AZ36" i="1"/>
  <c r="AY36" i="1"/>
  <c r="AX36" i="1"/>
  <c r="AW36" i="1"/>
  <c r="AV36" i="1"/>
  <c r="BX36" i="1" s="1"/>
  <c r="AU36" i="1"/>
  <c r="AT36" i="1"/>
  <c r="BV36" i="1" s="1"/>
  <c r="AS36" i="1"/>
  <c r="BU36" i="1" s="1"/>
  <c r="AP36" i="1"/>
  <c r="BR36" i="1" s="1"/>
  <c r="AO36" i="1"/>
  <c r="BQ36" i="1" s="1"/>
  <c r="AM36" i="1"/>
  <c r="AL36" i="1"/>
  <c r="AK36" i="1"/>
  <c r="AJ36" i="1"/>
  <c r="CB35" i="1"/>
  <c r="CA35" i="1"/>
  <c r="BZ35" i="1"/>
  <c r="BY35" i="1"/>
  <c r="BO35" i="1"/>
  <c r="BB35" i="1"/>
  <c r="BA35" i="1"/>
  <c r="AZ35" i="1"/>
  <c r="AY35" i="1"/>
  <c r="AX35" i="1"/>
  <c r="AW35" i="1"/>
  <c r="AV35" i="1"/>
  <c r="BX35" i="1" s="1"/>
  <c r="AU35" i="1"/>
  <c r="BW35" i="1" s="1"/>
  <c r="AT35" i="1"/>
  <c r="BV35" i="1" s="1"/>
  <c r="AS35" i="1"/>
  <c r="AP35" i="1"/>
  <c r="BR35" i="1" s="1"/>
  <c r="AO35" i="1"/>
  <c r="BQ35" i="1" s="1"/>
  <c r="AM35" i="1"/>
  <c r="AL35" i="1"/>
  <c r="AK35" i="1"/>
  <c r="AJ35" i="1"/>
  <c r="CB34" i="1"/>
  <c r="CA34" i="1"/>
  <c r="BZ34" i="1"/>
  <c r="BY34" i="1"/>
  <c r="BO34" i="1"/>
  <c r="BB34" i="1"/>
  <c r="BA34" i="1"/>
  <c r="AZ34" i="1"/>
  <c r="AY34" i="1"/>
  <c r="AX34" i="1"/>
  <c r="AW34" i="1"/>
  <c r="AV34" i="1"/>
  <c r="BX34" i="1" s="1"/>
  <c r="AU34" i="1"/>
  <c r="BW34" i="1" s="1"/>
  <c r="AT34" i="1"/>
  <c r="BV34" i="1" s="1"/>
  <c r="AS34" i="1"/>
  <c r="AP34" i="1"/>
  <c r="BR34" i="1" s="1"/>
  <c r="AO34" i="1"/>
  <c r="BQ34" i="1" s="1"/>
  <c r="AM34" i="1"/>
  <c r="AL34" i="1"/>
  <c r="AK34" i="1"/>
  <c r="AJ34" i="1"/>
  <c r="CB33" i="1"/>
  <c r="CA33" i="1"/>
  <c r="BZ33" i="1"/>
  <c r="BY33" i="1"/>
  <c r="BO33" i="1"/>
  <c r="BB33" i="1"/>
  <c r="BA33" i="1"/>
  <c r="AZ33" i="1"/>
  <c r="AY33" i="1"/>
  <c r="AX33" i="1"/>
  <c r="AW33" i="1"/>
  <c r="AV33" i="1"/>
  <c r="BX33" i="1" s="1"/>
  <c r="AU33" i="1"/>
  <c r="BW33" i="1" s="1"/>
  <c r="AT33" i="1"/>
  <c r="BV33" i="1" s="1"/>
  <c r="AS33" i="1"/>
  <c r="BU33" i="1" s="1"/>
  <c r="AP33" i="1"/>
  <c r="BR33" i="1" s="1"/>
  <c r="AO33" i="1"/>
  <c r="BQ33" i="1" s="1"/>
  <c r="AM33" i="1"/>
  <c r="AL33" i="1"/>
  <c r="AK33" i="1"/>
  <c r="AJ33" i="1"/>
  <c r="CB32" i="1"/>
  <c r="CA32" i="1"/>
  <c r="BZ32" i="1"/>
  <c r="BY32" i="1"/>
  <c r="BO32" i="1"/>
  <c r="BB32" i="1"/>
  <c r="BA32" i="1"/>
  <c r="AZ32" i="1"/>
  <c r="AY32" i="1"/>
  <c r="AX32" i="1"/>
  <c r="AW32" i="1"/>
  <c r="AV32" i="1"/>
  <c r="BX32" i="1" s="1"/>
  <c r="AU32" i="1"/>
  <c r="BW32" i="1" s="1"/>
  <c r="AT32" i="1"/>
  <c r="BV32" i="1" s="1"/>
  <c r="AS32" i="1"/>
  <c r="BU32" i="1" s="1"/>
  <c r="AP32" i="1"/>
  <c r="BR32" i="1" s="1"/>
  <c r="AO32" i="1"/>
  <c r="BQ32" i="1" s="1"/>
  <c r="AM32" i="1"/>
  <c r="AL32" i="1"/>
  <c r="AK32" i="1"/>
  <c r="AJ32" i="1"/>
  <c r="CB31" i="1"/>
  <c r="CA31" i="1"/>
  <c r="BZ31" i="1"/>
  <c r="BY31" i="1"/>
  <c r="BO31" i="1"/>
  <c r="BB31" i="1"/>
  <c r="BA31" i="1"/>
  <c r="AZ31" i="1"/>
  <c r="AY31" i="1"/>
  <c r="AX31" i="1"/>
  <c r="AW31" i="1"/>
  <c r="AV31" i="1"/>
  <c r="BX31" i="1" s="1"/>
  <c r="AU31" i="1"/>
  <c r="BW31" i="1" s="1"/>
  <c r="AT31" i="1"/>
  <c r="BV31" i="1" s="1"/>
  <c r="AS31" i="1"/>
  <c r="AP31" i="1"/>
  <c r="BR31" i="1" s="1"/>
  <c r="AO31" i="1"/>
  <c r="BQ31" i="1" s="1"/>
  <c r="AM31" i="1"/>
  <c r="AL31" i="1"/>
  <c r="AK31" i="1"/>
  <c r="AJ31" i="1"/>
  <c r="CB30" i="1"/>
  <c r="CA30" i="1"/>
  <c r="BZ30" i="1"/>
  <c r="BY30" i="1"/>
  <c r="BO30" i="1"/>
  <c r="BB30" i="1"/>
  <c r="BA30" i="1"/>
  <c r="AZ30" i="1"/>
  <c r="AY30" i="1"/>
  <c r="AX30" i="1"/>
  <c r="AW30" i="1"/>
  <c r="AV30" i="1"/>
  <c r="BX30" i="1" s="1"/>
  <c r="AU30" i="1"/>
  <c r="AT30" i="1"/>
  <c r="BV30" i="1" s="1"/>
  <c r="AS30" i="1"/>
  <c r="BU30" i="1" s="1"/>
  <c r="AP30" i="1"/>
  <c r="BR30" i="1" s="1"/>
  <c r="AO30" i="1"/>
  <c r="BQ30" i="1" s="1"/>
  <c r="AM30" i="1"/>
  <c r="AL30" i="1"/>
  <c r="AK30" i="1"/>
  <c r="AJ30" i="1"/>
  <c r="CB29" i="1"/>
  <c r="CA29" i="1"/>
  <c r="BZ29" i="1"/>
  <c r="BY29" i="1"/>
  <c r="BO29" i="1"/>
  <c r="BB29" i="1"/>
  <c r="BA29" i="1"/>
  <c r="AZ29" i="1"/>
  <c r="AY29" i="1"/>
  <c r="AX29" i="1"/>
  <c r="AW29" i="1"/>
  <c r="AV29" i="1"/>
  <c r="BX29" i="1" s="1"/>
  <c r="AU29" i="1"/>
  <c r="BW29" i="1" s="1"/>
  <c r="AT29" i="1"/>
  <c r="BV29" i="1" s="1"/>
  <c r="AS29" i="1"/>
  <c r="AP29" i="1"/>
  <c r="BR29" i="1" s="1"/>
  <c r="AO29" i="1"/>
  <c r="BQ29" i="1" s="1"/>
  <c r="AM29" i="1"/>
  <c r="AL29" i="1"/>
  <c r="AK29" i="1"/>
  <c r="AJ29" i="1"/>
  <c r="CB28" i="1"/>
  <c r="CA28" i="1"/>
  <c r="BZ28" i="1"/>
  <c r="BY28" i="1"/>
  <c r="BO28" i="1"/>
  <c r="BB28" i="1"/>
  <c r="BA28" i="1"/>
  <c r="AZ28" i="1"/>
  <c r="AY28" i="1"/>
  <c r="AX28" i="1"/>
  <c r="AW28" i="1"/>
  <c r="AV28" i="1"/>
  <c r="BX28" i="1" s="1"/>
  <c r="AU28" i="1"/>
  <c r="BW28" i="1" s="1"/>
  <c r="AT28" i="1"/>
  <c r="BV28" i="1" s="1"/>
  <c r="AS28" i="1"/>
  <c r="BU28" i="1" s="1"/>
  <c r="AP28" i="1"/>
  <c r="BR28" i="1" s="1"/>
  <c r="AO28" i="1"/>
  <c r="BQ28" i="1" s="1"/>
  <c r="AM28" i="1"/>
  <c r="AL28" i="1"/>
  <c r="AK28" i="1"/>
  <c r="AJ28" i="1"/>
  <c r="CB27" i="1"/>
  <c r="CA27" i="1"/>
  <c r="BZ27" i="1"/>
  <c r="BY27" i="1"/>
  <c r="BO27" i="1"/>
  <c r="BB27" i="1"/>
  <c r="BA27" i="1"/>
  <c r="AZ27" i="1"/>
  <c r="AY27" i="1"/>
  <c r="AX27" i="1"/>
  <c r="AW27" i="1"/>
  <c r="AV27" i="1"/>
  <c r="BX27" i="1" s="1"/>
  <c r="AU27" i="1"/>
  <c r="AT27" i="1"/>
  <c r="BV27" i="1" s="1"/>
  <c r="AS27" i="1"/>
  <c r="BU27" i="1" s="1"/>
  <c r="AP27" i="1"/>
  <c r="BR27" i="1" s="1"/>
  <c r="AO27" i="1"/>
  <c r="BQ27" i="1" s="1"/>
  <c r="AM27" i="1"/>
  <c r="AL27" i="1"/>
  <c r="AK27" i="1"/>
  <c r="AJ27" i="1"/>
  <c r="CB26" i="1"/>
  <c r="CA26" i="1"/>
  <c r="BZ26" i="1"/>
  <c r="BY26" i="1"/>
  <c r="BO26" i="1"/>
  <c r="BB26" i="1"/>
  <c r="BA26" i="1"/>
  <c r="AZ26" i="1"/>
  <c r="AY26" i="1"/>
  <c r="AX26" i="1"/>
  <c r="AW26" i="1"/>
  <c r="AV26" i="1"/>
  <c r="BX26" i="1" s="1"/>
  <c r="AU26" i="1"/>
  <c r="BW26" i="1" s="1"/>
  <c r="AT26" i="1"/>
  <c r="BV26" i="1" s="1"/>
  <c r="AS26" i="1"/>
  <c r="AP26" i="1"/>
  <c r="BR26" i="1" s="1"/>
  <c r="AO26" i="1"/>
  <c r="BQ26" i="1" s="1"/>
  <c r="AM26" i="1"/>
  <c r="AL26" i="1"/>
  <c r="AK26" i="1"/>
  <c r="AJ26" i="1"/>
  <c r="CB25" i="1"/>
  <c r="CA25" i="1"/>
  <c r="BZ25" i="1"/>
  <c r="BY25" i="1"/>
  <c r="BO25" i="1"/>
  <c r="BB25" i="1"/>
  <c r="BA25" i="1"/>
  <c r="AZ25" i="1"/>
  <c r="AY25" i="1"/>
  <c r="AX25" i="1"/>
  <c r="AW25" i="1"/>
  <c r="AV25" i="1"/>
  <c r="BX25" i="1" s="1"/>
  <c r="AU25" i="1"/>
  <c r="BW25" i="1" s="1"/>
  <c r="AT25" i="1"/>
  <c r="BV25" i="1" s="1"/>
  <c r="AS25" i="1"/>
  <c r="BU25" i="1" s="1"/>
  <c r="AP25" i="1"/>
  <c r="BR25" i="1" s="1"/>
  <c r="AO25" i="1"/>
  <c r="BQ25" i="1" s="1"/>
  <c r="AM25" i="1"/>
  <c r="AL25" i="1"/>
  <c r="AK25" i="1"/>
  <c r="AJ25" i="1"/>
  <c r="CB24" i="1"/>
  <c r="CA24" i="1"/>
  <c r="BZ24" i="1"/>
  <c r="BY24" i="1"/>
  <c r="BO24" i="1"/>
  <c r="BB24" i="1"/>
  <c r="BA24" i="1"/>
  <c r="AZ24" i="1"/>
  <c r="AY24" i="1"/>
  <c r="AX24" i="1"/>
  <c r="AW24" i="1"/>
  <c r="AV24" i="1"/>
  <c r="BX24" i="1" s="1"/>
  <c r="AU24" i="1"/>
  <c r="BW24" i="1" s="1"/>
  <c r="AT24" i="1"/>
  <c r="BV24" i="1" s="1"/>
  <c r="AS24" i="1"/>
  <c r="BU24" i="1" s="1"/>
  <c r="AP24" i="1"/>
  <c r="BR24" i="1" s="1"/>
  <c r="AO24" i="1"/>
  <c r="BQ24" i="1" s="1"/>
  <c r="AL24" i="1"/>
  <c r="AK24" i="1"/>
  <c r="AJ24" i="1"/>
  <c r="CB23" i="1"/>
  <c r="CA23" i="1"/>
  <c r="BZ23" i="1"/>
  <c r="BY23" i="1"/>
  <c r="BO23" i="1"/>
  <c r="BB23" i="1"/>
  <c r="BA23" i="1"/>
  <c r="AZ23" i="1"/>
  <c r="AY23" i="1"/>
  <c r="AX23" i="1"/>
  <c r="AW23" i="1"/>
  <c r="AV23" i="1"/>
  <c r="BX23" i="1" s="1"/>
  <c r="AU23" i="1"/>
  <c r="BW23" i="1" s="1"/>
  <c r="AT23" i="1"/>
  <c r="BV23" i="1" s="1"/>
  <c r="AS23" i="1"/>
  <c r="AP23" i="1"/>
  <c r="BR23" i="1" s="1"/>
  <c r="AO23" i="1"/>
  <c r="BQ23" i="1" s="1"/>
  <c r="AM23" i="1"/>
  <c r="AL23" i="1"/>
  <c r="AK23" i="1"/>
  <c r="AJ23" i="1"/>
  <c r="CB22" i="1"/>
  <c r="CA22" i="1"/>
  <c r="BZ22" i="1"/>
  <c r="BY22" i="1"/>
  <c r="BO22" i="1"/>
  <c r="BB22" i="1"/>
  <c r="BA22" i="1"/>
  <c r="AZ22" i="1"/>
  <c r="AY22" i="1"/>
  <c r="AX22" i="1"/>
  <c r="AW22" i="1"/>
  <c r="AV22" i="1"/>
  <c r="BX22" i="1" s="1"/>
  <c r="AU22" i="1"/>
  <c r="BW22" i="1" s="1"/>
  <c r="AT22" i="1"/>
  <c r="BV22" i="1" s="1"/>
  <c r="AS22" i="1"/>
  <c r="AP22" i="1"/>
  <c r="BR22" i="1" s="1"/>
  <c r="AO22" i="1"/>
  <c r="BQ22" i="1" s="1"/>
  <c r="AM22" i="1"/>
  <c r="AL22" i="1"/>
  <c r="AK22" i="1"/>
  <c r="AJ22" i="1"/>
  <c r="AK17" i="1" a="1"/>
  <c r="AK17" i="1" s="1"/>
  <c r="AJ17" i="1" a="1"/>
  <c r="AJ17" i="1" s="1"/>
  <c r="AO17" i="1" s="1"/>
  <c r="AI17" i="1" a="1"/>
  <c r="AI17" i="1" s="1"/>
  <c r="AN17" i="1" s="1"/>
  <c r="AK16" i="1" a="1"/>
  <c r="AK16" i="1" s="1"/>
  <c r="AJ16" i="1" a="1"/>
  <c r="AJ16" i="1" s="1"/>
  <c r="AO16" i="1" s="1"/>
  <c r="AI16" i="1" a="1"/>
  <c r="AI16" i="1" s="1"/>
  <c r="AN16" i="1" s="1"/>
  <c r="AK15" i="1" a="1"/>
  <c r="AK15" i="1" s="1"/>
  <c r="AJ15" i="1" a="1"/>
  <c r="AJ15" i="1" s="1"/>
  <c r="AO15" i="1" s="1"/>
  <c r="AI15" i="1" a="1"/>
  <c r="AI15" i="1" s="1"/>
  <c r="AN15" i="1" s="1"/>
  <c r="AK14" i="1" a="1"/>
  <c r="AK14" i="1" s="1"/>
  <c r="AJ14" i="1" a="1"/>
  <c r="AJ14" i="1" s="1"/>
  <c r="AO14" i="1" s="1"/>
  <c r="AI14" i="1" a="1"/>
  <c r="AI14" i="1" s="1"/>
  <c r="AN14" i="1" s="1"/>
  <c r="AK13" i="1" a="1"/>
  <c r="AK13" i="1" s="1"/>
  <c r="AJ13" i="1" a="1"/>
  <c r="AJ13" i="1" s="1"/>
  <c r="AO13" i="1" s="1"/>
  <c r="AI13" i="1" a="1"/>
  <c r="AI13" i="1" s="1"/>
  <c r="AN13" i="1" s="1"/>
  <c r="AK12" i="1" a="1"/>
  <c r="AK12" i="1" s="1"/>
  <c r="AJ12" i="1" a="1"/>
  <c r="AJ12" i="1" s="1"/>
  <c r="AO12" i="1" s="1"/>
  <c r="AI12" i="1" a="1"/>
  <c r="AI12" i="1" s="1"/>
  <c r="AN12" i="1" s="1"/>
  <c r="AK11" i="1" a="1"/>
  <c r="AK11" i="1" s="1"/>
  <c r="AJ11" i="1" a="1"/>
  <c r="AJ11" i="1" s="1"/>
  <c r="AO11" i="1" s="1"/>
  <c r="AI11" i="1" a="1"/>
  <c r="AI11" i="1" s="1"/>
  <c r="AN11" i="1" s="1"/>
  <c r="AK10" i="1" a="1"/>
  <c r="AK10" i="1" s="1"/>
  <c r="AJ10" i="1" a="1"/>
  <c r="AJ10" i="1" s="1"/>
  <c r="AO10" i="1" s="1"/>
  <c r="AI10" i="1" a="1"/>
  <c r="AI10" i="1" s="1"/>
  <c r="AN10" i="1" s="1"/>
  <c r="AK9" i="1" a="1"/>
  <c r="AK9" i="1" s="1"/>
  <c r="AJ9" i="1" a="1"/>
  <c r="AJ9" i="1" s="1"/>
  <c r="AO9" i="1" s="1"/>
  <c r="AI9" i="1" a="1"/>
  <c r="AI9" i="1" s="1"/>
  <c r="AN9" i="1" s="1"/>
  <c r="AK8" i="1" a="1"/>
  <c r="AK8" i="1" s="1"/>
  <c r="AJ8" i="1" a="1"/>
  <c r="AJ8" i="1" s="1"/>
  <c r="AO8" i="1" s="1"/>
  <c r="AI8" i="1" a="1"/>
  <c r="AI8" i="1" s="1"/>
  <c r="AN8" i="1" s="1"/>
  <c r="AK7" i="1" a="1"/>
  <c r="AK7" i="1" s="1"/>
  <c r="AJ7" i="1" a="1"/>
  <c r="AJ7" i="1" s="1"/>
  <c r="AO7" i="1" s="1"/>
  <c r="AI7" i="1" a="1"/>
  <c r="AI7" i="1" s="1"/>
  <c r="AN7" i="1" s="1"/>
  <c r="AK6" i="1" a="1"/>
  <c r="AK6" i="1" s="1"/>
  <c r="AJ6" i="1" a="1"/>
  <c r="AJ6" i="1" s="1"/>
  <c r="AO6" i="1" s="1"/>
  <c r="AI6" i="1" a="1"/>
  <c r="AI6" i="1" s="1"/>
  <c r="AN6" i="1" s="1"/>
  <c r="AK5" i="1" a="1"/>
  <c r="AK5" i="1" s="1"/>
  <c r="AJ5" i="1" a="1"/>
  <c r="AJ5" i="1" s="1"/>
  <c r="AO5" i="1" s="1"/>
  <c r="AI5" i="1" a="1"/>
  <c r="AI5" i="1" s="1"/>
  <c r="AN5" i="1" s="1"/>
  <c r="AK4" i="1" a="1"/>
  <c r="AK4" i="1" s="1"/>
  <c r="AJ4" i="1" a="1"/>
  <c r="AJ4" i="1" s="1"/>
  <c r="AO4" i="1" s="1"/>
  <c r="AI4" i="1" a="1"/>
  <c r="AI4" i="1" s="1"/>
  <c r="AN4" i="1" s="1"/>
  <c r="AP3" i="1"/>
  <c r="AK3" i="1" a="1"/>
  <c r="AK3" i="1" s="1"/>
  <c r="AJ3" i="1" a="1"/>
  <c r="AJ3" i="1" s="1"/>
  <c r="AO3" i="1" s="1"/>
  <c r="AI3" i="1" a="1"/>
  <c r="AI3" i="1" s="1"/>
  <c r="AN3" i="1" s="1"/>
  <c r="AF3" i="1"/>
  <c r="A2" i="1"/>
  <c r="V2" i="1" l="1"/>
  <c r="AL6" i="1" s="1"/>
  <c r="AM6" i="1" s="1"/>
  <c r="AL9" i="1"/>
  <c r="AM9" i="1" s="1"/>
  <c r="AL4" i="1"/>
  <c r="AM4" i="1" s="1"/>
  <c r="AL5" i="1"/>
  <c r="AM5" i="1" s="1"/>
  <c r="AL8" i="1"/>
  <c r="AM8" i="1" s="1"/>
  <c r="AL7" i="1"/>
  <c r="AM7" i="1" s="1"/>
  <c r="AL3" i="1"/>
  <c r="AM3" i="1" s="1"/>
  <c r="AL12" i="1"/>
  <c r="AM12" i="1" s="1"/>
  <c r="AL17" i="1"/>
  <c r="AM17" i="1" s="1"/>
  <c r="AL13" i="1"/>
  <c r="AM13" i="1" s="1"/>
  <c r="AL15" i="1"/>
  <c r="AM15" i="1" s="1"/>
  <c r="AL16" i="1"/>
  <c r="AM16" i="1" s="1"/>
  <c r="AM11" i="1"/>
  <c r="BF25" i="1"/>
  <c r="BM25" i="1" s="1"/>
  <c r="CJ25" i="1"/>
  <c r="CE25" i="1"/>
  <c r="BI23" i="1"/>
  <c r="BI26" i="1"/>
  <c r="BI29" i="1"/>
  <c r="BI32" i="1"/>
  <c r="BK60" i="1"/>
  <c r="BK27" i="1"/>
  <c r="BJ24" i="1"/>
  <c r="BH53" i="1"/>
  <c r="BD48" i="1"/>
  <c r="BK41" i="1"/>
  <c r="BJ48" i="1"/>
  <c r="AQ52" i="1"/>
  <c r="BC37" i="1"/>
  <c r="BJ52" i="1"/>
  <c r="CF33" i="1"/>
  <c r="BD23" i="1"/>
  <c r="BD28" i="1"/>
  <c r="CF30" i="1"/>
  <c r="CF36" i="1"/>
  <c r="BF37" i="1"/>
  <c r="BM37" i="1" s="1"/>
  <c r="BH27" i="1"/>
  <c r="BE41" i="1"/>
  <c r="BL41" i="1" s="1"/>
  <c r="BI42" i="1"/>
  <c r="BH43" i="1"/>
  <c r="BD46" i="1"/>
  <c r="BD52" i="1"/>
  <c r="CI35" i="1"/>
  <c r="CE35" i="1"/>
  <c r="CK36" i="1"/>
  <c r="BC31" i="1"/>
  <c r="CD31" i="1"/>
  <c r="CD35" i="1"/>
  <c r="BC28" i="1"/>
  <c r="CE28" i="1"/>
  <c r="CK29" i="1"/>
  <c r="CC30" i="1"/>
  <c r="CI32" i="1"/>
  <c r="CE32" i="1"/>
  <c r="CI33" i="1"/>
  <c r="BK42" i="1"/>
  <c r="BE45" i="1"/>
  <c r="BL45" i="1" s="1"/>
  <c r="BK53" i="1"/>
  <c r="BJ54" i="1"/>
  <c r="CF23" i="1"/>
  <c r="BH47" i="1"/>
  <c r="CJ23" i="1"/>
  <c r="BK23" i="1"/>
  <c r="BD24" i="1"/>
  <c r="CD32" i="1"/>
  <c r="CD36" i="1"/>
  <c r="CC37" i="1"/>
  <c r="BH42" i="1"/>
  <c r="BH55" i="1"/>
  <c r="BD30" i="1"/>
  <c r="BD36" i="1"/>
  <c r="AQ60" i="1"/>
  <c r="BE60" i="1"/>
  <c r="BL60" i="1" s="1"/>
  <c r="AQ22" i="1"/>
  <c r="BS22" i="1" s="1"/>
  <c r="BC22" i="1"/>
  <c r="CI22" i="1"/>
  <c r="AQ23" i="1"/>
  <c r="BS23" i="1" s="1"/>
  <c r="CE24" i="1"/>
  <c r="CC27" i="1"/>
  <c r="BJ32" i="1"/>
  <c r="CJ33" i="1"/>
  <c r="CJ28" i="1"/>
  <c r="BE27" i="1"/>
  <c r="BL27" i="1" s="1"/>
  <c r="CF31" i="1"/>
  <c r="BG32" i="1"/>
  <c r="BG37" i="1"/>
  <c r="BE52" i="1"/>
  <c r="BL52" i="1" s="1"/>
  <c r="BI55" i="1"/>
  <c r="AM14" i="1"/>
  <c r="BJ25" i="1"/>
  <c r="CD26" i="1"/>
  <c r="CI28" i="1"/>
  <c r="BI28" i="1"/>
  <c r="CJ29" i="1"/>
  <c r="CJ31" i="1"/>
  <c r="CE33" i="1"/>
  <c r="BI34" i="1"/>
  <c r="BI35" i="1"/>
  <c r="CI37" i="1"/>
  <c r="BD41" i="1"/>
  <c r="BH45" i="1"/>
  <c r="BF46" i="1"/>
  <c r="BM46" i="1" s="1"/>
  <c r="AQ48" i="1"/>
  <c r="BE48" i="1"/>
  <c r="BL48" i="1" s="1"/>
  <c r="BF52" i="1"/>
  <c r="BM52" i="1" s="1"/>
  <c r="BK55" i="1"/>
  <c r="BK25" i="1"/>
  <c r="BD26" i="1"/>
  <c r="BD29" i="1"/>
  <c r="CK31" i="1"/>
  <c r="BK31" i="1"/>
  <c r="BD33" i="1"/>
  <c r="AQ35" i="1"/>
  <c r="BS35" i="1" s="1"/>
  <c r="CJ36" i="1"/>
  <c r="BF42" i="1"/>
  <c r="BM42" i="1" s="1"/>
  <c r="BI43" i="1"/>
  <c r="BH59" i="1"/>
  <c r="BD22" i="1"/>
  <c r="CI24" i="1"/>
  <c r="CH27" i="1"/>
  <c r="CF27" i="1"/>
  <c r="BD44" i="1"/>
  <c r="BF48" i="1"/>
  <c r="BM48" i="1" s="1"/>
  <c r="AQ54" i="1"/>
  <c r="BJ22" i="1"/>
  <c r="BJ23" i="1"/>
  <c r="CC23" i="1"/>
  <c r="BD25" i="1"/>
  <c r="BF28" i="1"/>
  <c r="BM28" i="1" s="1"/>
  <c r="CJ30" i="1"/>
  <c r="BG31" i="1"/>
  <c r="BJ34" i="1"/>
  <c r="BJ35" i="1"/>
  <c r="CF35" i="1"/>
  <c r="CC36" i="1"/>
  <c r="BK43" i="1"/>
  <c r="BF44" i="1"/>
  <c r="BM44" i="1" s="1"/>
  <c r="BD54" i="1"/>
  <c r="BE55" i="1"/>
  <c r="BL55" i="1" s="1"/>
  <c r="AN22" i="1"/>
  <c r="BP22" i="1" s="1"/>
  <c r="BH22" i="1"/>
  <c r="CH28" i="1"/>
  <c r="CG29" i="1"/>
  <c r="CC31" i="1"/>
  <c r="CH32" i="1"/>
  <c r="AN34" i="1"/>
  <c r="BP34" i="1" s="1"/>
  <c r="CH35" i="1"/>
  <c r="BJ37" i="1"/>
  <c r="BJ42" i="1"/>
  <c r="BG45" i="1"/>
  <c r="BJ60" i="1"/>
  <c r="BU22" i="1"/>
  <c r="CG26" i="1"/>
  <c r="AN30" i="1"/>
  <c r="BP30" i="1" s="1"/>
  <c r="BC32" i="1"/>
  <c r="CG34" i="1"/>
  <c r="AN36" i="1"/>
  <c r="BP36" i="1" s="1"/>
  <c r="AN52" i="1"/>
  <c r="CC22" i="1"/>
  <c r="CF24" i="1"/>
  <c r="AQ25" i="1"/>
  <c r="BS25" i="1" s="1"/>
  <c r="BG27" i="1"/>
  <c r="BJ28" i="1"/>
  <c r="BF31" i="1"/>
  <c r="BM31" i="1" s="1"/>
  <c r="AN32" i="1"/>
  <c r="BP32" i="1" s="1"/>
  <c r="AQ32" i="1"/>
  <c r="BS32" i="1" s="1"/>
  <c r="BE35" i="1"/>
  <c r="BL35" i="1" s="1"/>
  <c r="BJ46" i="1"/>
  <c r="AN48" i="1"/>
  <c r="AN55" i="1"/>
  <c r="AN23" i="1"/>
  <c r="BC23" i="1"/>
  <c r="BH24" i="1"/>
  <c r="CC24" i="1"/>
  <c r="BC25" i="1"/>
  <c r="CJ32" i="1"/>
  <c r="BF34" i="1"/>
  <c r="BM34" i="1" s="1"/>
  <c r="AN37" i="1"/>
  <c r="BP37" i="1" s="1"/>
  <c r="BH37" i="1"/>
  <c r="BJ44" i="1"/>
  <c r="BF22" i="1"/>
  <c r="BM22" i="1" s="1"/>
  <c r="BG28" i="1"/>
  <c r="CH29" i="1"/>
  <c r="BH30" i="1"/>
  <c r="CE36" i="1"/>
  <c r="BC41" i="1"/>
  <c r="CI25" i="1"/>
  <c r="CK25" i="1"/>
  <c r="CK22" i="1"/>
  <c r="CK23" i="1"/>
  <c r="BF23" i="1"/>
  <c r="BM23" i="1" s="1"/>
  <c r="AN25" i="1"/>
  <c r="BP25" i="1" s="1"/>
  <c r="BK28" i="1"/>
  <c r="BF29" i="1"/>
  <c r="BM29" i="1" s="1"/>
  <c r="BK30" i="1"/>
  <c r="AN33" i="1"/>
  <c r="BP33" i="1" s="1"/>
  <c r="BG33" i="1"/>
  <c r="BK37" i="1"/>
  <c r="BI41" i="1"/>
  <c r="AN43" i="1"/>
  <c r="AQ43" i="1"/>
  <c r="BE43" i="1"/>
  <c r="BL43" i="1" s="1"/>
  <c r="BI45" i="1"/>
  <c r="BI47" i="1"/>
  <c r="BG53" i="1"/>
  <c r="AN54" i="1"/>
  <c r="BE54" i="1"/>
  <c r="BL54" i="1" s="1"/>
  <c r="BE22" i="1"/>
  <c r="BL22" i="1" s="1"/>
  <c r="CF22" i="1"/>
  <c r="BI24" i="1"/>
  <c r="CF25" i="1"/>
  <c r="BE26" i="1"/>
  <c r="BL26" i="1" s="1"/>
  <c r="BD27" i="1"/>
  <c r="BK29" i="1"/>
  <c r="CF29" i="1"/>
  <c r="BI30" i="1"/>
  <c r="AN31" i="1"/>
  <c r="BP31" i="1" s="1"/>
  <c r="AQ31" i="1"/>
  <c r="BS31" i="1" s="1"/>
  <c r="BE31" i="1"/>
  <c r="BL31" i="1" s="1"/>
  <c r="CG32" i="1"/>
  <c r="BK34" i="1"/>
  <c r="AQ37" i="1"/>
  <c r="BS37" i="1" s="1"/>
  <c r="AQ42" i="1"/>
  <c r="AQ44" i="1"/>
  <c r="BE44" i="1"/>
  <c r="BL44" i="1" s="1"/>
  <c r="BK45" i="1"/>
  <c r="AN46" i="1"/>
  <c r="AQ46" i="1"/>
  <c r="BE46" i="1"/>
  <c r="BL46" i="1" s="1"/>
  <c r="BK47" i="1"/>
  <c r="BF54" i="1"/>
  <c r="BM54" i="1" s="1"/>
  <c r="AN59" i="1"/>
  <c r="BE59" i="1"/>
  <c r="BL59" i="1" s="1"/>
  <c r="AN24" i="1"/>
  <c r="BP24" i="1" s="1"/>
  <c r="CD25" i="1"/>
  <c r="CK26" i="1"/>
  <c r="BG26" i="1"/>
  <c r="BI27" i="1"/>
  <c r="BE30" i="1"/>
  <c r="BL30" i="1" s="1"/>
  <c r="BK33" i="1"/>
  <c r="CD37" i="1"/>
  <c r="BI59" i="1"/>
  <c r="BE25" i="1"/>
  <c r="BL25" i="1" s="1"/>
  <c r="AN26" i="1"/>
  <c r="BP26" i="1" s="1"/>
  <c r="BK26" i="1"/>
  <c r="AQ28" i="1"/>
  <c r="BS28" i="1" s="1"/>
  <c r="AN29" i="1"/>
  <c r="BP29" i="1" s="1"/>
  <c r="CD29" i="1"/>
  <c r="AN35" i="1"/>
  <c r="BP35" i="1" s="1"/>
  <c r="CE37" i="1"/>
  <c r="AN53" i="1"/>
  <c r="BE53" i="1"/>
  <c r="BL53" i="1" s="1"/>
  <c r="AN60" i="1"/>
  <c r="BK22" i="1"/>
  <c r="CD23" i="1"/>
  <c r="AN27" i="1"/>
  <c r="BP27" i="1" s="1"/>
  <c r="AN28" i="1"/>
  <c r="BP28" i="1" s="1"/>
  <c r="BG30" i="1"/>
  <c r="BK32" i="1"/>
  <c r="CF32" i="1"/>
  <c r="CD34" i="1"/>
  <c r="BK36" i="1"/>
  <c r="AQ41" i="1"/>
  <c r="BD42" i="1"/>
  <c r="AN45" i="1"/>
  <c r="AQ45" i="1"/>
  <c r="AN47" i="1"/>
  <c r="BE47" i="1"/>
  <c r="BL47" i="1" s="1"/>
  <c r="BI53" i="1"/>
  <c r="BK59" i="1"/>
  <c r="BD60" i="1"/>
  <c r="CD22" i="1"/>
  <c r="CJ22" i="1"/>
  <c r="CH23" i="1"/>
  <c r="CE23" i="1"/>
  <c r="AQ24" i="1"/>
  <c r="BS24" i="1" s="1"/>
  <c r="BC24" i="1"/>
  <c r="CJ24" i="1"/>
  <c r="CF26" i="1"/>
  <c r="CC26" i="1"/>
  <c r="CF28" i="1"/>
  <c r="BU34" i="1"/>
  <c r="AQ34" i="1"/>
  <c r="BS34" i="1" s="1"/>
  <c r="BG34" i="1"/>
  <c r="BC34" i="1"/>
  <c r="BH34" i="1"/>
  <c r="BE34" i="1"/>
  <c r="BL34" i="1" s="1"/>
  <c r="BC42" i="1"/>
  <c r="BG42" i="1"/>
  <c r="BE42" i="1"/>
  <c r="BL42" i="1" s="1"/>
  <c r="CE22" i="1"/>
  <c r="CK24" i="1"/>
  <c r="CK28" i="1"/>
  <c r="CD28" i="1"/>
  <c r="AQ29" i="1"/>
  <c r="BS29" i="1" s="1"/>
  <c r="BU29" i="1"/>
  <c r="BC29" i="1"/>
  <c r="BH29" i="1"/>
  <c r="BG29" i="1"/>
  <c r="CD30" i="1"/>
  <c r="CI30" i="1"/>
  <c r="BK46" i="1"/>
  <c r="BI46" i="1"/>
  <c r="BF47" i="1"/>
  <c r="BM47" i="1" s="1"/>
  <c r="BJ47" i="1"/>
  <c r="BG47" i="1"/>
  <c r="BG22" i="1"/>
  <c r="BE23" i="1"/>
  <c r="BL23" i="1" s="1"/>
  <c r="CG23" i="1"/>
  <c r="BE24" i="1"/>
  <c r="BL24" i="1" s="1"/>
  <c r="BF24" i="1"/>
  <c r="BM24" i="1" s="1"/>
  <c r="BG25" i="1"/>
  <c r="BH25" i="1"/>
  <c r="CC25" i="1"/>
  <c r="CG25" i="1"/>
  <c r="CH25" i="1"/>
  <c r="AQ26" i="1"/>
  <c r="BS26" i="1" s="1"/>
  <c r="BC26" i="1"/>
  <c r="BH26" i="1"/>
  <c r="BU26" i="1"/>
  <c r="CG27" i="1"/>
  <c r="CG33" i="1"/>
  <c r="CC33" i="1"/>
  <c r="CH33" i="1"/>
  <c r="BD35" i="1"/>
  <c r="BK35" i="1"/>
  <c r="AF4" i="1"/>
  <c r="CG22" i="1"/>
  <c r="BU23" i="1"/>
  <c r="CI23" i="1"/>
  <c r="BG24" i="1"/>
  <c r="BI25" i="1"/>
  <c r="CD27" i="1"/>
  <c r="CI27" i="1"/>
  <c r="BW30" i="1"/>
  <c r="AQ30" i="1"/>
  <c r="BS30" i="1" s="1"/>
  <c r="BJ30" i="1"/>
  <c r="BC30" i="1"/>
  <c r="BF30" i="1"/>
  <c r="BM30" i="1" s="1"/>
  <c r="CK30" i="1"/>
  <c r="CC34" i="1"/>
  <c r="CH34" i="1"/>
  <c r="CE34" i="1"/>
  <c r="AQ36" i="1"/>
  <c r="BS36" i="1" s="1"/>
  <c r="BW36" i="1"/>
  <c r="BC36" i="1"/>
  <c r="BF36" i="1"/>
  <c r="BM36" i="1" s="1"/>
  <c r="BJ36" i="1"/>
  <c r="BI22" i="1"/>
  <c r="CH22" i="1"/>
  <c r="BG23" i="1"/>
  <c r="CG24" i="1"/>
  <c r="BF26" i="1"/>
  <c r="BM26" i="1" s="1"/>
  <c r="BJ26" i="1"/>
  <c r="CH26" i="1"/>
  <c r="CJ26" i="1"/>
  <c r="CJ27" i="1"/>
  <c r="BD31" i="1"/>
  <c r="BI31" i="1"/>
  <c r="BF59" i="1"/>
  <c r="BM59" i="1" s="1"/>
  <c r="BJ59" i="1"/>
  <c r="BG59" i="1"/>
  <c r="BH23" i="1"/>
  <c r="BK24" i="1"/>
  <c r="CD24" i="1"/>
  <c r="CH24" i="1"/>
  <c r="CI26" i="1"/>
  <c r="BW27" i="1"/>
  <c r="AQ27" i="1"/>
  <c r="BS27" i="1" s="1"/>
  <c r="BJ27" i="1"/>
  <c r="BC27" i="1"/>
  <c r="BF27" i="1"/>
  <c r="BM27" i="1" s="1"/>
  <c r="CK27" i="1"/>
  <c r="BE29" i="1"/>
  <c r="BL29" i="1" s="1"/>
  <c r="BH32" i="1"/>
  <c r="BI33" i="1"/>
  <c r="CE27" i="1"/>
  <c r="BH28" i="1"/>
  <c r="CG28" i="1"/>
  <c r="BJ29" i="1"/>
  <c r="CC29" i="1"/>
  <c r="CI29" i="1"/>
  <c r="CG30" i="1"/>
  <c r="CE30" i="1"/>
  <c r="BU31" i="1"/>
  <c r="AQ33" i="1"/>
  <c r="BC33" i="1"/>
  <c r="BJ33" i="1"/>
  <c r="CD33" i="1"/>
  <c r="CK33" i="1"/>
  <c r="BF35" i="1"/>
  <c r="BM35" i="1" s="1"/>
  <c r="CC35" i="1"/>
  <c r="BI36" i="1"/>
  <c r="AN41" i="1"/>
  <c r="BH41" i="1"/>
  <c r="AN42" i="1"/>
  <c r="BK54" i="1"/>
  <c r="BI54" i="1"/>
  <c r="BF55" i="1"/>
  <c r="BM55" i="1" s="1"/>
  <c r="BJ55" i="1"/>
  <c r="CE26" i="1"/>
  <c r="CC28" i="1"/>
  <c r="CE29" i="1"/>
  <c r="CH30" i="1"/>
  <c r="BJ31" i="1"/>
  <c r="BH31" i="1"/>
  <c r="CE31" i="1"/>
  <c r="BD32" i="1"/>
  <c r="BH33" i="1"/>
  <c r="BE33" i="1"/>
  <c r="BL33" i="1" s="1"/>
  <c r="BD34" i="1"/>
  <c r="CI34" i="1"/>
  <c r="CG35" i="1"/>
  <c r="BD37" i="1"/>
  <c r="BI37" i="1"/>
  <c r="CG37" i="1"/>
  <c r="BF41" i="1"/>
  <c r="BM41" i="1" s="1"/>
  <c r="BJ41" i="1"/>
  <c r="AQ53" i="1"/>
  <c r="BG55" i="1"/>
  <c r="BE28" i="1"/>
  <c r="BL28" i="1" s="1"/>
  <c r="BE32" i="1"/>
  <c r="BL32" i="1" s="1"/>
  <c r="BF33" i="1"/>
  <c r="BM33" i="1" s="1"/>
  <c r="CF34" i="1"/>
  <c r="CJ34" i="1"/>
  <c r="CH37" i="1"/>
  <c r="BF43" i="1"/>
  <c r="BM43" i="1" s="1"/>
  <c r="BJ43" i="1"/>
  <c r="BK48" i="1"/>
  <c r="BI48" i="1"/>
  <c r="CI31" i="1"/>
  <c r="CG31" i="1"/>
  <c r="CK32" i="1"/>
  <c r="CK34" i="1"/>
  <c r="BC35" i="1"/>
  <c r="BG35" i="1"/>
  <c r="BH35" i="1"/>
  <c r="BU35" i="1"/>
  <c r="CJ35" i="1"/>
  <c r="CH36" i="1"/>
  <c r="CG36" i="1"/>
  <c r="CK37" i="1"/>
  <c r="BK52" i="1"/>
  <c r="BI52" i="1"/>
  <c r="BF53" i="1"/>
  <c r="BM53" i="1" s="1"/>
  <c r="BJ53" i="1"/>
  <c r="AQ55" i="1"/>
  <c r="CH31" i="1"/>
  <c r="BF32" i="1"/>
  <c r="BM32" i="1" s="1"/>
  <c r="CC32" i="1"/>
  <c r="CK35" i="1"/>
  <c r="BE36" i="1"/>
  <c r="BL36" i="1" s="1"/>
  <c r="BG36" i="1"/>
  <c r="CI36" i="1"/>
  <c r="CF37" i="1"/>
  <c r="CJ37" i="1"/>
  <c r="BG41" i="1"/>
  <c r="BG43" i="1"/>
  <c r="AN44" i="1"/>
  <c r="BK44" i="1"/>
  <c r="BI44" i="1"/>
  <c r="BF45" i="1"/>
  <c r="BM45" i="1" s="1"/>
  <c r="BJ45" i="1"/>
  <c r="AQ47" i="1"/>
  <c r="AQ59" i="1"/>
  <c r="BH36" i="1"/>
  <c r="BC43" i="1"/>
  <c r="BC45" i="1"/>
  <c r="BC47" i="1"/>
  <c r="BC53" i="1"/>
  <c r="BC55" i="1"/>
  <c r="BC59" i="1"/>
  <c r="BF60" i="1"/>
  <c r="BM60" i="1" s="1"/>
  <c r="BE37" i="1"/>
  <c r="BL37" i="1" s="1"/>
  <c r="BD43" i="1"/>
  <c r="BG44" i="1"/>
  <c r="BD45" i="1"/>
  <c r="BG46" i="1"/>
  <c r="BD47" i="1"/>
  <c r="BG48" i="1"/>
  <c r="BG52" i="1"/>
  <c r="BD53" i="1"/>
  <c r="BG54" i="1"/>
  <c r="BD55" i="1"/>
  <c r="BD59" i="1"/>
  <c r="BG60" i="1"/>
  <c r="BH44" i="1"/>
  <c r="BH46" i="1"/>
  <c r="BH48" i="1"/>
  <c r="BH52" i="1"/>
  <c r="BH54" i="1"/>
  <c r="BH60" i="1"/>
  <c r="BC44" i="1"/>
  <c r="BC46" i="1"/>
  <c r="BC48" i="1"/>
  <c r="BC52" i="1"/>
  <c r="BC54" i="1"/>
  <c r="BC60" i="1"/>
  <c r="BI60" i="1"/>
  <c r="AL10" i="1" l="1"/>
  <c r="AM10" i="1" s="1"/>
  <c r="AF6" i="1"/>
  <c r="AF5" i="1"/>
  <c r="CM30" i="1"/>
  <c r="CM27" i="1"/>
  <c r="AR52" i="1"/>
  <c r="CL33" i="1"/>
  <c r="CL28" i="1"/>
  <c r="CM31" i="1"/>
  <c r="AR55" i="1"/>
  <c r="CM34" i="1"/>
  <c r="AR60" i="1"/>
  <c r="CL31" i="1"/>
  <c r="CM33" i="1"/>
  <c r="CL32" i="1"/>
  <c r="CM25" i="1"/>
  <c r="AR23" i="1"/>
  <c r="BT23" i="1" s="1"/>
  <c r="CM22" i="1"/>
  <c r="AR42" i="1"/>
  <c r="BP23" i="1"/>
  <c r="CM23" i="1" s="1"/>
  <c r="AR30" i="1"/>
  <c r="BT30" i="1" s="1"/>
  <c r="AR53" i="1"/>
  <c r="CM37" i="1"/>
  <c r="AR22" i="1"/>
  <c r="BT22" i="1" s="1"/>
  <c r="CL34" i="1"/>
  <c r="CL24" i="1"/>
  <c r="CM35" i="1"/>
  <c r="CM29" i="1"/>
  <c r="AR54" i="1"/>
  <c r="AR44" i="1"/>
  <c r="CL35" i="1"/>
  <c r="AR25" i="1"/>
  <c r="BT25" i="1" s="1"/>
  <c r="AR47" i="1"/>
  <c r="AR48" i="1"/>
  <c r="AR43" i="1"/>
  <c r="AR59" i="1"/>
  <c r="AR45" i="1"/>
  <c r="CL37" i="1"/>
  <c r="AR35" i="1"/>
  <c r="BT35" i="1" s="1"/>
  <c r="CL36" i="1"/>
  <c r="CL29" i="1"/>
  <c r="AR32" i="1"/>
  <c r="BT32" i="1" s="1"/>
  <c r="CM26" i="1"/>
  <c r="CL25" i="1"/>
  <c r="AR24" i="1"/>
  <c r="BT24" i="1" s="1"/>
  <c r="AR37" i="1"/>
  <c r="BT37" i="1" s="1"/>
  <c r="CL26" i="1"/>
  <c r="CL27" i="1"/>
  <c r="AR28" i="1"/>
  <c r="BT28" i="1" s="1"/>
  <c r="AR41" i="1"/>
  <c r="AR31" i="1"/>
  <c r="BT31" i="1" s="1"/>
  <c r="AR46" i="1"/>
  <c r="CM32" i="1"/>
  <c r="AR27" i="1"/>
  <c r="BT27" i="1" s="1"/>
  <c r="AR26" i="1"/>
  <c r="BT26" i="1" s="1"/>
  <c r="AR29" i="1"/>
  <c r="BT29" i="1" s="1"/>
  <c r="CM28" i="1"/>
  <c r="CM24" i="1"/>
  <c r="AR34" i="1"/>
  <c r="BT34" i="1" s="1"/>
  <c r="CL30" i="1"/>
  <c r="AR36" i="1"/>
  <c r="BT36" i="1" s="1"/>
  <c r="CM36" i="1"/>
  <c r="BS33" i="1"/>
  <c r="AR33" i="1"/>
  <c r="BT33" i="1" s="1"/>
  <c r="CL22" i="1"/>
  <c r="AF7" i="1" l="1"/>
  <c r="CL23" i="1"/>
</calcChain>
</file>

<file path=xl/sharedStrings.xml><?xml version="1.0" encoding="utf-8"?>
<sst xmlns="http://schemas.openxmlformats.org/spreadsheetml/2006/main" count="442" uniqueCount="180">
  <si>
    <t>DATE</t>
  </si>
  <si>
    <t>CONF</t>
  </si>
  <si>
    <t>ROUNDNUM</t>
  </si>
  <si>
    <t>SERIESCODE</t>
  </si>
  <si>
    <t>GAMENUM</t>
  </si>
  <si>
    <t>TOPSEED</t>
  </si>
  <si>
    <t>LOWSEED</t>
  </si>
  <si>
    <t>TOPSEEDWINS</t>
  </si>
  <si>
    <t>LOWSEEDWINS</t>
  </si>
  <si>
    <t>AWAYTEAM</t>
  </si>
  <si>
    <t>HOMETEAM</t>
  </si>
  <si>
    <t>MYCHOICE</t>
  </si>
  <si>
    <t>LOCKEDIN</t>
  </si>
  <si>
    <t>OTROUNDNUM</t>
  </si>
  <si>
    <t>CORRECT</t>
  </si>
  <si>
    <t>WINNER</t>
  </si>
  <si>
    <t>EAST</t>
  </si>
  <si>
    <t>ER1M2M3</t>
  </si>
  <si>
    <t>CAR</t>
  </si>
  <si>
    <t>TopSeed</t>
  </si>
  <si>
    <t>LowSeed</t>
  </si>
  <si>
    <t>GP In Series</t>
  </si>
  <si>
    <t>Guessed Right</t>
  </si>
  <si>
    <t>Pct Right</t>
  </si>
  <si>
    <t>TopSeedGoals</t>
  </si>
  <si>
    <t>LowSeedGoals</t>
  </si>
  <si>
    <t>HomeGoals</t>
  </si>
  <si>
    <t>AwayGoals</t>
  </si>
  <si>
    <t>HomeWins</t>
  </si>
  <si>
    <t>AwayWins</t>
  </si>
  <si>
    <t>Num Ots</t>
  </si>
  <si>
    <t>ER1A2A3</t>
  </si>
  <si>
    <t>Max Possible Games R1</t>
  </si>
  <si>
    <t>ER1A1WC1</t>
  </si>
  <si>
    <t>TBL</t>
  </si>
  <si>
    <t>Min Possible Games R1</t>
  </si>
  <si>
    <t>ER1M1WC2</t>
  </si>
  <si>
    <t>Games Completed</t>
  </si>
  <si>
    <t>WEST</t>
  </si>
  <si>
    <t>WR1C2C3</t>
  </si>
  <si>
    <t>COL</t>
  </si>
  <si>
    <t>Games Correct</t>
  </si>
  <si>
    <t>WR1P1WC1</t>
  </si>
  <si>
    <t>Percent Correct</t>
  </si>
  <si>
    <t>WR1P2P3</t>
  </si>
  <si>
    <t>WR1C1WC2</t>
  </si>
  <si>
    <t>DAL</t>
  </si>
  <si>
    <t>VGK</t>
  </si>
  <si>
    <t>EDM</t>
  </si>
  <si>
    <t>LAK</t>
  </si>
  <si>
    <t>ER2M1M2</t>
  </si>
  <si>
    <t>ER2A1A2</t>
  </si>
  <si>
    <t>WR2C1C2</t>
  </si>
  <si>
    <t>WR2P1P2</t>
  </si>
  <si>
    <t>ER3AM</t>
  </si>
  <si>
    <t>WR3PC</t>
  </si>
  <si>
    <t>SCF</t>
  </si>
  <si>
    <t>GP R1</t>
  </si>
  <si>
    <t>GP R2</t>
  </si>
  <si>
    <t>GP R3</t>
  </si>
  <si>
    <t>GP R4</t>
  </si>
  <si>
    <t>GP TOT</t>
  </si>
  <si>
    <t>GP H</t>
  </si>
  <si>
    <t>GP A</t>
  </si>
  <si>
    <t>W TOT</t>
  </si>
  <si>
    <t>L TOT</t>
  </si>
  <si>
    <t>W H</t>
  </si>
  <si>
    <t>L H</t>
  </si>
  <si>
    <t>W A</t>
  </si>
  <si>
    <t>L A</t>
  </si>
  <si>
    <t>GP R1 H</t>
  </si>
  <si>
    <t>GP R1 A</t>
  </si>
  <si>
    <t>GF R1 H</t>
  </si>
  <si>
    <t>GF R1 A</t>
  </si>
  <si>
    <t>GA R1 H</t>
  </si>
  <si>
    <t>GA R1 A</t>
  </si>
  <si>
    <t>DIFF R1 H</t>
  </si>
  <si>
    <t>DIFF R1 A</t>
  </si>
  <si>
    <t>GF R1 T</t>
  </si>
  <si>
    <t>GA R1 T</t>
  </si>
  <si>
    <t>DIFF R1 T</t>
  </si>
  <si>
    <t>GFPG R1 H</t>
  </si>
  <si>
    <t>GFPG R1 A</t>
  </si>
  <si>
    <t>GAPG R1 H</t>
  </si>
  <si>
    <t>GAPG R1 A</t>
  </si>
  <si>
    <t>GFPG R1</t>
  </si>
  <si>
    <t>GAPG R1</t>
  </si>
  <si>
    <t>Team</t>
  </si>
  <si>
    <t>GF H</t>
  </si>
  <si>
    <t>GF A</t>
  </si>
  <si>
    <t>GA H</t>
  </si>
  <si>
    <t>GA A</t>
  </si>
  <si>
    <t>DIFF H</t>
  </si>
  <si>
    <t>DIFF A</t>
  </si>
  <si>
    <t>GF T</t>
  </si>
  <si>
    <t>GA T</t>
  </si>
  <si>
    <t>DIFF T</t>
  </si>
  <si>
    <t>GFPG H</t>
  </si>
  <si>
    <t>GFPG A</t>
  </si>
  <si>
    <t>GAPG H</t>
  </si>
  <si>
    <t>GAPG A</t>
  </si>
  <si>
    <t xml:space="preserve">GFPG </t>
  </si>
  <si>
    <t xml:space="preserve">GAPG </t>
  </si>
  <si>
    <t>GP R2 H</t>
  </si>
  <si>
    <t>GP R2 A</t>
  </si>
  <si>
    <t>GF R2 H</t>
  </si>
  <si>
    <t>GF R2 A</t>
  </si>
  <si>
    <t>GA R2 H</t>
  </si>
  <si>
    <t>GA R2 A</t>
  </si>
  <si>
    <t>DIFF R2 H</t>
  </si>
  <si>
    <t>DIFF R2 A</t>
  </si>
  <si>
    <t>GF R2 T</t>
  </si>
  <si>
    <t>GA R2 T</t>
  </si>
  <si>
    <t>DIFF R2 T</t>
  </si>
  <si>
    <t>GFPG R2 H</t>
  </si>
  <si>
    <t>GFPG R2 A</t>
  </si>
  <si>
    <t>GAPG R2 H</t>
  </si>
  <si>
    <t>GAPG R2 A</t>
  </si>
  <si>
    <t>GFPG R2</t>
  </si>
  <si>
    <t>GAPG R2</t>
  </si>
  <si>
    <t>GP R3 H</t>
  </si>
  <si>
    <t>GP R3 A</t>
  </si>
  <si>
    <t>GF R3 H</t>
  </si>
  <si>
    <t>GF R3 A</t>
  </si>
  <si>
    <t>GA R3 H</t>
  </si>
  <si>
    <t>GA R3 A</t>
  </si>
  <si>
    <t>DIFF R3 H</t>
  </si>
  <si>
    <t>DIFF R3 A</t>
  </si>
  <si>
    <t>GF R3 T</t>
  </si>
  <si>
    <t>GA R3 T</t>
  </si>
  <si>
    <t>DIFF R3 T</t>
  </si>
  <si>
    <t>GFPG R3 H</t>
  </si>
  <si>
    <t>GFPG R3 A</t>
  </si>
  <si>
    <t>GAPG R3 H</t>
  </si>
  <si>
    <t>GAPG R3 A</t>
  </si>
  <si>
    <t>GFPG R3</t>
  </si>
  <si>
    <t>GAPG R3</t>
  </si>
  <si>
    <t>GP R4 H</t>
  </si>
  <si>
    <t>GP R4 A</t>
  </si>
  <si>
    <t>GF R4 H</t>
  </si>
  <si>
    <t>GF R4 A</t>
  </si>
  <si>
    <t>GA R4 H</t>
  </si>
  <si>
    <t>GA R4 A</t>
  </si>
  <si>
    <t>DIFF R4 H</t>
  </si>
  <si>
    <t>DIFF R4 A</t>
  </si>
  <si>
    <t>GF R4 T</t>
  </si>
  <si>
    <t>GA R4 T</t>
  </si>
  <si>
    <t>DIFF R4 T</t>
  </si>
  <si>
    <t>GFPG R4 H</t>
  </si>
  <si>
    <t>GFPG R4 A</t>
  </si>
  <si>
    <t>GAPG R4 H</t>
  </si>
  <si>
    <t>GAPG R4 A</t>
  </si>
  <si>
    <t>GFPG R4</t>
  </si>
  <si>
    <t>GAPG R4</t>
  </si>
  <si>
    <t>OT1</t>
  </si>
  <si>
    <t>REG</t>
  </si>
  <si>
    <t>OTT</t>
  </si>
  <si>
    <t>MIN</t>
  </si>
  <si>
    <t>MTL</t>
  </si>
  <si>
    <t>PHOMESCORE</t>
  </si>
  <si>
    <t>PAWAYSCORE</t>
  </si>
  <si>
    <t>Notes</t>
  </si>
  <si>
    <t>WEEKDATE</t>
  </si>
  <si>
    <t>TIME</t>
  </si>
  <si>
    <t>Column1</t>
  </si>
  <si>
    <t>PResult</t>
  </si>
  <si>
    <t>AAWAYSCORE</t>
  </si>
  <si>
    <t>AHOMESCORE</t>
  </si>
  <si>
    <t>Column2</t>
  </si>
  <si>
    <t>GameOver</t>
  </si>
  <si>
    <t>PIT</t>
  </si>
  <si>
    <t>PHI</t>
  </si>
  <si>
    <t>BUF</t>
  </si>
  <si>
    <t>BOS</t>
  </si>
  <si>
    <t>UTA</t>
  </si>
  <si>
    <t>ANA</t>
  </si>
  <si>
    <t>4 straight 3rd period goals by the sabers to win in regulation</t>
  </si>
  <si>
    <t>Salfkovsky hat-trick</t>
  </si>
  <si>
    <t>Stars lose another game 1</t>
  </si>
  <si>
    <t>Utah's Durzi fined for a headbut to VGK's Rasmus Anderson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</si>
</sst>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F0EBD2"/>
      <name val="Calibri"/>
      <family val="2"/>
      <scheme val="minor"/>
    </font>
    <font>
      <b/>
      <sz val="11"/>
      <color rgb="FFFFB81C"/>
      <name val="Calibri"/>
      <family val="2"/>
      <scheme val="minor"/>
    </font>
    <font>
      <b/>
      <sz val="11"/>
      <color rgb="FF222222"/>
      <name val="Calibri"/>
      <family val="2"/>
      <scheme val="minor"/>
    </font>
    <font>
      <b/>
      <sz val="11"/>
      <color rgb="FFFF4F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C8102E"/>
        <bgColor indexed="64"/>
      </patternFill>
    </fill>
    <fill>
      <patternFill patternType="solid">
        <fgColor rgb="FF006847"/>
        <bgColor indexed="64"/>
      </patternFill>
    </fill>
    <fill>
      <patternFill patternType="solid">
        <fgColor rgb="FF154734"/>
        <bgColor indexed="64"/>
      </patternFill>
    </fill>
    <fill>
      <patternFill patternType="solid">
        <fgColor rgb="FFFCB514"/>
        <bgColor indexed="64"/>
      </patternFill>
    </fill>
    <fill>
      <patternFill patternType="solid">
        <fgColor rgb="FFF74902"/>
        <bgColor indexed="64"/>
      </patternFill>
    </fill>
    <fill>
      <patternFill patternType="solid">
        <fgColor rgb="FF041E42"/>
        <bgColor indexed="64"/>
      </patternFill>
    </fill>
    <fill>
      <patternFill patternType="solid">
        <fgColor rgb="FFAF1E2D"/>
        <bgColor indexed="64"/>
      </patternFill>
    </fill>
    <fill>
      <patternFill patternType="solid">
        <fgColor rgb="FF00539B"/>
        <bgColor indexed="64"/>
      </patternFill>
    </fill>
    <fill>
      <patternFill patternType="solid">
        <fgColor rgb="FF6F263D"/>
        <bgColor indexed="64"/>
      </patternFill>
    </fill>
    <fill>
      <patternFill patternType="solid">
        <fgColor rgb="FFB9975B"/>
        <bgColor indexed="64"/>
      </patternFill>
    </fill>
    <fill>
      <patternFill patternType="solid">
        <fgColor rgb="FF11111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2654"/>
        <bgColor indexed="64"/>
      </patternFill>
    </fill>
    <fill>
      <patternFill patternType="solid">
        <fgColor rgb="FFFFB81C"/>
        <bgColor indexed="64"/>
      </patternFill>
    </fill>
    <fill>
      <patternFill patternType="solid">
        <fgColor rgb="FF714C9F"/>
        <bgColor indexed="64"/>
      </patternFill>
    </fill>
    <fill>
      <patternFill patternType="solid">
        <fgColor rgb="FFFC4C0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C8C8C8"/>
      </left>
      <right/>
      <top style="thin">
        <color rgb="FFC8C8C8"/>
      </top>
      <bottom style="thin">
        <color rgb="FFC8C8C8"/>
      </bottom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C8C8C8"/>
      </left>
      <right/>
      <top/>
      <bottom/>
      <diagonal/>
    </border>
    <border>
      <left style="thin">
        <color rgb="FFC8C8C8"/>
      </left>
      <right/>
      <top style="thin">
        <color rgb="FFC8C8C8"/>
      </top>
      <bottom/>
      <diagonal/>
    </border>
    <border>
      <left style="thin">
        <color rgb="FF231F20"/>
      </left>
      <right/>
      <top style="thin">
        <color rgb="FF231F20"/>
      </top>
      <bottom/>
      <diagonal/>
    </border>
    <border>
      <left style="thin">
        <color rgb="FFC69214"/>
      </left>
      <right/>
      <top style="thin">
        <color rgb="FFC69214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/>
      <diagonal/>
    </border>
    <border>
      <left style="thin">
        <color rgb="FF8A8D8F"/>
      </left>
      <right/>
      <top style="thin">
        <color rgb="FF8A8D8F"/>
      </top>
      <bottom/>
      <diagonal/>
    </border>
    <border>
      <left style="thin">
        <color rgb="FFA6192E"/>
      </left>
      <right/>
      <top style="thin">
        <color rgb="FFA6192E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192168"/>
      </left>
      <right/>
      <top style="thin">
        <color rgb="FF192168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B81C"/>
      </left>
      <right/>
      <top style="thin">
        <color rgb="FFFFB81C"/>
      </top>
      <bottom/>
      <diagonal/>
    </border>
    <border>
      <left style="thin">
        <color rgb="FF236192"/>
      </left>
      <right/>
      <top style="thin">
        <color rgb="FF236192"/>
      </top>
      <bottom/>
      <diagonal/>
    </border>
    <border>
      <left style="thin">
        <color rgb="FF236192"/>
      </left>
      <right/>
      <top style="thin">
        <color rgb="FF236192"/>
      </top>
      <bottom style="thin">
        <color rgb="FF236192"/>
      </bottom>
      <diagonal/>
    </border>
    <border>
      <left style="thin">
        <color rgb="FF333F48"/>
      </left>
      <right/>
      <top style="thin">
        <color rgb="FF333F48"/>
      </top>
      <bottom/>
      <diagonal/>
    </border>
    <border>
      <left style="thin">
        <color rgb="FFA2AAAD"/>
      </left>
      <right/>
      <top style="thin">
        <color rgb="FFA2AAAD"/>
      </top>
      <bottom/>
      <diagonal/>
    </border>
    <border>
      <left style="thin">
        <color rgb="FFA2AAAD"/>
      </left>
      <right/>
      <top style="thin">
        <color rgb="FFA2AAAD"/>
      </top>
      <bottom style="thin">
        <color rgb="FFA2AAAD"/>
      </bottom>
      <diagonal/>
    </border>
    <border>
      <left style="thin">
        <color rgb="FFFF4F00"/>
      </left>
      <right/>
      <top style="thin">
        <color rgb="FFFF4F00"/>
      </top>
      <bottom/>
      <diagonal/>
    </border>
    <border>
      <left/>
      <right/>
      <top style="thin">
        <color rgb="FFC8C8C8"/>
      </top>
      <bottom/>
      <diagonal/>
    </border>
    <border>
      <left style="thin">
        <color rgb="FFC8C8C8"/>
      </left>
      <right style="thin">
        <color rgb="FFC8C8C8"/>
      </right>
      <top/>
      <bottom/>
      <diagonal/>
    </border>
    <border>
      <left style="thin">
        <color rgb="FF111111"/>
      </left>
      <right/>
      <top style="thin">
        <color rgb="FF111111"/>
      </top>
      <bottom/>
      <diagonal/>
    </border>
    <border>
      <left style="thin">
        <color rgb="FF585858"/>
      </left>
      <right/>
      <top style="thin">
        <color rgb="FF585858"/>
      </top>
      <bottom/>
      <diagonal/>
    </border>
    <border>
      <left style="thin">
        <color rgb="FF585858"/>
      </left>
      <right/>
      <top style="thin">
        <color rgb="FF585858"/>
      </top>
      <bottom style="thin">
        <color rgb="FF585858"/>
      </bottom>
      <diagonal/>
    </border>
    <border>
      <left style="thin">
        <color rgb="FFC8C8C8"/>
      </left>
      <right/>
      <top/>
      <bottom style="thin">
        <color rgb="FFC8C8C8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1" fontId="0" fillId="0" borderId="1" xfId="0" applyNumberFormat="1" applyBorder="1"/>
    <xf numFmtId="0" fontId="0" fillId="0" borderId="0" xfId="0" applyAlignment="1">
      <alignment horizontal="right"/>
    </xf>
    <xf numFmtId="1" fontId="0" fillId="0" borderId="0" xfId="0" applyNumberFormat="1"/>
    <xf numFmtId="0" fontId="0" fillId="0" borderId="2" xfId="0" applyBorder="1"/>
    <xf numFmtId="0" fontId="0" fillId="0" borderId="0" xfId="0" applyAlignment="1">
      <alignment textRotation="90"/>
    </xf>
    <xf numFmtId="0" fontId="3" fillId="2" borderId="6" xfId="0" applyFont="1" applyFill="1" applyBorder="1" applyAlignment="1">
      <alignment horizontal="center" textRotation="90"/>
    </xf>
    <xf numFmtId="0" fontId="3" fillId="2" borderId="6" xfId="0" applyFont="1" applyFill="1" applyBorder="1" applyAlignment="1">
      <alignment textRotation="90"/>
    </xf>
    <xf numFmtId="0" fontId="3" fillId="2" borderId="6" xfId="0" applyFont="1" applyFill="1" applyBorder="1" applyAlignment="1">
      <alignment horizontal="left" textRotation="90"/>
    </xf>
    <xf numFmtId="0" fontId="3" fillId="2" borderId="6" xfId="0" applyFont="1" applyFill="1" applyBorder="1"/>
    <xf numFmtId="0" fontId="3" fillId="2" borderId="3" xfId="0" applyFont="1" applyFill="1" applyBorder="1"/>
    <xf numFmtId="0" fontId="3" fillId="2" borderId="4" xfId="0" applyFont="1" applyFill="1" applyBorder="1"/>
    <xf numFmtId="14" fontId="3" fillId="2" borderId="6" xfId="0" applyNumberFormat="1" applyFont="1" applyFill="1" applyBorder="1" applyAlignment="1">
      <alignment horizontal="center"/>
    </xf>
    <xf numFmtId="14" fontId="3" fillId="2" borderId="3" xfId="0" applyNumberFormat="1" applyFont="1" applyFill="1" applyBorder="1" applyAlignment="1">
      <alignment horizontal="center"/>
    </xf>
    <xf numFmtId="1" fontId="3" fillId="2" borderId="6" xfId="0" applyNumberFormat="1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5" fillId="4" borderId="8" xfId="0" applyFont="1" applyFill="1" applyBorder="1" applyAlignment="1">
      <alignment horizontal="center"/>
    </xf>
    <xf numFmtId="49" fontId="3" fillId="2" borderId="6" xfId="0" applyNumberFormat="1" applyFont="1" applyFill="1" applyBorder="1" applyAlignment="1">
      <alignment horizontal="center"/>
    </xf>
    <xf numFmtId="49" fontId="3" fillId="2" borderId="3" xfId="0" applyNumberFormat="1" applyFont="1" applyFill="1" applyBorder="1" applyAlignment="1">
      <alignment horizontal="center"/>
    </xf>
    <xf numFmtId="0" fontId="3" fillId="2" borderId="9" xfId="0" applyFont="1" applyFill="1" applyBorder="1" applyAlignment="1">
      <alignment textRotation="90"/>
    </xf>
    <xf numFmtId="0" fontId="3" fillId="2" borderId="0" xfId="0" applyFont="1" applyFill="1" applyBorder="1"/>
    <xf numFmtId="0" fontId="5" fillId="5" borderId="10" xfId="0" applyFont="1" applyFill="1" applyBorder="1" applyAlignment="1">
      <alignment horizontal="center"/>
    </xf>
    <xf numFmtId="0" fontId="6" fillId="6" borderId="1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right"/>
    </xf>
    <xf numFmtId="0" fontId="3" fillId="2" borderId="3" xfId="0" applyFont="1" applyFill="1" applyBorder="1" applyAlignment="1">
      <alignment horizontal="right"/>
    </xf>
    <xf numFmtId="0" fontId="3" fillId="2" borderId="9" xfId="0" applyFont="1" applyFill="1" applyBorder="1"/>
    <xf numFmtId="0" fontId="4" fillId="7" borderId="12" xfId="0" applyFont="1" applyFill="1" applyBorder="1" applyAlignment="1">
      <alignment horizontal="center"/>
    </xf>
    <xf numFmtId="0" fontId="4" fillId="8" borderId="12" xfId="0" applyFont="1" applyFill="1" applyBorder="1" applyAlignment="1">
      <alignment horizontal="center"/>
    </xf>
    <xf numFmtId="1" fontId="3" fillId="2" borderId="9" xfId="0" applyNumberFormat="1" applyFont="1" applyFill="1" applyBorder="1" applyAlignment="1">
      <alignment horizontal="center"/>
    </xf>
    <xf numFmtId="1" fontId="4" fillId="7" borderId="12" xfId="0" applyNumberFormat="1" applyFont="1" applyFill="1" applyBorder="1"/>
    <xf numFmtId="1" fontId="4" fillId="8" borderId="12" xfId="0" applyNumberFormat="1" applyFont="1" applyFill="1" applyBorder="1"/>
    <xf numFmtId="0" fontId="3" fillId="2" borderId="5" xfId="0" applyFont="1" applyFill="1" applyBorder="1"/>
    <xf numFmtId="1" fontId="5" fillId="3" borderId="7" xfId="0" applyNumberFormat="1" applyFont="1" applyFill="1" applyBorder="1"/>
    <xf numFmtId="1" fontId="5" fillId="4" borderId="8" xfId="0" applyNumberFormat="1" applyFont="1" applyFill="1" applyBorder="1"/>
    <xf numFmtId="49" fontId="3" fillId="2" borderId="5" xfId="0" applyNumberFormat="1" applyFont="1" applyFill="1" applyBorder="1" applyAlignment="1">
      <alignment horizontal="center"/>
    </xf>
    <xf numFmtId="1" fontId="5" fillId="5" borderId="10" xfId="0" applyNumberFormat="1" applyFont="1" applyFill="1" applyBorder="1"/>
    <xf numFmtId="1" fontId="6" fillId="6" borderId="11" xfId="0" applyNumberFormat="1" applyFont="1" applyFill="1" applyBorder="1"/>
    <xf numFmtId="0" fontId="3" fillId="2" borderId="6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10" borderId="13" xfId="0" applyFont="1" applyFill="1" applyBorder="1"/>
    <xf numFmtId="0" fontId="5" fillId="3" borderId="7" xfId="0" applyFont="1" applyFill="1" applyBorder="1"/>
    <xf numFmtId="0" fontId="5" fillId="4" borderId="8" xfId="0" applyFont="1" applyFill="1" applyBorder="1"/>
    <xf numFmtId="0" fontId="5" fillId="11" borderId="14" xfId="0" applyFont="1" applyFill="1" applyBorder="1"/>
    <xf numFmtId="0" fontId="5" fillId="5" borderId="10" xfId="0" applyFont="1" applyFill="1" applyBorder="1"/>
    <xf numFmtId="0" fontId="5" fillId="12" borderId="16" xfId="0" applyFont="1" applyFill="1" applyBorder="1"/>
    <xf numFmtId="0" fontId="8" fillId="13" borderId="18" xfId="0" applyFont="1" applyFill="1" applyBorder="1"/>
    <xf numFmtId="0" fontId="6" fillId="6" borderId="11" xfId="0" applyFont="1" applyFill="1" applyBorder="1"/>
    <xf numFmtId="0" fontId="5" fillId="14" borderId="19" xfId="0" applyFont="1" applyFill="1" applyBorder="1"/>
    <xf numFmtId="0" fontId="9" fillId="9" borderId="21" xfId="0" applyFont="1" applyFill="1" applyBorder="1"/>
    <xf numFmtId="1" fontId="3" fillId="2" borderId="5" xfId="0" applyNumberFormat="1" applyFont="1" applyFill="1" applyBorder="1"/>
    <xf numFmtId="1" fontId="2" fillId="0" borderId="0" xfId="0" applyNumberFormat="1" applyFont="1" applyFill="1" applyBorder="1"/>
    <xf numFmtId="164" fontId="2" fillId="0" borderId="0" xfId="0" applyNumberFormat="1" applyFont="1" applyFill="1" applyBorder="1"/>
    <xf numFmtId="0" fontId="2" fillId="0" borderId="0" xfId="0" applyFont="1" applyFill="1" applyBorder="1"/>
    <xf numFmtId="14" fontId="3" fillId="2" borderId="5" xfId="0" applyNumberFormat="1" applyFont="1" applyFill="1" applyBorder="1" applyAlignment="1">
      <alignment horizontal="center"/>
    </xf>
    <xf numFmtId="14" fontId="2" fillId="0" borderId="0" xfId="0" applyNumberFormat="1" applyFont="1" applyFill="1" applyBorder="1" applyAlignment="1">
      <alignment horizontal="center"/>
    </xf>
    <xf numFmtId="20" fontId="2" fillId="0" borderId="0" xfId="0" applyNumberFormat="1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" fontId="2" fillId="0" borderId="0" xfId="0" applyNumberFormat="1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22" xfId="0" applyFont="1" applyFill="1" applyBorder="1"/>
    <xf numFmtId="49" fontId="2" fillId="0" borderId="0" xfId="0" applyNumberFormat="1" applyFont="1" applyFill="1" applyBorder="1" applyAlignment="1">
      <alignment horizontal="center"/>
    </xf>
    <xf numFmtId="0" fontId="9" fillId="9" borderId="21" xfId="0" applyFont="1" applyFill="1" applyBorder="1" applyAlignment="1">
      <alignment horizontal="center"/>
    </xf>
    <xf numFmtId="0" fontId="3" fillId="15" borderId="6" xfId="0" applyFont="1" applyFill="1" applyBorder="1" applyAlignment="1">
      <alignment textRotation="90"/>
    </xf>
    <xf numFmtId="0" fontId="3" fillId="15" borderId="6" xfId="0" applyFont="1" applyFill="1" applyBorder="1" applyAlignment="1">
      <alignment horizontal="center" textRotation="90"/>
    </xf>
    <xf numFmtId="1" fontId="3" fillId="15" borderId="6" xfId="0" applyNumberFormat="1" applyFont="1" applyFill="1" applyBorder="1" applyAlignment="1">
      <alignment horizontal="center" textRotation="90"/>
    </xf>
    <xf numFmtId="49" fontId="3" fillId="15" borderId="6" xfId="0" applyNumberFormat="1" applyFont="1" applyFill="1" applyBorder="1" applyAlignment="1">
      <alignment horizontal="center" textRotation="90"/>
    </xf>
    <xf numFmtId="0" fontId="5" fillId="12" borderId="16" xfId="0" applyFont="1" applyFill="1" applyBorder="1" applyAlignment="1">
      <alignment horizontal="center"/>
    </xf>
    <xf numFmtId="0" fontId="7" fillId="16" borderId="15" xfId="0" applyFont="1" applyFill="1" applyBorder="1" applyAlignment="1">
      <alignment horizontal="center"/>
    </xf>
    <xf numFmtId="0" fontId="5" fillId="14" borderId="19" xfId="0" applyFont="1" applyFill="1" applyBorder="1" applyAlignment="1">
      <alignment horizontal="center"/>
    </xf>
    <xf numFmtId="0" fontId="4" fillId="17" borderId="24" xfId="0" applyFont="1" applyFill="1" applyBorder="1" applyAlignment="1">
      <alignment horizontal="center"/>
    </xf>
    <xf numFmtId="0" fontId="2" fillId="0" borderId="0" xfId="0" applyNumberFormat="1" applyFont="1" applyFill="1" applyBorder="1" applyAlignment="1">
      <alignment horizontal="center"/>
    </xf>
    <xf numFmtId="0" fontId="3" fillId="2" borderId="23" xfId="0" applyFont="1" applyFill="1" applyBorder="1"/>
    <xf numFmtId="0" fontId="5" fillId="11" borderId="14" xfId="0" applyFont="1" applyFill="1" applyBorder="1" applyAlignment="1">
      <alignment horizontal="center"/>
    </xf>
    <xf numFmtId="1" fontId="7" fillId="16" borderId="15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1" fontId="4" fillId="17" borderId="24" xfId="0" applyNumberFormat="1" applyFont="1" applyFill="1" applyBorder="1" applyAlignment="1">
      <alignment horizontal="center"/>
    </xf>
    <xf numFmtId="1" fontId="8" fillId="13" borderId="18" xfId="0" applyNumberFormat="1" applyFont="1" applyFill="1" applyBorder="1" applyAlignment="1">
      <alignment horizontal="center"/>
    </xf>
    <xf numFmtId="1" fontId="5" fillId="18" borderId="25" xfId="0" applyNumberFormat="1" applyFont="1" applyFill="1" applyBorder="1" applyAlignment="1">
      <alignment horizontal="center"/>
    </xf>
    <xf numFmtId="0" fontId="5" fillId="18" borderId="25" xfId="0" applyFont="1" applyFill="1" applyBorder="1" applyAlignment="1">
      <alignment horizontal="center"/>
    </xf>
    <xf numFmtId="0" fontId="8" fillId="13" borderId="18" xfId="0" applyFont="1" applyFill="1" applyBorder="1" applyAlignment="1">
      <alignment horizontal="center"/>
    </xf>
    <xf numFmtId="1" fontId="9" fillId="9" borderId="21" xfId="0" applyNumberFormat="1" applyFont="1" applyFill="1" applyBorder="1" applyAlignment="1">
      <alignment horizontal="center"/>
    </xf>
    <xf numFmtId="1" fontId="5" fillId="19" borderId="12" xfId="0" applyNumberFormat="1" applyFont="1" applyFill="1" applyBorder="1" applyAlignment="1">
      <alignment horizontal="center"/>
    </xf>
    <xf numFmtId="0" fontId="5" fillId="19" borderId="12" xfId="0" applyFont="1" applyFill="1" applyBorder="1" applyAlignment="1">
      <alignment horizontal="center"/>
    </xf>
    <xf numFmtId="0" fontId="4" fillId="7" borderId="12" xfId="0" applyFont="1" applyFill="1" applyBorder="1"/>
    <xf numFmtId="0" fontId="4" fillId="8" borderId="12" xfId="0" applyFont="1" applyFill="1" applyBorder="1"/>
    <xf numFmtId="1" fontId="5" fillId="3" borderId="7" xfId="0" applyNumberFormat="1" applyFont="1" applyFill="1" applyBorder="1" applyAlignment="1">
      <alignment horizontal="center"/>
    </xf>
    <xf numFmtId="1" fontId="5" fillId="4" borderId="8" xfId="0" applyNumberFormat="1" applyFont="1" applyFill="1" applyBorder="1" applyAlignment="1">
      <alignment horizontal="center"/>
    </xf>
    <xf numFmtId="1" fontId="4" fillId="8" borderId="12" xfId="0" applyNumberFormat="1" applyFont="1" applyFill="1" applyBorder="1" applyAlignment="1">
      <alignment horizontal="center"/>
    </xf>
    <xf numFmtId="1" fontId="4" fillId="7" borderId="12" xfId="0" applyNumberFormat="1" applyFont="1" applyFill="1" applyBorder="1" applyAlignment="1">
      <alignment horizontal="center"/>
    </xf>
    <xf numFmtId="1" fontId="5" fillId="5" borderId="10" xfId="0" applyNumberFormat="1" applyFont="1" applyFill="1" applyBorder="1" applyAlignment="1">
      <alignment horizontal="center"/>
    </xf>
    <xf numFmtId="1" fontId="6" fillId="6" borderId="11" xfId="0" applyNumberFormat="1" applyFont="1" applyFill="1" applyBorder="1" applyAlignment="1">
      <alignment horizontal="center"/>
    </xf>
    <xf numFmtId="1" fontId="5" fillId="11" borderId="14" xfId="0" applyNumberFormat="1" applyFont="1" applyFill="1" applyBorder="1" applyAlignment="1">
      <alignment horizontal="center"/>
    </xf>
    <xf numFmtId="1" fontId="5" fillId="10" borderId="13" xfId="0" applyNumberFormat="1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horizontal="center"/>
    </xf>
    <xf numFmtId="1" fontId="5" fillId="14" borderId="19" xfId="0" applyNumberFormat="1" applyFont="1" applyFill="1" applyBorder="1" applyAlignment="1">
      <alignment horizontal="center"/>
    </xf>
    <xf numFmtId="1" fontId="3" fillId="2" borderId="0" xfId="0" applyNumberFormat="1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3" fillId="2" borderId="27" xfId="0" applyFont="1" applyFill="1" applyBorder="1"/>
    <xf numFmtId="1" fontId="2" fillId="0" borderId="0" xfId="0" applyNumberFormat="1" applyFont="1" applyFill="1" applyBorder="1" applyAlignment="1">
      <alignment horizontal="left"/>
    </xf>
    <xf numFmtId="1" fontId="7" fillId="16" borderId="15" xfId="0" applyNumberFormat="1" applyFont="1" applyFill="1" applyBorder="1"/>
    <xf numFmtId="1" fontId="4" fillId="17" borderId="24" xfId="0" applyNumberFormat="1" applyFont="1" applyFill="1" applyBorder="1"/>
    <xf numFmtId="1" fontId="5" fillId="11" borderId="14" xfId="0" applyNumberFormat="1" applyFont="1" applyFill="1" applyBorder="1"/>
    <xf numFmtId="1" fontId="5" fillId="10" borderId="13" xfId="0" applyNumberFormat="1" applyFont="1" applyFill="1" applyBorder="1"/>
    <xf numFmtId="1" fontId="8" fillId="13" borderId="18" xfId="0" applyNumberFormat="1" applyFont="1" applyFill="1" applyBorder="1"/>
    <xf numFmtId="1" fontId="5" fillId="18" borderId="25" xfId="0" applyNumberFormat="1" applyFont="1" applyFill="1" applyBorder="1"/>
    <xf numFmtId="1" fontId="9" fillId="9" borderId="21" xfId="0" applyNumberFormat="1" applyFont="1" applyFill="1" applyBorder="1"/>
    <xf numFmtId="1" fontId="5" fillId="19" borderId="12" xfId="0" applyNumberFormat="1" applyFont="1" applyFill="1" applyBorder="1"/>
    <xf numFmtId="1" fontId="5" fillId="12" borderId="17" xfId="0" applyNumberFormat="1" applyFont="1" applyFill="1" applyBorder="1"/>
    <xf numFmtId="1" fontId="5" fillId="14" borderId="20" xfId="0" applyNumberFormat="1" applyFont="1" applyFill="1" applyBorder="1"/>
    <xf numFmtId="0" fontId="2" fillId="0" borderId="0" xfId="0" applyFont="1" applyFill="1" applyBorder="1" applyAlignment="1">
      <alignment horizontal="left"/>
    </xf>
    <xf numFmtId="0" fontId="7" fillId="16" borderId="15" xfId="0" applyFont="1" applyFill="1" applyBorder="1"/>
    <xf numFmtId="0" fontId="4" fillId="17" borderId="24" xfId="0" applyFont="1" applyFill="1" applyBorder="1"/>
    <xf numFmtId="0" fontId="5" fillId="19" borderId="12" xfId="0" applyFont="1" applyFill="1" applyBorder="1"/>
    <xf numFmtId="0" fontId="5" fillId="18" borderId="26" xfId="0" applyFont="1" applyFill="1" applyBorder="1"/>
  </cellXfs>
  <cellStyles count="1">
    <cellStyle name="Normal" xfId="0" builtinId="0"/>
  </cellStyles>
  <dxfs count="17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 style="thin">
          <color rgb="FFC8C8C8"/>
        </right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rgb="FFC8C8C8"/>
        </top>
        <bottom/>
        <vertical/>
        <horizontal/>
      </border>
    </dxf>
    <dxf>
      <border outline="0">
        <left style="thin">
          <color rgb="FFC8C8C8"/>
        </left>
        <right style="thin">
          <color rgb="FFC8C8C8"/>
        </right>
        <top style="thin">
          <color rgb="FFC8C8C8"/>
        </top>
        <bottom style="thin">
          <color rgb="FFC8C8C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 style="thin">
          <color rgb="FFC8C8C8"/>
        </right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border outline="0">
        <right style="thin">
          <color rgb="FFC8C8C8"/>
        </right>
        <top style="thin">
          <color rgb="FFC8C8C8"/>
        </top>
        <bottom style="thin">
          <color rgb="FFC8C8C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 style="thin">
          <color rgb="FFC8C8C8"/>
        </right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border outline="0">
        <right style="thin">
          <color rgb="FFC8C8C8"/>
        </right>
        <top style="thin">
          <color rgb="FFC8C8C8"/>
        </top>
        <bottom style="thin">
          <color rgb="FFC8C8C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 style="thin">
          <color rgb="FFC8C8C8"/>
        </right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border outline="0">
        <right style="thin">
          <color rgb="FFC8C8C8"/>
        </right>
        <top style="thin">
          <color rgb="FFC8C8C8"/>
        </top>
        <bottom style="thin">
          <color rgb="FFC8C8C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" formatCode="0"/>
      <fill>
        <patternFill patternType="solid">
          <fgColor indexed="64"/>
          <bgColor rgb="FFF2F2F2"/>
        </patternFill>
      </fill>
      <border diagonalUp="0" diagonalDown="0" outline="0">
        <left style="thin">
          <color rgb="FFC8C8C8"/>
        </left>
        <right style="thin">
          <color rgb="FFC8C8C8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/>
        <top style="thin">
          <color rgb="FFC8C8C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C8C8C8"/>
        </left>
        <right style="thin">
          <color rgb="FFC8C8C8"/>
        </right>
        <top style="thin">
          <color rgb="FFC8C8C8"/>
        </top>
        <bottom/>
        <vertical/>
        <horizontal/>
      </border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F2F2F2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rgb="FFC8C8C8"/>
        </right>
        <top style="thin">
          <color rgb="FFC8C8C8"/>
        </top>
        <bottom/>
        <vertical/>
        <horizontal/>
      </border>
    </dxf>
    <dxf>
      <border outline="0">
        <left style="thin">
          <color rgb="FFC8C8C8"/>
        </left>
        <right style="thin">
          <color rgb="FFC8C8C8"/>
        </right>
        <top style="thin">
          <color rgb="FFC8C8C8"/>
        </top>
        <bottom style="thin">
          <color rgb="FFC8C8C8"/>
        </bottom>
      </border>
    </dxf>
    <dxf>
      <fill>
        <patternFill patternType="solid">
          <fgColor indexed="64"/>
          <bgColor theme="4" tint="-0.249977111117893"/>
        </patternFill>
      </fill>
      <alignment horizontal="center" vertical="bottom" textRotation="9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numFmt numFmtId="19" formatCode="yyyy/mm/dd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numFmt numFmtId="19" formatCode="yyyy/mm/dd"/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numFmt numFmtId="25" formatCode="h:mm"/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numFmt numFmtId="19" formatCode="yyyy/mm/dd"/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border>
        <bottom style="thin">
          <color indexed="64"/>
        </bottom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colors>
    <mruColors>
      <color rgb="FFFF0000"/>
      <color rgb="FFF8696B"/>
      <color rgb="FFD11515"/>
      <color rgb="FFA71111"/>
      <color rgb="FF3F6228"/>
      <color rgb="FF003DB8"/>
      <color rgb="FFFFF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3CA4EF-A189-4A56-BEED-A829B529A5E3}" name="Table1" displayName="Table1" ref="BO21:CM37" totalsRowShown="0">
  <autoFilter ref="BO21:CM37" xr:uid="{F13CA4EF-A189-4A56-BEED-A829B529A5E3}"/>
  <sortState xmlns:xlrd2="http://schemas.microsoft.com/office/spreadsheetml/2017/richdata2" ref="BO22:CM37">
    <sortCondition ref="CL21:CL37"/>
  </sortState>
  <tableColumns count="25">
    <tableColumn id="1" xr3:uid="{35E4500A-DA09-4BF2-A9DD-981973613A2E}" name="Team">
      <calculatedColumnFormula>AI22</calculatedColumnFormula>
    </tableColumn>
    <tableColumn id="2" xr3:uid="{A33C8BB1-51F1-4EE0-BAF3-79A0072A877D}" name="GP TOT" dataDxfId="169">
      <calculatedColumnFormula>AN22</calculatedColumnFormula>
    </tableColumn>
    <tableColumn id="3" xr3:uid="{B7BD47C3-C6CD-433B-8763-2E7BF28F91A9}" name="GP H" dataDxfId="168">
      <calculatedColumnFormula>AO22</calculatedColumnFormula>
    </tableColumn>
    <tableColumn id="4" xr3:uid="{A7C2CDB8-1006-4E42-85C9-739B917E0E3B}" name="GP A" dataDxfId="167">
      <calculatedColumnFormula>AP22</calculatedColumnFormula>
    </tableColumn>
    <tableColumn id="5" xr3:uid="{FBF9C9A1-A231-4AC5-98EC-8575F964E9E7}" name="W TOT" dataDxfId="166">
      <calculatedColumnFormula>AQ22</calculatedColumnFormula>
    </tableColumn>
    <tableColumn id="6" xr3:uid="{4F1AF376-3B42-4A7B-88AE-2AEB54C684FD}" name="L TOT" dataDxfId="165">
      <calculatedColumnFormula>AR22</calculatedColumnFormula>
    </tableColumn>
    <tableColumn id="7" xr3:uid="{CD4CF37C-B565-4072-A8DF-97ABD75AC2BE}" name="W H" dataDxfId="164">
      <calculatedColumnFormula>AS22</calculatedColumnFormula>
    </tableColumn>
    <tableColumn id="8" xr3:uid="{1F359623-5047-4AA5-8DFE-2A1235BD0244}" name="L H" dataDxfId="163">
      <calculatedColumnFormula>AT22</calculatedColumnFormula>
    </tableColumn>
    <tableColumn id="9" xr3:uid="{F8112AD4-AB28-4E89-97C1-D0AD9007C7A5}" name="W A" dataDxfId="162">
      <calculatedColumnFormula>AU22</calculatedColumnFormula>
    </tableColumn>
    <tableColumn id="10" xr3:uid="{E0BC1C3D-B833-4A33-A2F7-C67BE06DEDA1}" name="L A" dataDxfId="161">
      <calculatedColumnFormula>AV22</calculatedColumnFormula>
    </tableColumn>
    <tableColumn id="11" xr3:uid="{B9A986DF-FE9E-415D-924B-8EB61CBE5CC3}" name="GF H" dataDxfId="160">
      <calculatedColumnFormula>SUMIFS($T$2:$T$107,$M$2:$M$107,AI22,$E$2:$E$107,1)+SUMIFS($T$2:$T$107,$M$2:$M$107,AI22,$E$2:$E$107,2)+SUMIFS($T$2:$T$107,$M$2:$M$107,AI22,$E$2:$E$107,3)+SUMIFS($T$2:$T$107,$M$2:$M$107,AI22,$E$2:$E$107,4)</calculatedColumnFormula>
    </tableColumn>
    <tableColumn id="12" xr3:uid="{83BAED9D-BBE1-4C76-BBCA-313CCD921E11}" name="GF A" dataDxfId="159">
      <calculatedColumnFormula>SUMIFS($S$2:$S$107,$L$2:$L$107,AI22,$E$2:$E$107,1) + SUMIFS($S$2:$S$107,$L$2:$L$107,AI22,$E$2:$E$107,2)+SUMIFS($S$2:$S$107,$L$2:$L$107,AI22,$E$2:$E$107,3)+SUMIFS($S$2:$S$107,$L$2:$L$107,AI22,$E$2:$E$107,4)</calculatedColumnFormula>
    </tableColumn>
    <tableColumn id="13" xr3:uid="{9D239E38-642E-49BB-AFCC-7F4B50408CD9}" name="GA H" dataDxfId="158">
      <calculatedColumnFormula>SUMIFS($S$2:$S$107,$M$2:$M$107,AI22,$E$2:$E$107,1)+SUMIFS($S$2:$S$107,$M$2:$M$107,AI22,$E$2:$E$107,2)+SUMIFS($S$2:$S$107,$M$2:$M$107,AI22,$E$2:$E$107,3)+SUMIFS($S$2:$S$107,$M$2:$M$107,AI22,$E$2:$E$107,4)</calculatedColumnFormula>
    </tableColumn>
    <tableColumn id="14" xr3:uid="{C28D4692-8893-4399-B12F-0EFEC4ACE55F}" name="GA A" dataDxfId="157">
      <calculatedColumnFormula>SUMIFS($T$2:$T$107,$L$2:$L$107,AI22,$E$2:$E$107,1)+(SUMIFS($T$2:$T$107,$L$2:$L$107,AI22,$E$2:$E$107,2)+SUMIFS($T$2:$T$107,$L$2:$L$107,AI22,$E$2:$E$107,3)+SUMIFS($T$2:$T$107,$L$2:$L$107,AI22,$E$2:$E$107,4))</calculatedColumnFormula>
    </tableColumn>
    <tableColumn id="15" xr3:uid="{EFE9EFE5-C5A6-4D37-BAFD-4A00F7B02584}" name="DIFF H" dataDxfId="156">
      <calculatedColumnFormula>BY22-CA22</calculatedColumnFormula>
    </tableColumn>
    <tableColumn id="16" xr3:uid="{B9AF8DC9-F982-4D02-B43F-486449573036}" name="DIFF A" dataDxfId="155">
      <calculatedColumnFormula>BZ22-CB22</calculatedColumnFormula>
    </tableColumn>
    <tableColumn id="17" xr3:uid="{E94B86FE-AA74-466B-A7F6-2C43B9EEA68A}" name="GF T" dataDxfId="154">
      <calculatedColumnFormula>BY22+BZ22</calculatedColumnFormula>
    </tableColumn>
    <tableColumn id="18" xr3:uid="{437A09FB-7E7B-457E-AD72-B615E2FEC992}" name="GA T" dataDxfId="153">
      <calculatedColumnFormula>CA22+CB22</calculatedColumnFormula>
    </tableColumn>
    <tableColumn id="19" xr3:uid="{D83A9D62-4017-4FF7-BA18-93B627CB0BEF}" name="DIFF T" dataDxfId="152">
      <calculatedColumnFormula>(BY22+BZ22)-(CA22+CB22)</calculatedColumnFormula>
    </tableColumn>
    <tableColumn id="20" xr3:uid="{139C299F-4896-455D-A9B3-7CA4FF9ECE1D}" name="GFPG H" dataDxfId="151">
      <calculatedColumnFormula>BY22/BQ22</calculatedColumnFormula>
    </tableColumn>
    <tableColumn id="21" xr3:uid="{5ED7F4F1-4524-4204-90BC-07DFE35665ED}" name="GFPG A" dataDxfId="150">
      <calculatedColumnFormula>BZ22/BR22</calculatedColumnFormula>
    </tableColumn>
    <tableColumn id="22" xr3:uid="{3BAC0D7E-D609-46FC-BB96-6327BEC9045F}" name="GAPG H" dataDxfId="149">
      <calculatedColumnFormula>CA22/BQ22</calculatedColumnFormula>
    </tableColumn>
    <tableColumn id="23" xr3:uid="{894AF6A4-2FD4-468F-8740-6E39104F12C5}" name="GAPG A" dataDxfId="148">
      <calculatedColumnFormula>CB22/BR22</calculatedColumnFormula>
    </tableColumn>
    <tableColumn id="24" xr3:uid="{CFA1DE8E-0094-499E-B287-EEFFFC39239B}" name="GFPG " dataDxfId="147">
      <calculatedColumnFormula>CE22/BP22</calculatedColumnFormula>
    </tableColumn>
    <tableColumn id="25" xr3:uid="{5723B53A-51E1-40DB-A91D-49D133C87D25}" name="GAPG " dataDxfId="146">
      <calculatedColumnFormula>CF22/BP22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F60155-77BE-48E5-AA58-5D8F46940651}" name="Table2" displayName="Table2" ref="A1:AA38" totalsRowShown="0" headerRowDxfId="119" headerRowBorderDxfId="145">
  <autoFilter ref="A1:AA38" xr:uid="{CAF60155-77BE-48E5-AA58-5D8F46940651}"/>
  <tableColumns count="27">
    <tableColumn id="1" xr3:uid="{DDB71618-B495-4370-A2C8-F807AB26F35C}" name="WEEKDATE">
      <calculatedColumnFormula>TEXT($B2,"dddd")</calculatedColumnFormula>
    </tableColumn>
    <tableColumn id="2" xr3:uid="{D87BCC97-C12B-42BA-ACD3-847AD72294EC}" name="DATE" dataDxfId="144"/>
    <tableColumn id="3" xr3:uid="{6E19CA59-B6A3-4131-B285-CE1F7BAF3D31}" name="TIME" dataDxfId="143"/>
    <tableColumn id="4" xr3:uid="{02F4D888-3BD5-4016-BA9A-EC8A0CBEA44E}" name="CONF" dataDxfId="142"/>
    <tableColumn id="5" xr3:uid="{DEBF2CDE-9CD3-427B-90BB-33C4A230FDB2}" name="ROUNDNUM" dataDxfId="141"/>
    <tableColumn id="6" xr3:uid="{0B2FA3E5-A739-4507-920E-FD6BD73D06FC}" name="SERIESCODE" dataDxfId="140"/>
    <tableColumn id="7" xr3:uid="{E0FB355A-FF65-48EA-9A64-1208BDA18DEA}" name="GAMENUM" dataDxfId="139"/>
    <tableColumn id="8" xr3:uid="{48075340-6AD4-4735-8D81-DCE8BDEA7894}" name="TOPSEED" dataDxfId="138"/>
    <tableColumn id="9" xr3:uid="{47D97FCE-3C11-4B03-A932-BB3CCC5294A3}" name="LOWSEED" dataDxfId="137"/>
    <tableColumn id="10" xr3:uid="{2657E2A1-FA3E-4247-AB77-0882735B5D98}" name="TOPSEEDWINS" dataDxfId="136"/>
    <tableColumn id="11" xr3:uid="{F857D9CD-319A-4A1F-8A87-5B89AB0E3AE4}" name="LOWSEEDWINS" dataDxfId="135"/>
    <tableColumn id="12" xr3:uid="{F49B8205-50A8-4D22-BDFA-A8C59906257D}" name="AWAYTEAM" dataDxfId="134"/>
    <tableColumn id="13" xr3:uid="{10A989E8-E464-444A-B995-FE5CD8D50A3E}" name="HOMETEAM" dataDxfId="133"/>
    <tableColumn id="14" xr3:uid="{BEBB472F-C00C-43D1-BA57-177EECF3D1A4}" name="MYCHOICE" dataDxfId="132">
      <calculatedColumnFormula>IF(OR(ISBLANK(O2), ISBLANK($P2)), "", IF($O2&gt;$P2, $L2,$M2))</calculatedColumnFormula>
    </tableColumn>
    <tableColumn id="15" xr3:uid="{3265132F-9519-4D83-9071-5A806C9B66A7}" name="PAWAYSCORE" dataDxfId="131"/>
    <tableColumn id="16" xr3:uid="{61D192BF-2F44-45CA-B41E-2E154B58B73C}" name="PHOMESCORE" dataDxfId="130"/>
    <tableColumn id="17" xr3:uid="{4FBCD938-E47F-4A71-B757-19409794237B}" name="PResult" dataDxfId="129"/>
    <tableColumn id="18" xr3:uid="{910345CE-2F3B-453D-B129-551EEF8A2ED1}" name="LOCKEDIN" dataDxfId="128"/>
    <tableColumn id="19" xr3:uid="{B5B3650D-B08F-4959-92AE-19041FF77E90}" name="AAWAYSCORE" dataDxfId="127"/>
    <tableColumn id="20" xr3:uid="{335FAADC-EF48-4918-8FC4-59E64D4FF575}" name="AHOMESCORE" dataDxfId="126"/>
    <tableColumn id="21" xr3:uid="{D0C1DED2-3AB8-4A82-B413-410B2E943C31}" name="OTROUNDNUM" dataDxfId="125"/>
    <tableColumn id="22" xr3:uid="{13F2CA6A-0805-4608-99D8-D82B730F1411}" name="CORRECT" dataDxfId="124">
      <calculatedColumnFormula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calculatedColumnFormula>
    </tableColumn>
    <tableColumn id="23" xr3:uid="{C52B97FA-25BE-428D-BE11-A51A7A6F4023}" name="WINNER" dataDxfId="123">
      <calculatedColumnFormula>IF(OR(ISBLANK($S2), ISBLANK($T2), ISBLANK($U2)), "", IF(S2&gt;T2,L2,M2))</calculatedColumnFormula>
    </tableColumn>
    <tableColumn id="26" xr3:uid="{5D5BFFE0-4374-4A91-BEA2-4CDF401FCD34}" name="Column2" dataDxfId="122">
      <calculatedColumnFormula>IF(ISBLANK(Table2[[#This Row],[OTROUNDNUM]]), "", Table2[[#This Row],[PAWAYSCORE]]-Table2[[#This Row],[AAWAYSCORE]])</calculatedColumnFormula>
    </tableColumn>
    <tableColumn id="25" xr3:uid="{ACD0F41D-B80B-4A4E-9591-78757C8DFA9E}" name="Column1" dataDxfId="121">
      <calculatedColumnFormula>IF(ISBLANK(Table2[[#This Row],[OTROUNDNUM]]), "", Table2[[#This Row],[PHOMESCORE]]-Table2[[#This Row],[AHOMESCORE]])</calculatedColumnFormula>
    </tableColumn>
    <tableColumn id="27" xr3:uid="{41738826-E2E1-4FB3-9F83-D387B1662DD1}" name="GameOver" dataDxfId="120">
      <calculatedColumnFormula>IF(ISBLANK(Table2[[#This Row],[GAMENUM]]), " ", IF((Table2[[#This Row],[TOPSEEDWINS]]+Table2[[#This Row],[LOWSEEDWINS]]) &lt;&gt; Table2[[#This Row],[GAMENUM]], 0, 1))</calculatedColumnFormula>
    </tableColumn>
    <tableColumn id="24" xr3:uid="{4CBA132A-C7C7-46A0-A3B6-3B6E14F287C5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A506F8-102D-4009-9A44-0E34EE260A58}" name="Table3" displayName="Table3" ref="AH2:AT17" totalsRowShown="0" headerRowDxfId="105" dataDxfId="106" tableBorderDxfId="118">
  <autoFilter ref="AH2:AT17" xr:uid="{58A506F8-102D-4009-9A44-0E34EE260A58}"/>
  <tableColumns count="13">
    <tableColumn id="1" xr3:uid="{D468CCD5-D29D-4522-BA7A-316A768E65D3}" name="Column1" dataDxfId="117"/>
    <tableColumn id="2" xr3:uid="{B266CB34-73DB-41F5-B365-699ED3711C22}" name="TopSeed" dataDxfId="116">
      <calculatedColumnFormula array="1">INDEX(H:H, MATCH(2, 1/(F:F=AH3)))</calculatedColumnFormula>
    </tableColumn>
    <tableColumn id="3" xr3:uid="{666DD31C-47B9-45EC-B19F-C56369F42666}" name="LowSeed" dataDxfId="115">
      <calculatedColumnFormula array="1">INDEX(I:I, MATCH(2, 1/(F:F=AH3)))</calculatedColumnFormula>
    </tableColumn>
    <tableColumn id="4" xr3:uid="{77911862-4F73-46A2-9983-CC8F636C19F4}" name="GP In Series">
      <calculatedColumnFormula array="1">INDEX(G:G, MATCH(2, 1/(F:F=AH3)))</calculatedColumnFormula>
    </tableColumn>
    <tableColumn id="5" xr3:uid="{2E2D16AE-C26E-47BF-9B60-565C2BD9CDFF}" name="Guessed Right" dataDxfId="114">
      <calculatedColumnFormula>SUMIFS($V$2:$V$107,$F$2:$F$107,AH3)</calculatedColumnFormula>
    </tableColumn>
    <tableColumn id="6" xr3:uid="{913B7B07-0C80-429E-A163-129D7A9C6A03}" name="Pct Right">
      <calculatedColumnFormula>AL3/AK3</calculatedColumnFormula>
    </tableColumn>
    <tableColumn id="7" xr3:uid="{A475C990-CE92-445D-A053-1FF5B4589799}" name="TopSeedGoals" dataDxfId="113"/>
    <tableColumn id="8" xr3:uid="{758A504B-BB33-4B28-99B5-1AB09F763DEF}" name="LowSeedGoals" dataDxfId="112"/>
    <tableColumn id="9" xr3:uid="{974E9C85-4814-40AF-A61B-CE659B08DDE2}" name="HomeGoals" dataDxfId="111"/>
    <tableColumn id="10" xr3:uid="{DA9CA8EB-5C70-4C06-9E24-5C795B4AD429}" name="AwayGoals" dataDxfId="110"/>
    <tableColumn id="11" xr3:uid="{8589C1DF-456A-4957-9D32-8FD47EEE8397}" name="HomeWins" dataDxfId="109"/>
    <tableColumn id="12" xr3:uid="{6C49D1D8-A92C-446A-B136-7E271DEF8C26}" name="AwayWins" dataDxfId="108"/>
    <tableColumn id="13" xr3:uid="{5C54AC64-197B-4AE1-9826-2004781AF12C}" name="Num Ots" dataDxfId="10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16568C-EC68-4B9F-A850-6C137FBE2CC0}" name="Table4" displayName="Table4" ref="AI21:BM37" totalsRowShown="0" headerRowDxfId="79" tableBorderDxfId="104">
  <autoFilter ref="AI21:BM37" xr:uid="{0F16568C-EC68-4B9F-A850-6C137FBE2CC0}"/>
  <tableColumns count="31">
    <tableColumn id="1" xr3:uid="{6C63FBF3-41B9-413A-92D2-3032995F4C15}" name="Column1"/>
    <tableColumn id="2" xr3:uid="{38E7B4E6-4556-4A9F-A862-5EB68A0E72E2}" name="GP R1" dataDxfId="103">
      <calculatedColumnFormula>COUNTIFS($L$2:$L$107, AI22, $E$2:$E$107, 1) + COUNTIFS($M$2:$M$107, AI22, $E$2:$E$107, 1)</calculatedColumnFormula>
    </tableColumn>
    <tableColumn id="3" xr3:uid="{B938AEBA-E96A-4424-88F4-1EC1CBAC48A5}" name="GP R2" dataDxfId="102">
      <calculatedColumnFormula>COUNTIFS($L$2:$L$107, AI22, $E$2:$E$107, 2) + COUNTIFS($M$2:$M$107, AI22, $E$2:$E$107, 2)</calculatedColumnFormula>
    </tableColumn>
    <tableColumn id="4" xr3:uid="{03847761-2B9C-4CB1-BF26-4EBB32C33FF1}" name="GP R3" dataDxfId="101">
      <calculatedColumnFormula>COUNTIFS($L$2:$L$107, AI22, $E$2:$E$107, 3) + COUNTIFS($M$2:$M$107, AI22, $E$2:$E$107, 3)</calculatedColumnFormula>
    </tableColumn>
    <tableColumn id="5" xr3:uid="{131C98AA-15C3-407B-B250-CCA15DEBEB3C}" name="GP R4" dataDxfId="100">
      <calculatedColumnFormula>COUNTIFS($L$2:$L$107, AI22, $E$2:$E$107, 4) + COUNTIFS($M$2:$M$107, AI22, $E$2:$E$107, 4)</calculatedColumnFormula>
    </tableColumn>
    <tableColumn id="6" xr3:uid="{8425B82D-0F62-429D-A19D-9CC1EB9E4D63}" name="GP TOT" dataDxfId="99">
      <calculatedColumnFormula>AJ22+AK22+AL22+AM22</calculatedColumnFormula>
    </tableColumn>
    <tableColumn id="7" xr3:uid="{E3248817-1DD2-433A-847E-DF7E87A5A70F}" name="GP H" dataDxfId="98">
      <calculatedColumnFormula>COUNTIF($M$2:$M$107, AI22)</calculatedColumnFormula>
    </tableColumn>
    <tableColumn id="8" xr3:uid="{21BE588F-0B8B-4C60-8162-430946CA1DF4}" name="GP A" dataDxfId="97">
      <calculatedColumnFormula>COUNTIF($L$2:$L$107, AI22)</calculatedColumnFormula>
    </tableColumn>
    <tableColumn id="9" xr3:uid="{7188E37B-D969-48A9-A186-E2467EF99CBE}" name="W TOT" dataDxfId="96">
      <calculatedColumnFormula>AS22+AU22</calculatedColumnFormula>
    </tableColumn>
    <tableColumn id="10" xr3:uid="{EAAE8CB4-76FC-45AA-A419-BB180E431DA1}" name="L TOT" dataDxfId="95">
      <calculatedColumnFormula>AN22-AQ22</calculatedColumnFormula>
    </tableColumn>
    <tableColumn id="11" xr3:uid="{2D986444-D505-4899-AA8D-EA43A8A2056D}" name="W H" dataDxfId="94">
      <calculatedColumnFormula>SUMPRODUCT(($M$2:$M$107=AI22)*($T$2:$T$107&gt;$S$2:$S$107))</calculatedColumnFormula>
    </tableColumn>
    <tableColumn id="12" xr3:uid="{B4BBDDB8-3F4E-4330-A142-C87DEB3F625B}" name="L H" dataDxfId="93">
      <calculatedColumnFormula>SUMPRODUCT(($M$2:$M$107=AI22)*($T$2:$T$107&lt;$S$2:$S$107))</calculatedColumnFormula>
    </tableColumn>
    <tableColumn id="13" xr3:uid="{56966DEE-5A38-45FF-B6F9-E685FB5A761C}" name="W A" dataDxfId="92">
      <calculatedColumnFormula>SUMPRODUCT(($L$2:$L$107=AI22)*($T$2:$T$107&lt;$S$2:$S$107))</calculatedColumnFormula>
    </tableColumn>
    <tableColumn id="14" xr3:uid="{55AB34C7-276C-426E-BA67-895B6D9397B2}" name="L A" dataDxfId="91">
      <calculatedColumnFormula>SUMPRODUCT(($L$2:$L$107=AI22)*($T$2:$T$107&gt;$S$2:$S$107))</calculatedColumnFormula>
    </tableColumn>
    <tableColumn id="15" xr3:uid="{3995A638-FF63-4AF0-84FA-ABD2F50B9871}" name="GP R1 H" dataDxfId="90">
      <calculatedColumnFormula>COUNTIFS($M$2:$M$107,AI22,$E$2:$E$107,1)</calculatedColumnFormula>
    </tableColumn>
    <tableColumn id="16" xr3:uid="{6E9F9920-0EA2-4848-94EE-E1CD133026C9}" name="GP R1 A" dataDxfId="89">
      <calculatedColumnFormula>COUNTIFS($L$2:$L$107,AI22,$E$2:$E$107,1)</calculatedColumnFormula>
    </tableColumn>
    <tableColumn id="17" xr3:uid="{5962CF08-0644-4EBD-B2E8-59BEDC866D62}" name="GF R1 H" dataDxfId="88">
      <calculatedColumnFormula>SUMIFS($T$2:$T$107, $M$2:$M$107, AI22,$E$2:$E$107, 1)</calculatedColumnFormula>
    </tableColumn>
    <tableColumn id="18" xr3:uid="{021C27B4-5232-47A9-B6B1-BBA5C2A4D3FD}" name="GF R1 A" dataDxfId="87">
      <calculatedColumnFormula>SUMIFS($S$2:$S$107, $L$2:$L$107, AI22,$E$2:$E$107, 1)</calculatedColumnFormula>
    </tableColumn>
    <tableColumn id="19" xr3:uid="{053DE985-E326-462B-9C3F-CF26DAD907DC}" name="GA R1 H" dataDxfId="86">
      <calculatedColumnFormula>SUMIFS($S$2:$S$107, $M$2:$M$107, AI22,$E$2:$E$107, 1)</calculatedColumnFormula>
    </tableColumn>
    <tableColumn id="20" xr3:uid="{A80C2A60-ABFA-45DA-A845-A96CBD63614E}" name="GA R1 A" dataDxfId="85">
      <calculatedColumnFormula>SUMIFS($T$2:$T$107, $L$2:$L$107, AI22,$E$2:$E$107, 1)</calculatedColumnFormula>
    </tableColumn>
    <tableColumn id="21" xr3:uid="{85E4F0CD-48C5-48F1-AB37-BB08C52F7B0F}" name="DIFF R1 H" dataDxfId="84">
      <calculatedColumnFormula>AY22-BA22</calculatedColumnFormula>
    </tableColumn>
    <tableColumn id="22" xr3:uid="{55383639-730A-4BD1-A02E-B8DB1016C683}" name="DIFF R1 A" dataDxfId="83">
      <calculatedColumnFormula>AZ22-BB22</calculatedColumnFormula>
    </tableColumn>
    <tableColumn id="23" xr3:uid="{BFE4F1A2-81FA-4013-BDD3-FA931EC8C0B4}" name="GF R1 T" dataDxfId="82">
      <calculatedColumnFormula>AY22+AZ22</calculatedColumnFormula>
    </tableColumn>
    <tableColumn id="24" xr3:uid="{43404683-FCE6-4696-9CE0-C1B7AD7C7919}" name="GA R1 T" dataDxfId="81">
      <calculatedColumnFormula>BA22+BB22</calculatedColumnFormula>
    </tableColumn>
    <tableColumn id="25" xr3:uid="{A05161CF-7253-42DE-BB8A-EA6269A3450F}" name="DIFF R1 T" dataDxfId="80">
      <calculatedColumnFormula>(AY22+AZ22)-(BA22+BB22)</calculatedColumnFormula>
    </tableColumn>
    <tableColumn id="26" xr3:uid="{CE0EB994-A01F-414A-8563-C5C4F163B1E2}" name="GFPG R1 H">
      <calculatedColumnFormula>AY22/AW22</calculatedColumnFormula>
    </tableColumn>
    <tableColumn id="27" xr3:uid="{4EEAF6E5-EC06-477F-83BA-D96B36BB55BA}" name="GFPG R1 A">
      <calculatedColumnFormula>AZ22/AX22</calculatedColumnFormula>
    </tableColumn>
    <tableColumn id="28" xr3:uid="{EDDA0B01-AA4B-428C-86C6-BAFEE71A763F}" name="GAPG R1 H">
      <calculatedColumnFormula>BA22/AW22</calculatedColumnFormula>
    </tableColumn>
    <tableColumn id="29" xr3:uid="{B288B2F2-9884-462B-B8BA-8F5AFED2D9C4}" name="GAPG R1 A">
      <calculatedColumnFormula>BB22/AX22</calculatedColumnFormula>
    </tableColumn>
    <tableColumn id="30" xr3:uid="{C0DDEEF4-6B35-4301-A2B0-234174E11D1C}" name="GFPG R1">
      <calculatedColumnFormula>BE22/AJ22</calculatedColumnFormula>
    </tableColumn>
    <tableColumn id="31" xr3:uid="{2D50129F-C1F5-4362-8C3A-627ABC565BF1}" name="GAPG R1">
      <calculatedColumnFormula>BF22/AJ22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5AC943-AE18-48D9-8D6C-24C92E91FE01}" name="Table5" displayName="Table5" ref="AI40:BM48" totalsRowShown="0" headerRowDxfId="53" tableBorderDxfId="78">
  <autoFilter ref="AI40:BM48" xr:uid="{1F5AC943-AE18-48D9-8D6C-24C92E91FE01}"/>
  <tableColumns count="31">
    <tableColumn id="1" xr3:uid="{C897594E-7BBC-493B-8340-40E491EC0FA1}" name="Column1"/>
    <tableColumn id="2" xr3:uid="{0307687D-C2A5-4D1A-9F71-2AF95DEF478E}" name="GP R1" dataDxfId="77">
      <calculatedColumnFormula>COUNTIFS($L$2:$L$107, AI41, $E$2:$E$107, 1) + COUNTIFS($M$2:$M$107, AI41, $E$2:$E$107, 1)</calculatedColumnFormula>
    </tableColumn>
    <tableColumn id="3" xr3:uid="{AD965B24-9AE8-4741-BFDE-4FC729E3D236}" name="GP R2" dataDxfId="76">
      <calculatedColumnFormula>COUNTIFS($L$2:$L$107, AI41, $E$2:$E$107, 2) + COUNTIFS($M$2:$M$107, AI41, $E$2:$E$107, 2)</calculatedColumnFormula>
    </tableColumn>
    <tableColumn id="4" xr3:uid="{09D6319D-C40E-4A4A-B791-3E0A8FA57879}" name="GP R3" dataDxfId="75">
      <calculatedColumnFormula>COUNTIFS($L$2:$L$107, AI41, $E$2:$E$107, 3) + COUNTIFS($M$2:$M$107, AI41, $E$2:$E$107, 3)</calculatedColumnFormula>
    </tableColumn>
    <tableColumn id="5" xr3:uid="{3979FECF-D19B-4C8D-9948-38B44A559FD7}" name="GP R4" dataDxfId="74">
      <calculatedColumnFormula>COUNTIFS($L$2:$L$107, AI41, $E$2:$E$107, 4) + COUNTIFS($M$2:$M$107, AI41, $E$2:$E$107, 4)</calculatedColumnFormula>
    </tableColumn>
    <tableColumn id="6" xr3:uid="{52858AF7-868E-4D7B-9576-8222FCEF2914}" name="GP TOT" dataDxfId="73">
      <calculatedColumnFormula>AJ41+AK41+AL41+AM41</calculatedColumnFormula>
    </tableColumn>
    <tableColumn id="7" xr3:uid="{152EF45C-202E-448C-875E-F7738E1B4C64}" name="GP H" dataDxfId="72">
      <calculatedColumnFormula>COUNTIF($M$2:$M$107, AI41)</calculatedColumnFormula>
    </tableColumn>
    <tableColumn id="8" xr3:uid="{16BA92E1-F25B-4619-8DDB-D0151212E814}" name="GP A" dataDxfId="71">
      <calculatedColumnFormula>COUNTIF($L$2:$L$107, AI41)</calculatedColumnFormula>
    </tableColumn>
    <tableColumn id="9" xr3:uid="{748C294E-8834-4577-A47E-304A1BE01161}" name="W TOT" dataDxfId="70">
      <calculatedColumnFormula>AS41+AU41</calculatedColumnFormula>
    </tableColumn>
    <tableColumn id="10" xr3:uid="{4646E7BA-CD77-4A55-A3EA-751630443B83}" name="L TOT" dataDxfId="69">
      <calculatedColumnFormula>AN41-AQ41</calculatedColumnFormula>
    </tableColumn>
    <tableColumn id="11" xr3:uid="{82581A10-7D02-4B3C-BA3F-1502C2E483A7}" name="W H" dataDxfId="68">
      <calculatedColumnFormula>SUMPRODUCT(($M$2:$M$107=AI41)*($T$2:$T$107&gt;$S$2:$S$107))</calculatedColumnFormula>
    </tableColumn>
    <tableColumn id="12" xr3:uid="{6C5A50F5-CB4B-4B8F-B71C-60E8A4A3E301}" name="L H" dataDxfId="67">
      <calculatedColumnFormula>SUMPRODUCT(($M$2:$M$107=AI22)*($T$2:$T$107&lt;$S$2:$S$107))</calculatedColumnFormula>
    </tableColumn>
    <tableColumn id="13" xr3:uid="{7ED35571-6FA6-4321-A71C-DE3F8D5AE006}" name="W A" dataDxfId="66">
      <calculatedColumnFormula>SUMPRODUCT(($L$2:$L$107=AI41)*($T$2:$T$107&lt;$S$2:$S$107))</calculatedColumnFormula>
    </tableColumn>
    <tableColumn id="14" xr3:uid="{45278594-9F96-4D33-9EDD-42C42348CE9A}" name="L A" dataDxfId="65">
      <calculatedColumnFormula>SUMPRODUCT(($L$2:$L$107=AI41)*($T$2:$T$107&gt;$S$2:$S$107))</calculatedColumnFormula>
    </tableColumn>
    <tableColumn id="15" xr3:uid="{0571BEB6-A1FE-418F-9447-F8DCDFBE8F48}" name="GP R2 H" dataDxfId="64">
      <calculatedColumnFormula>COUNTIFS($M$2:$M$107,AI41,$E$2:$E$107,2)</calculatedColumnFormula>
    </tableColumn>
    <tableColumn id="16" xr3:uid="{2A17DA0E-65B3-417B-8F5F-5472C34D552B}" name="GP R2 A" dataDxfId="63">
      <calculatedColumnFormula>COUNTIFS($L$2:$L$107,AI41,$E$2:$E$107,2)</calculatedColumnFormula>
    </tableColumn>
    <tableColumn id="17" xr3:uid="{53EB2985-F69D-4C93-ADC6-963778958E38}" name="GF R2 H" dataDxfId="62">
      <calculatedColumnFormula>SUMIFS($T$2:$T$107, $M$2:$M$107, AI41,$E$2:$E$107, 2)</calculatedColumnFormula>
    </tableColumn>
    <tableColumn id="18" xr3:uid="{C5219C84-A014-498E-A99D-FC89B729F715}" name="GF R2 A" dataDxfId="61">
      <calculatedColumnFormula>SUMIFS($S$2:$S$107, $L$2:$L$107, AI41,$E$2:$E$107, 2)</calculatedColumnFormula>
    </tableColumn>
    <tableColumn id="19" xr3:uid="{77B7D895-7BBE-47D4-80B3-B2C58DD42A8E}" name="GA R2 H" dataDxfId="60">
      <calculatedColumnFormula>SUMIFS($S$2:$S$107, $M$2:$M$107, AI41,$E$2:$E$107, 2)</calculatedColumnFormula>
    </tableColumn>
    <tableColumn id="20" xr3:uid="{DBEAA07C-E4C0-4D1D-A181-10C1E908ADD0}" name="GA R2 A" dataDxfId="59">
      <calculatedColumnFormula>SUMIFS($T$2:$T$107, $L$2:$L$107, AI41,$E$2:$E$107, 2)</calculatedColumnFormula>
    </tableColumn>
    <tableColumn id="21" xr3:uid="{6DCC9535-4BE8-4393-81DE-CCA77545BB9B}" name="DIFF R2 H" dataDxfId="58">
      <calculatedColumnFormula>AY41-BA41</calculatedColumnFormula>
    </tableColumn>
    <tableColumn id="22" xr3:uid="{41D35C80-F179-440B-BEC9-57704A49659C}" name="DIFF R2 A" dataDxfId="57">
      <calculatedColumnFormula>AZ41-BB41</calculatedColumnFormula>
    </tableColumn>
    <tableColumn id="23" xr3:uid="{0C08B6D6-AB8C-45C0-94C0-C8C243037C9D}" name="GF R2 T" dataDxfId="56">
      <calculatedColumnFormula>AY41+AZ41</calculatedColumnFormula>
    </tableColumn>
    <tableColumn id="24" xr3:uid="{6691D177-117E-4A3A-893A-5652FC23B6DD}" name="GA R2 T" dataDxfId="55">
      <calculatedColumnFormula>BA41+BB41</calculatedColumnFormula>
    </tableColumn>
    <tableColumn id="25" xr3:uid="{4511B502-DB4D-48F5-A880-995373D654E3}" name="DIFF R2 T" dataDxfId="54">
      <calculatedColumnFormula>(AY41+AZ41)-(BA41+BB41)</calculatedColumnFormula>
    </tableColumn>
    <tableColumn id="26" xr3:uid="{81BB25C8-5958-46D7-87F6-7113872B299E}" name="GFPG R2 H">
      <calculatedColumnFormula>AY41/AW41</calculatedColumnFormula>
    </tableColumn>
    <tableColumn id="27" xr3:uid="{7024014E-5A62-4015-9867-8CECA98526FC}" name="GFPG R2 A">
      <calculatedColumnFormula>AZ41/AX41</calculatedColumnFormula>
    </tableColumn>
    <tableColumn id="28" xr3:uid="{1DAFC713-2356-4473-B379-BEFD678780A5}" name="GAPG R2 H">
      <calculatedColumnFormula>BA41/AW41</calculatedColumnFormula>
    </tableColumn>
    <tableColumn id="29" xr3:uid="{F05DEB18-490E-479B-B774-1B4AF9DEBE14}" name="GAPG R2 A">
      <calculatedColumnFormula>BB41/AX41</calculatedColumnFormula>
    </tableColumn>
    <tableColumn id="30" xr3:uid="{0C87C897-65B8-4249-A844-4A5D25826A7B}" name="GFPG R2">
      <calculatedColumnFormula>BE41/AJ41</calculatedColumnFormula>
    </tableColumn>
    <tableColumn id="31" xr3:uid="{0F030B6F-AA48-4233-8F03-4285537AE4E7}" name="GAPG R2">
      <calculatedColumnFormula>BF41/AJ41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818FD5F-FFC8-4850-88A8-573E24855D6D}" name="Table6" displayName="Table6" ref="AI51:BM55" totalsRowShown="0" headerRowDxfId="27" tableBorderDxfId="52">
  <autoFilter ref="AI51:BM55" xr:uid="{F818FD5F-FFC8-4850-88A8-573E24855D6D}"/>
  <tableColumns count="31">
    <tableColumn id="1" xr3:uid="{1EE23D7E-A6EA-4308-A0B1-BB6C74F70DCB}" name="Column1"/>
    <tableColumn id="2" xr3:uid="{05394ED4-3839-43DC-8E9F-189411CEC3A9}" name="GP R1" dataDxfId="51">
      <calculatedColumnFormula>COUNTIFS($L$2:$L$107, AI52, $E$2:$E$107, 1) + COUNTIFS($M$2:$M$107, AI52, $E$2:$E$107, 1)</calculatedColumnFormula>
    </tableColumn>
    <tableColumn id="3" xr3:uid="{4D3B41B6-9D1F-453A-8CED-8C9515EEEF6D}" name="GP R2" dataDxfId="50">
      <calculatedColumnFormula>COUNTIFS($L$2:$L$107, AI52, $E$2:$E$107, 2) + COUNTIFS($M$2:$M$107, AI52, $E$2:$E$107, 2)</calculatedColumnFormula>
    </tableColumn>
    <tableColumn id="4" xr3:uid="{CD8247D8-D1F1-4126-A160-8E99AC224C0D}" name="GP R3" dataDxfId="49">
      <calculatedColumnFormula>COUNTIFS($L$2:$L$107, AI52, $E$2:$E$107, 3) + COUNTIFS($M$2:$M$107, AI52, $E$2:$E$107, 3)</calculatedColumnFormula>
    </tableColumn>
    <tableColumn id="5" xr3:uid="{079E3FD4-26E8-4790-99FC-A863C8DBF2B1}" name="GP R4" dataDxfId="48">
      <calculatedColumnFormula>COUNTIFS($L$2:$L$107, AI52, $E$2:$E$107, 4) + COUNTIFS($M$2:$M$107, AI52, $E$2:$E$107, 4)</calculatedColumnFormula>
    </tableColumn>
    <tableColumn id="6" xr3:uid="{2D99BBDD-2731-4BDC-8E05-55C203963927}" name="GP TOT" dataDxfId="47">
      <calculatedColumnFormula>AJ52+AK52+AL52+AM52</calculatedColumnFormula>
    </tableColumn>
    <tableColumn id="7" xr3:uid="{0E072649-849E-4250-A9AF-7AE575B417F2}" name="GP H" dataDxfId="46">
      <calculatedColumnFormula>COUNTIF($M$2:$M$107, AI52)</calculatedColumnFormula>
    </tableColumn>
    <tableColumn id="8" xr3:uid="{455D66C2-0F7B-4237-B0A2-675CAD79D31C}" name="GP A" dataDxfId="45">
      <calculatedColumnFormula>COUNTIF($L$2:$L$107, AI52)</calculatedColumnFormula>
    </tableColumn>
    <tableColumn id="9" xr3:uid="{C67360EA-0994-4365-9F89-5F440F8CF4F1}" name="W TOT" dataDxfId="44">
      <calculatedColumnFormula>AS52+AU52</calculatedColumnFormula>
    </tableColumn>
    <tableColumn id="10" xr3:uid="{D1A97259-9E42-4382-8013-62656E502BF8}" name="L TOT" dataDxfId="43">
      <calculatedColumnFormula>AN52-AQ52</calculatedColumnFormula>
    </tableColumn>
    <tableColumn id="11" xr3:uid="{908216BE-EE39-47C8-9E0A-A0303FB50629}" name="W H" dataDxfId="42">
      <calculatedColumnFormula>SUMPRODUCT(($M$2:$M$107=AI52)*($T$2:$T$107&gt;$S$2:$S$107))</calculatedColumnFormula>
    </tableColumn>
    <tableColumn id="12" xr3:uid="{4D597EDC-EF9F-44A1-B936-4D8FEDB45F20}" name="L H" dataDxfId="41">
      <calculatedColumnFormula>SUMPRODUCT(($M$2:$M$107=AI52)*($T$2:$T$107&lt;$S$2:$S$107))</calculatedColumnFormula>
    </tableColumn>
    <tableColumn id="13" xr3:uid="{C8740D25-B871-4CF4-A320-6BFFBF68C80D}" name="W A" dataDxfId="40">
      <calculatedColumnFormula>SUMPRODUCT(($L$2:$L$107=AI52)*($T$2:$T$107&lt;$S$2:$S$107))</calculatedColumnFormula>
    </tableColumn>
    <tableColumn id="14" xr3:uid="{D9B1E5A0-E214-4F22-B2AD-45E2FAA07689}" name="L A" dataDxfId="39">
      <calculatedColumnFormula>SUMPRODUCT(($L$2:$L$107=AI52)*($T$2:$T$107&gt;$S$2:$S$107))</calculatedColumnFormula>
    </tableColumn>
    <tableColumn id="15" xr3:uid="{7C930A4F-B9C4-47A5-8CB4-16A62DDACFAA}" name="GP R3 H" dataDxfId="38">
      <calculatedColumnFormula>COUNTIFS($M$2:$M$107,AI52,$E$2:$E$107,3)</calculatedColumnFormula>
    </tableColumn>
    <tableColumn id="16" xr3:uid="{B6B44FF1-18F5-4A20-95C9-E9FE38B87DA8}" name="GP R3 A" dataDxfId="37">
      <calculatedColumnFormula>COUNTIFS($L$2:$L$107,AI52,$E$2:$E$107,3)</calculatedColumnFormula>
    </tableColumn>
    <tableColumn id="17" xr3:uid="{79956EB0-3E70-4DC6-A2C1-2F177A1DD7B2}" name="GF R3 H" dataDxfId="36">
      <calculatedColumnFormula>SUMIFS($T$2:$T$107, $M$2:$M$107, AI52,$E$2:$E$107, 3)</calculatedColumnFormula>
    </tableColumn>
    <tableColumn id="18" xr3:uid="{0CEAA56A-A06C-4277-A3A4-4DC32A59E3E9}" name="GF R3 A" dataDxfId="35">
      <calculatedColumnFormula>SUMIFS($S$2:$S$107, $L$2:$L$107, AI52,$E$2:$E$107, 3)</calculatedColumnFormula>
    </tableColumn>
    <tableColumn id="19" xr3:uid="{7564C788-8E98-49B6-94F3-3B33474504E8}" name="GA R3 H" dataDxfId="34">
      <calculatedColumnFormula>SUMIFS($S$2:$S$107, $M$2:$M$107, AI52,$E$2:$E$107, 3)</calculatedColumnFormula>
    </tableColumn>
    <tableColumn id="20" xr3:uid="{7406D04A-83C4-4D75-82F5-BAE7D748A2AB}" name="GA R3 A" dataDxfId="33">
      <calculatedColumnFormula>SUMIFS($T$2:$T$107, $L$2:$L$107, AI52,$E$2:$E$107, 3)</calculatedColumnFormula>
    </tableColumn>
    <tableColumn id="21" xr3:uid="{B0233094-6657-420E-AC79-DE4F9A4A00F4}" name="DIFF R3 H" dataDxfId="32">
      <calculatedColumnFormula>AY52-BA52</calculatedColumnFormula>
    </tableColumn>
    <tableColumn id="22" xr3:uid="{B14C8782-912F-42F9-B962-6ECF584ECA96}" name="DIFF R3 A" dataDxfId="31">
      <calculatedColumnFormula>AZ52-BB52</calculatedColumnFormula>
    </tableColumn>
    <tableColumn id="23" xr3:uid="{A30E3216-DDC2-47ED-B072-6607B8783188}" name="GF R3 T" dataDxfId="30">
      <calculatedColumnFormula>AY52+AZ52</calculatedColumnFormula>
    </tableColumn>
    <tableColumn id="24" xr3:uid="{1A714D7B-F3FA-485B-BEC9-B6CB88B4D62F}" name="GA R3 T" dataDxfId="29">
      <calculatedColumnFormula>BA52+BB52</calculatedColumnFormula>
    </tableColumn>
    <tableColumn id="25" xr3:uid="{3665A96B-9312-4F56-87F2-711984180513}" name="DIFF R3 T" dataDxfId="28">
      <calculatedColumnFormula>(AY52+AZ52)-(BA52+BB52)</calculatedColumnFormula>
    </tableColumn>
    <tableColumn id="26" xr3:uid="{9FF9A0D7-D936-469C-B05E-428142D325A8}" name="GFPG R3 H">
      <calculatedColumnFormula>AY52/AW52</calculatedColumnFormula>
    </tableColumn>
    <tableColumn id="27" xr3:uid="{A002BAD5-3081-4324-BE04-A7465C2A1CD0}" name="GFPG R3 A">
      <calculatedColumnFormula>AZ52/AX52</calculatedColumnFormula>
    </tableColumn>
    <tableColumn id="28" xr3:uid="{A4722FCD-C966-4B64-9AFE-8BE14A890768}" name="GAPG R3 H">
      <calculatedColumnFormula>BA52/AW52</calculatedColumnFormula>
    </tableColumn>
    <tableColumn id="29" xr3:uid="{87B9BF27-33A7-4F1E-8544-8C92A3B58544}" name="GAPG R3 A">
      <calculatedColumnFormula>BB52/AX52</calculatedColumnFormula>
    </tableColumn>
    <tableColumn id="30" xr3:uid="{9857FBCB-4BD7-4F91-AE7E-58F15EE2E8B9}" name="GFPG R3">
      <calculatedColumnFormula>BE52/AJ52</calculatedColumnFormula>
    </tableColumn>
    <tableColumn id="31" xr3:uid="{AB5D2EB8-9F87-433C-B5E8-33549B39ACEB}" name="GAPG R3">
      <calculatedColumnFormula>BF52/AJ52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0B4C0E4-79DC-4AAA-A6D0-498DC58B7877}" name="Table7" displayName="Table7" ref="AI58:BM60" totalsRowShown="0" headerRowDxfId="0" tableBorderDxfId="26">
  <autoFilter ref="AI58:BM60" xr:uid="{A0B4C0E4-79DC-4AAA-A6D0-498DC58B7877}"/>
  <tableColumns count="31">
    <tableColumn id="1" xr3:uid="{5014BD7C-CA07-475E-9408-7C147F58554C}" name="Column1" dataDxfId="25"/>
    <tableColumn id="2" xr3:uid="{405C7397-1EBC-4D6C-BA1A-D801CF7A851A}" name="GP R1" dataDxfId="24">
      <calculatedColumnFormula>COUNTIFS($L$2:$L$107, AI59, $E$2:$E$107, 1) + COUNTIFS($M$2:$M$107, AI59, $E$2:$E$107, 1)</calculatedColumnFormula>
    </tableColumn>
    <tableColumn id="3" xr3:uid="{7952EF0F-4515-42B9-8D9A-8AF6EF0A7C15}" name="GP R2" dataDxfId="23">
      <calculatedColumnFormula>COUNTIFS($L$2:$L$107, AI59, $E$2:$E$107, 2) + COUNTIFS($M$2:$M$107, AI59, $E$2:$E$107, 2)</calculatedColumnFormula>
    </tableColumn>
    <tableColumn id="4" xr3:uid="{C800C27E-252C-4A43-B554-DBF2D185CEA6}" name="GP R3" dataDxfId="22">
      <calculatedColumnFormula>COUNTIFS($L$2:$L$107, AI59, $E$2:$E$107, 3) + COUNTIFS($M$2:$M$107, AI59, $E$2:$E$107, 3)</calculatedColumnFormula>
    </tableColumn>
    <tableColumn id="5" xr3:uid="{EFC62695-B5F6-4202-9237-7C58C3CCD210}" name="GP R4" dataDxfId="21">
      <calculatedColumnFormula>COUNTIFS($L$2:$L$107, AI59, $E$2:$E$107, 4) + COUNTIFS($M$2:$M$107, AI59, $E$2:$E$107, 4)</calculatedColumnFormula>
    </tableColumn>
    <tableColumn id="6" xr3:uid="{295B7DA1-1428-48C1-816F-F382210D078E}" name="GP TOT" dataDxfId="20">
      <calculatedColumnFormula>AJ59+AK59+AL59+AM59</calculatedColumnFormula>
    </tableColumn>
    <tableColumn id="7" xr3:uid="{0F39706E-2024-4BD5-BAF3-AEDCA4F5F013}" name="GP H" dataDxfId="19">
      <calculatedColumnFormula>COUNTIF($M$2:$M$107, AI59)</calculatedColumnFormula>
    </tableColumn>
    <tableColumn id="8" xr3:uid="{13F8C16C-FC96-470C-9A1F-2EB59A118857}" name="GP A" dataDxfId="18">
      <calculatedColumnFormula>COUNTIF($L$2:$L$107, AI59)</calculatedColumnFormula>
    </tableColumn>
    <tableColumn id="9" xr3:uid="{3C80D8F4-9831-4AE6-B94F-1E7220DF2339}" name="W TOT" dataDxfId="17">
      <calculatedColumnFormula>AS59+AU59</calculatedColumnFormula>
    </tableColumn>
    <tableColumn id="10" xr3:uid="{D4DA2EBB-8E66-4383-9CEC-3CA0E054EEB1}" name="L TOT" dataDxfId="16">
      <calculatedColumnFormula>AN59-AQ59</calculatedColumnFormula>
    </tableColumn>
    <tableColumn id="11" xr3:uid="{84F02F92-1E05-4BA5-8F1C-5291F1818D00}" name="W H" dataDxfId="15">
      <calculatedColumnFormula>SUMPRODUCT(($M$2:$M$107=AI59)*($T$2:$T$107&gt;$S$2:$S$107))</calculatedColumnFormula>
    </tableColumn>
    <tableColumn id="12" xr3:uid="{0DF4E0B5-73ED-4D81-9E5C-E82F470ECFBE}" name="L H" dataDxfId="14">
      <calculatedColumnFormula>SUMPRODUCT(($M$2:$M$107=AI59)*($T$2:$T$107&lt;$S$2:$S$107))</calculatedColumnFormula>
    </tableColumn>
    <tableColumn id="13" xr3:uid="{85FB9863-46F4-4A47-8904-DF879B523680}" name="W A" dataDxfId="13">
      <calculatedColumnFormula>SUMPRODUCT(($L$2:$L$107=AI59)*($T$2:$T$107&lt;$S$2:$S$107))</calculatedColumnFormula>
    </tableColumn>
    <tableColumn id="14" xr3:uid="{7E90A707-DFDF-4738-ABBE-EBE3FF7D2B23}" name="L A" dataDxfId="12">
      <calculatedColumnFormula>SUMPRODUCT(($L$2:$L$107=AI59)*($T$2:$T$107&gt;$S$2:$S$107))</calculatedColumnFormula>
    </tableColumn>
    <tableColumn id="15" xr3:uid="{44240F89-470A-47B4-8B02-0C04B5CD2364}" name="GP R4 H" dataDxfId="11">
      <calculatedColumnFormula>COUNTIFS($M$2:$M$107,AI59,$E$2:$E$107,4)</calculatedColumnFormula>
    </tableColumn>
    <tableColumn id="16" xr3:uid="{7BCBE0AD-F654-4BF9-A33A-CDA512EA157A}" name="GP R4 A" dataDxfId="10">
      <calculatedColumnFormula>COUNTIFS($L$2:$L$107,AI59,$E$2:$E$107,4)</calculatedColumnFormula>
    </tableColumn>
    <tableColumn id="17" xr3:uid="{CD542EA6-0316-4F75-B05D-868D3FF44EC7}" name="GF R4 H" dataDxfId="9">
      <calculatedColumnFormula>SUMIFS($T$2:$T$107, $M$2:$M$107, AI59,$E$2:$E$107, 4)</calculatedColumnFormula>
    </tableColumn>
    <tableColumn id="18" xr3:uid="{09FEDD08-55CC-4808-8318-2F3070B37B7D}" name="GF R4 A" dataDxfId="8">
      <calculatedColumnFormula>SUMIFS($S$2:$S$107, $L$2:$L$107, AI59,$E$2:$E$107, 4)</calculatedColumnFormula>
    </tableColumn>
    <tableColumn id="19" xr3:uid="{3D5CABEB-A233-4566-8413-167BA2A1019B}" name="GA R4 H" dataDxfId="7">
      <calculatedColumnFormula>SUMIFS($S$2:$S$107, $M$2:$M$107, AI59,$E$2:$E$107, 4)</calculatedColumnFormula>
    </tableColumn>
    <tableColumn id="20" xr3:uid="{623E9295-D322-4A3E-B80B-1BCB1E3BA7AD}" name="GA R4 A" dataDxfId="6">
      <calculatedColumnFormula>SUMIFS($T$2:$T$107, $L$2:$L$107, AI59,$E$2:$E$107, 4)</calculatedColumnFormula>
    </tableColumn>
    <tableColumn id="21" xr3:uid="{2621535A-BEA4-40CF-A7BD-20A0C94341EA}" name="DIFF R4 H" dataDxfId="5">
      <calculatedColumnFormula>AY59-BA59</calculatedColumnFormula>
    </tableColumn>
    <tableColumn id="22" xr3:uid="{E16C9A0C-B8B2-4AFE-AC24-1C8E88CD3C4D}" name="DIFF R4 A" dataDxfId="4">
      <calculatedColumnFormula>AZ59-BB59</calculatedColumnFormula>
    </tableColumn>
    <tableColumn id="23" xr3:uid="{3CBAA2EE-AE8A-4EA7-AF58-2E0779740470}" name="GF R4 T" dataDxfId="3">
      <calculatedColumnFormula>AY59+AZ59</calculatedColumnFormula>
    </tableColumn>
    <tableColumn id="24" xr3:uid="{EE52D31E-96F3-4115-850D-23D57D0AD386}" name="GA R4 T" dataDxfId="2">
      <calculatedColumnFormula>BA59+BB59</calculatedColumnFormula>
    </tableColumn>
    <tableColumn id="25" xr3:uid="{05ECB1B1-EFC4-4FDE-925A-FB5C53EAB7BE}" name="DIFF R4 T" dataDxfId="1">
      <calculatedColumnFormula>(AY59+AZ59)-(BA59+BB59)</calculatedColumnFormula>
    </tableColumn>
    <tableColumn id="26" xr3:uid="{48FBD921-AF87-4EBA-9960-4A7BE4C47F48}" name="GFPG R4 H">
      <calculatedColumnFormula>AY59/AW59</calculatedColumnFormula>
    </tableColumn>
    <tableColumn id="27" xr3:uid="{47E57331-673A-4C18-8D35-9DECB2AF4A57}" name="GFPG R4 A">
      <calculatedColumnFormula>AZ59/AX59</calculatedColumnFormula>
    </tableColumn>
    <tableColumn id="28" xr3:uid="{6FF12EF2-F207-44B7-A80B-8F5DAC354481}" name="GAPG R4 H">
      <calculatedColumnFormula>BA59/AW59</calculatedColumnFormula>
    </tableColumn>
    <tableColumn id="29" xr3:uid="{E56EFE7B-BDB9-4DE6-9F02-712822243318}" name="GAPG R4 A">
      <calculatedColumnFormula>BB59/AX59</calculatedColumnFormula>
    </tableColumn>
    <tableColumn id="30" xr3:uid="{D42B447B-6659-42D3-AB19-A263422EA9AD}" name="GFPG R4">
      <calculatedColumnFormula>BE59/AJ59</calculatedColumnFormula>
    </tableColumn>
    <tableColumn id="31" xr3:uid="{8598FA58-2228-4F5F-B9BC-A780BA656BCF}" name="GAPG R4">
      <calculatedColumnFormula>BF59/AJ59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ACA58-DCD7-4A09-9052-0851D3ECB0FF}">
  <sheetPr codeName="Sheet1"/>
  <dimension ref="A1:CM96"/>
  <sheetViews>
    <sheetView tabSelected="1" topLeftCell="A4" zoomScaleNormal="100" workbookViewId="0">
      <selection activeCell="Q27" sqref="Q27"/>
    </sheetView>
  </sheetViews>
  <sheetFormatPr defaultRowHeight="15" x14ac:dyDescent="0.25"/>
  <cols>
    <col min="1" max="1" width="13" bestFit="1" customWidth="1"/>
    <col min="2" max="2" width="10.42578125" bestFit="1" customWidth="1"/>
    <col min="3" max="3" width="6.85546875" customWidth="1"/>
    <col min="4" max="4" width="7.28515625" style="2" customWidth="1"/>
    <col min="5" max="5" width="4.7109375" style="4" customWidth="1"/>
    <col min="6" max="6" width="13.7109375" style="5" customWidth="1"/>
    <col min="7" max="7" width="4.7109375" style="4" customWidth="1"/>
    <col min="8" max="9" width="8.7109375" style="8" customWidth="1"/>
    <col min="10" max="11" width="4.7109375" style="8" customWidth="1"/>
    <col min="12" max="14" width="8.7109375" customWidth="1"/>
    <col min="15" max="16" width="4.7109375" customWidth="1"/>
    <col min="17" max="17" width="9.140625" customWidth="1"/>
    <col min="18" max="18" width="12" style="2" customWidth="1"/>
    <col min="19" max="22" width="4.7109375" customWidth="1"/>
    <col min="23" max="25" width="8.7109375" style="2" customWidth="1"/>
    <col min="26" max="26" width="2.7109375" style="2" customWidth="1"/>
    <col min="27" max="27" width="31" customWidth="1"/>
    <col min="28" max="28" width="17.5703125" customWidth="1"/>
    <col min="29" max="29" width="22" bestFit="1" customWidth="1"/>
    <col min="32" max="32" width="12" bestFit="1" customWidth="1"/>
    <col min="34" max="34" width="11.140625" style="3" bestFit="1" customWidth="1"/>
    <col min="35" max="35" width="11" customWidth="1"/>
    <col min="36" max="36" width="11.140625" customWidth="1"/>
    <col min="37" max="37" width="13.7109375" customWidth="1"/>
    <col min="38" max="38" width="15.85546875" customWidth="1"/>
    <col min="39" max="39" width="12" bestFit="1" customWidth="1"/>
    <col min="40" max="40" width="15.85546875" customWidth="1"/>
    <col min="41" max="41" width="16.140625" customWidth="1"/>
    <col min="42" max="42" width="13.42578125" customWidth="1"/>
    <col min="43" max="44" width="13" customWidth="1"/>
    <col min="45" max="45" width="12.5703125" customWidth="1"/>
    <col min="46" max="46" width="10.85546875" customWidth="1"/>
    <col min="47" max="47" width="6.85546875" customWidth="1"/>
    <col min="48" max="48" width="5.7109375" customWidth="1"/>
    <col min="49" max="50" width="10" customWidth="1"/>
    <col min="51" max="52" width="9.85546875" customWidth="1"/>
    <col min="53" max="54" width="10.140625" customWidth="1"/>
    <col min="55" max="56" width="11.28515625" customWidth="1"/>
    <col min="57" max="57" width="9.5703125" customWidth="1"/>
    <col min="58" max="58" width="9.85546875" customWidth="1"/>
    <col min="59" max="59" width="11" customWidth="1"/>
    <col min="60" max="61" width="12.42578125" customWidth="1"/>
    <col min="62" max="63" width="12.7109375" customWidth="1"/>
    <col min="64" max="65" width="12" bestFit="1" customWidth="1"/>
    <col min="67" max="67" width="11" customWidth="1"/>
    <col min="68" max="68" width="9.5703125" customWidth="1"/>
    <col min="69" max="69" width="7.42578125" bestFit="1" customWidth="1"/>
    <col min="70" max="70" width="8.7109375" bestFit="1" customWidth="1"/>
    <col min="86" max="87" width="9.85546875" customWidth="1"/>
    <col min="88" max="89" width="10.140625" customWidth="1"/>
  </cols>
  <sheetData>
    <row r="1" spans="1:91" s="10" customFormat="1" ht="75" customHeight="1" x14ac:dyDescent="0.25">
      <c r="A1" s="71" t="s">
        <v>162</v>
      </c>
      <c r="B1" s="72" t="s">
        <v>0</v>
      </c>
      <c r="C1" s="72" t="s">
        <v>163</v>
      </c>
      <c r="D1" s="72" t="s">
        <v>1</v>
      </c>
      <c r="E1" s="73" t="s">
        <v>2</v>
      </c>
      <c r="F1" s="74" t="s">
        <v>3</v>
      </c>
      <c r="G1" s="73" t="s">
        <v>4</v>
      </c>
      <c r="H1" s="73" t="s">
        <v>5</v>
      </c>
      <c r="I1" s="73" t="s">
        <v>6</v>
      </c>
      <c r="J1" s="73" t="s">
        <v>7</v>
      </c>
      <c r="K1" s="73" t="s">
        <v>8</v>
      </c>
      <c r="L1" s="72" t="s">
        <v>9</v>
      </c>
      <c r="M1" s="72" t="s">
        <v>10</v>
      </c>
      <c r="N1" s="72" t="s">
        <v>11</v>
      </c>
      <c r="O1" s="72" t="s">
        <v>160</v>
      </c>
      <c r="P1" s="72" t="s">
        <v>159</v>
      </c>
      <c r="Q1" s="72" t="s">
        <v>165</v>
      </c>
      <c r="R1" s="72" t="s">
        <v>12</v>
      </c>
      <c r="S1" s="72" t="s">
        <v>166</v>
      </c>
      <c r="T1" s="72" t="s">
        <v>167</v>
      </c>
      <c r="U1" s="72" t="s">
        <v>13</v>
      </c>
      <c r="V1" s="72" t="s">
        <v>14</v>
      </c>
      <c r="W1" s="72" t="s">
        <v>15</v>
      </c>
      <c r="X1" s="72" t="s">
        <v>168</v>
      </c>
      <c r="Y1" s="72" t="s">
        <v>164</v>
      </c>
      <c r="Z1" s="72" t="s">
        <v>169</v>
      </c>
      <c r="AA1" s="72" t="s">
        <v>161</v>
      </c>
      <c r="AB1" s="11"/>
      <c r="AC1" s="12"/>
      <c r="AD1" s="12"/>
      <c r="AE1" s="12"/>
      <c r="AF1" s="12"/>
      <c r="AG1" s="12"/>
      <c r="AH1" s="13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27"/>
    </row>
    <row r="2" spans="1:91" x14ac:dyDescent="0.25">
      <c r="A2" s="60" t="str">
        <f>TEXT($B2,"dddd")</f>
        <v>Saturday</v>
      </c>
      <c r="B2" s="62">
        <v>46130</v>
      </c>
      <c r="C2" s="63">
        <v>0.66666666666666663</v>
      </c>
      <c r="D2" s="62" t="s">
        <v>16</v>
      </c>
      <c r="E2" s="65">
        <v>1</v>
      </c>
      <c r="F2" s="66" t="s">
        <v>36</v>
      </c>
      <c r="G2" s="65">
        <v>1</v>
      </c>
      <c r="H2" s="23" t="s">
        <v>18</v>
      </c>
      <c r="I2" s="24" t="s">
        <v>156</v>
      </c>
      <c r="J2" s="65">
        <v>1</v>
      </c>
      <c r="K2" s="65">
        <v>0</v>
      </c>
      <c r="L2" s="24" t="s">
        <v>156</v>
      </c>
      <c r="M2" s="23" t="s">
        <v>18</v>
      </c>
      <c r="N2" s="23" t="str">
        <f>IF(OR(ISBLANK(O2), ISBLANK($P2)), "", IF($O2&gt;$P2, $L2,$M2))</f>
        <v>CAR</v>
      </c>
      <c r="O2" s="66">
        <v>1</v>
      </c>
      <c r="P2" s="66">
        <v>2</v>
      </c>
      <c r="Q2" s="66" t="s">
        <v>155</v>
      </c>
      <c r="R2" s="62">
        <v>46130</v>
      </c>
      <c r="S2" s="66">
        <v>0</v>
      </c>
      <c r="T2" s="66">
        <v>2</v>
      </c>
      <c r="U2" s="66">
        <v>0</v>
      </c>
      <c r="V2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1</v>
      </c>
      <c r="W2" s="23" t="str">
        <f>IF(OR(ISBLANK($S2), ISBLANK($T2), ISBLANK($U2)), "", IF(S2&gt;T2,L2,M2))</f>
        <v>CAR</v>
      </c>
      <c r="X2" s="66">
        <f>IF(ISBLANK(Table2[[#This Row],[OTROUNDNUM]]), "", Table2[[#This Row],[PAWAYSCORE]]-Table2[[#This Row],[AAWAYSCORE]])</f>
        <v>1</v>
      </c>
      <c r="Y2" s="66">
        <f>IF(ISBLANK(Table2[[#This Row],[OTROUNDNUM]]), "", Table2[[#This Row],[PHOMESCORE]]-Table2[[#This Row],[AHOMESCORE]])</f>
        <v>0</v>
      </c>
      <c r="Z2" s="66">
        <f>IF(ISBLANK(Table2[[#This Row],[GAMENUM]]), " ", IF((Table2[[#This Row],[TOPSEEDWINS]]+Table2[[#This Row],[LOWSEEDWINS]]) &lt;&gt; Table2[[#This Row],[GAMENUM]], 0, 1))</f>
        <v>1</v>
      </c>
      <c r="AA2" s="60"/>
      <c r="AB2" s="68"/>
      <c r="AC2" s="14"/>
      <c r="AD2" s="21"/>
      <c r="AE2" s="19"/>
      <c r="AF2" s="25"/>
      <c r="AG2" s="19"/>
      <c r="AH2" s="104" t="s">
        <v>164</v>
      </c>
      <c r="AI2" s="57" t="s">
        <v>19</v>
      </c>
      <c r="AJ2" s="57" t="s">
        <v>20</v>
      </c>
      <c r="AK2" s="57" t="s">
        <v>21</v>
      </c>
      <c r="AL2" s="57" t="s">
        <v>22</v>
      </c>
      <c r="AM2" s="57" t="s">
        <v>23</v>
      </c>
      <c r="AN2" s="57" t="s">
        <v>24</v>
      </c>
      <c r="AO2" s="57" t="s">
        <v>25</v>
      </c>
      <c r="AP2" s="57" t="s">
        <v>26</v>
      </c>
      <c r="AQ2" s="57" t="s">
        <v>27</v>
      </c>
      <c r="AR2" s="57" t="s">
        <v>28</v>
      </c>
      <c r="AS2" s="57" t="s">
        <v>29</v>
      </c>
      <c r="AT2" s="57" t="s">
        <v>30</v>
      </c>
      <c r="AU2" s="68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33"/>
    </row>
    <row r="3" spans="1:91" x14ac:dyDescent="0.25">
      <c r="A3" s="60" t="str">
        <f t="shared" ref="A3:A6" si="0">TEXT($B3,"dddd")</f>
        <v>Saturday</v>
      </c>
      <c r="B3" s="62">
        <v>46130</v>
      </c>
      <c r="C3" s="63">
        <v>0.6875</v>
      </c>
      <c r="D3" s="62" t="s">
        <v>38</v>
      </c>
      <c r="E3" s="65">
        <v>1</v>
      </c>
      <c r="F3" s="69" t="s">
        <v>39</v>
      </c>
      <c r="G3" s="65">
        <v>1</v>
      </c>
      <c r="H3" s="29" t="s">
        <v>46</v>
      </c>
      <c r="I3" s="30" t="s">
        <v>157</v>
      </c>
      <c r="J3" s="65">
        <v>0</v>
      </c>
      <c r="K3" s="65">
        <v>1</v>
      </c>
      <c r="L3" s="30" t="s">
        <v>157</v>
      </c>
      <c r="M3" s="29" t="s">
        <v>46</v>
      </c>
      <c r="N3" s="29" t="str">
        <f t="shared" ref="N3:N11" si="1">IF(OR(ISBLANK(O3), ISBLANK($P3)), "", IF($O3&gt;$P3, $L3,$M3))</f>
        <v>DAL</v>
      </c>
      <c r="O3" s="66">
        <v>2</v>
      </c>
      <c r="P3" s="66">
        <v>3</v>
      </c>
      <c r="Q3" s="66" t="s">
        <v>154</v>
      </c>
      <c r="R3" s="62">
        <v>46130</v>
      </c>
      <c r="S3" s="66">
        <v>6</v>
      </c>
      <c r="T3" s="66">
        <v>1</v>
      </c>
      <c r="U3" s="66">
        <v>0</v>
      </c>
      <c r="V3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0</v>
      </c>
      <c r="W3" s="30" t="str">
        <f t="shared" ref="W3:W67" si="2">IF(OR(ISBLANK($S3), ISBLANK($T3), ISBLANK($U3)), "", IF(S3&gt;T3,L3,M3))</f>
        <v>MIN</v>
      </c>
      <c r="X3" s="66">
        <f>IF(ISBLANK(Table2[[#This Row],[OTROUNDNUM]]), "", Table2[[#This Row],[PAWAYSCORE]]-Table2[[#This Row],[AAWAYSCORE]])</f>
        <v>-4</v>
      </c>
      <c r="Y3" s="66">
        <f>IF(ISBLANK(Table2[[#This Row],[OTROUNDNUM]]), "", Table2[[#This Row],[PHOMESCORE]]-Table2[[#This Row],[AHOMESCORE]])</f>
        <v>2</v>
      </c>
      <c r="Z3" s="66">
        <f>IF(ISBLANK(Table2[[#This Row],[GAMENUM]]), " ", IF((Table2[[#This Row],[TOPSEEDWINS]]+Table2[[#This Row],[LOWSEEDWINS]]) &lt;&gt; Table2[[#This Row],[GAMENUM]], 0, 1))</f>
        <v>1</v>
      </c>
      <c r="AA3" s="60" t="s">
        <v>178</v>
      </c>
      <c r="AB3" s="68"/>
      <c r="AC3" s="14" t="s">
        <v>32</v>
      </c>
      <c r="AD3" s="21"/>
      <c r="AE3" s="19"/>
      <c r="AF3" s="32">
        <f>8*7</f>
        <v>56</v>
      </c>
      <c r="AG3" s="19"/>
      <c r="AH3" s="107" t="s">
        <v>33</v>
      </c>
      <c r="AI3" s="108" t="str">
        <f t="array" ref="AI3">INDEX(H:H, MATCH(2, 1/(F:F=AH3)))</f>
        <v>BUF</v>
      </c>
      <c r="AJ3" s="109" t="str">
        <f t="array" ref="AJ3">INDEX(I:I, MATCH(2, 1/(F:F=AH3)))</f>
        <v>BOS</v>
      </c>
      <c r="AK3" s="60">
        <f t="array" ref="AK3">INDEX(G:G, MATCH(2, 1/(F:F=AH3)))</f>
        <v>4</v>
      </c>
      <c r="AL3" s="60">
        <f>SUMIFS($V$2:$V$107,$F$2:$F$107,AH3)</f>
        <v>1</v>
      </c>
      <c r="AM3" s="60">
        <f t="shared" ref="AM3:AM17" si="3">AL3/AK3</f>
        <v>0.25</v>
      </c>
      <c r="AN3" s="60">
        <f>SUMIFS($T$2:$T$107,$M$2:$M$107,AI3,$E$2:$E$107,1) + SUMIFS($S$2:$S$107,$L$2:$L$107,AI3,$E$2:$E$107,1)</f>
        <v>9</v>
      </c>
      <c r="AO3" s="60">
        <f>SUMIFS($T$2:$T$106,$M$2:$M$106,AJ3,$E$2:$E$106,1) + SUMIFS($S$2:$S$106,$L$2:$L$106,AJ3,$E$2:$E$106,1)</f>
        <v>8</v>
      </c>
      <c r="AP3" s="60">
        <f>SUMIFS(T2:T86,F2:F86,AH3)</f>
        <v>7</v>
      </c>
      <c r="AQ3" s="60"/>
      <c r="AR3" s="60"/>
      <c r="AS3" s="60"/>
      <c r="AT3" s="60"/>
      <c r="AU3" s="68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33"/>
    </row>
    <row r="4" spans="1:91" x14ac:dyDescent="0.25">
      <c r="A4" s="60" t="str">
        <f t="shared" si="0"/>
        <v>Saturday</v>
      </c>
      <c r="B4" s="62">
        <v>46130</v>
      </c>
      <c r="C4" s="63">
        <v>0.875</v>
      </c>
      <c r="D4" s="62" t="s">
        <v>16</v>
      </c>
      <c r="E4" s="65">
        <v>1</v>
      </c>
      <c r="F4" s="66" t="s">
        <v>17</v>
      </c>
      <c r="G4" s="65">
        <v>1</v>
      </c>
      <c r="H4" s="34" t="s">
        <v>170</v>
      </c>
      <c r="I4" s="35" t="s">
        <v>171</v>
      </c>
      <c r="J4" s="65">
        <v>0</v>
      </c>
      <c r="K4" s="65">
        <v>1</v>
      </c>
      <c r="L4" s="35" t="s">
        <v>171</v>
      </c>
      <c r="M4" s="34" t="s">
        <v>170</v>
      </c>
      <c r="N4" s="35" t="str">
        <f t="shared" si="1"/>
        <v>PHI</v>
      </c>
      <c r="O4" s="66">
        <v>2</v>
      </c>
      <c r="P4" s="66">
        <v>1</v>
      </c>
      <c r="Q4" s="66" t="s">
        <v>154</v>
      </c>
      <c r="R4" s="62">
        <v>46130</v>
      </c>
      <c r="S4" s="66">
        <v>2</v>
      </c>
      <c r="T4" s="66">
        <v>3</v>
      </c>
      <c r="U4" s="66">
        <v>0</v>
      </c>
      <c r="V4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0</v>
      </c>
      <c r="W4" s="34" t="str">
        <f t="shared" si="2"/>
        <v>PIT</v>
      </c>
      <c r="X4" s="66">
        <f>IF(ISBLANK(Table2[[#This Row],[OTROUNDNUM]]), "", Table2[[#This Row],[PAWAYSCORE]]-Table2[[#This Row],[AAWAYSCORE]])</f>
        <v>0</v>
      </c>
      <c r="Y4" s="66">
        <f>IF(ISBLANK(Table2[[#This Row],[OTROUNDNUM]]), "", Table2[[#This Row],[PHOMESCORE]]-Table2[[#This Row],[AHOMESCORE]])</f>
        <v>-2</v>
      </c>
      <c r="Z4" s="66">
        <f>IF(ISBLANK(Table2[[#This Row],[GAMENUM]]), " ", IF((Table2[[#This Row],[TOPSEEDWINS]]+Table2[[#This Row],[LOWSEEDWINS]]) &lt;&gt; Table2[[#This Row],[GAMENUM]], 0, 1))</f>
        <v>1</v>
      </c>
      <c r="AA4" s="60"/>
      <c r="AB4" s="68"/>
      <c r="AC4" s="14" t="s">
        <v>35</v>
      </c>
      <c r="AD4" s="21"/>
      <c r="AE4" s="36"/>
      <c r="AF4" s="7">
        <f>MAX(SUM(AK3:AK10), 32)</f>
        <v>32</v>
      </c>
      <c r="AG4" s="19"/>
      <c r="AH4" s="107" t="s">
        <v>31</v>
      </c>
      <c r="AI4" s="110" t="str">
        <f t="array" ref="AI4">INDEX(H:H, MATCH(2, 1/(F:F=AH4)))</f>
        <v>TBL</v>
      </c>
      <c r="AJ4" s="111" t="str">
        <f t="array" ref="AJ4">INDEX(I:I, MATCH(2, 1/(F:F=AH4)))</f>
        <v>MTL</v>
      </c>
      <c r="AK4" s="60">
        <f t="array" ref="AK4">INDEX(G:G, MATCH(2, 1/(F:F=AH4)))</f>
        <v>4</v>
      </c>
      <c r="AL4" s="60">
        <f>SUMIFS($V$2:$V$107,$F$2:$F$107,AH4)</f>
        <v>2</v>
      </c>
      <c r="AM4" s="60">
        <f t="shared" si="3"/>
        <v>0.5</v>
      </c>
      <c r="AN4" s="60">
        <f>SUMIFS($T$2:$T$106,$M$2:$M$106,AI4,$E$2:$E$106,1) + SUMIFS($S$2:$S$106,$L$2:$L$106,AI4,$E$2:$E$106,1)</f>
        <v>8</v>
      </c>
      <c r="AO4" s="60">
        <f>SUMIFS($T$2:$T$106,$M$2:$M$106,AJ4,$E$2:$E$106,1) + SUMIFS($S$2:$S$106,$L$2:$L$106,AJ4,$E$2:$E$106,1)</f>
        <v>9</v>
      </c>
      <c r="AP4" s="60"/>
      <c r="AQ4" s="60"/>
      <c r="AR4" s="60"/>
      <c r="AS4" s="60"/>
      <c r="AT4" s="60"/>
      <c r="AU4" s="68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33"/>
    </row>
    <row r="5" spans="1:91" x14ac:dyDescent="0.25">
      <c r="A5" s="60" t="str">
        <f t="shared" si="0"/>
        <v>Sunday</v>
      </c>
      <c r="B5" s="62">
        <v>46131</v>
      </c>
      <c r="C5" s="63">
        <v>0.66666666666666663</v>
      </c>
      <c r="D5" s="62" t="s">
        <v>38</v>
      </c>
      <c r="E5" s="65">
        <v>1</v>
      </c>
      <c r="F5" s="66" t="s">
        <v>45</v>
      </c>
      <c r="G5" s="65">
        <v>1</v>
      </c>
      <c r="H5" s="75" t="s">
        <v>40</v>
      </c>
      <c r="I5" s="77" t="s">
        <v>49</v>
      </c>
      <c r="J5" s="65">
        <v>1</v>
      </c>
      <c r="K5" s="65">
        <v>0</v>
      </c>
      <c r="L5" s="77" t="s">
        <v>49</v>
      </c>
      <c r="M5" s="75" t="s">
        <v>40</v>
      </c>
      <c r="N5" s="75" t="str">
        <f t="shared" si="1"/>
        <v>COL</v>
      </c>
      <c r="O5" s="66">
        <v>1</v>
      </c>
      <c r="P5" s="66">
        <v>3</v>
      </c>
      <c r="Q5" s="66" t="s">
        <v>155</v>
      </c>
      <c r="R5" s="62">
        <v>46131</v>
      </c>
      <c r="S5" s="66">
        <v>1</v>
      </c>
      <c r="T5" s="66">
        <v>2</v>
      </c>
      <c r="U5" s="66">
        <v>0</v>
      </c>
      <c r="V5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1</v>
      </c>
      <c r="W5" s="75" t="str">
        <f t="shared" si="2"/>
        <v>COL</v>
      </c>
      <c r="X5" s="66">
        <f>IF(ISBLANK(Table2[[#This Row],[OTROUNDNUM]]), "", Table2[[#This Row],[PAWAYSCORE]]-Table2[[#This Row],[AAWAYSCORE]])</f>
        <v>0</v>
      </c>
      <c r="Y5" s="66">
        <f>IF(ISBLANK(Table2[[#This Row],[OTROUNDNUM]]), "", Table2[[#This Row],[PHOMESCORE]]-Table2[[#This Row],[AHOMESCORE]])</f>
        <v>1</v>
      </c>
      <c r="Z5" s="66">
        <f>IF(ISBLANK(Table2[[#This Row],[GAMENUM]]), " ", IF((Table2[[#This Row],[TOPSEEDWINS]]+Table2[[#This Row],[LOWSEEDWINS]]) &lt;&gt; Table2[[#This Row],[GAMENUM]], 0, 1))</f>
        <v>1</v>
      </c>
      <c r="AA5" s="60"/>
      <c r="AB5" s="68"/>
      <c r="AC5" s="14" t="s">
        <v>37</v>
      </c>
      <c r="AD5" s="21"/>
      <c r="AE5" s="19"/>
      <c r="AF5" s="31">
        <f>COUNT(Table2[CORRECT])</f>
        <v>24</v>
      </c>
      <c r="AG5" s="19"/>
      <c r="AH5" s="107" t="s">
        <v>17</v>
      </c>
      <c r="AI5" s="37" t="str">
        <f t="array" ref="AI5">INDEX(H:H, MATCH(2, 1/(F:F=AH5)))</f>
        <v>PIT</v>
      </c>
      <c r="AJ5" s="38" t="str">
        <f t="array" ref="AJ5">INDEX(I:I, MATCH(2, 1/(F:F=AH5)))</f>
        <v>PHI</v>
      </c>
      <c r="AK5" s="60">
        <f t="array" ref="AK5">INDEX(G:G, MATCH(2, 1/(F:F=AH5)))</f>
        <v>4</v>
      </c>
      <c r="AL5" s="60">
        <f>SUMIFS($V$2:$V$107,$F$2:$F$107,AH5)</f>
        <v>0</v>
      </c>
      <c r="AM5" s="60">
        <f t="shared" si="3"/>
        <v>0</v>
      </c>
      <c r="AN5" s="60">
        <f>SUMIFS($T$2:$T$106,$M$2:$M$106,AI5,$E$2:$E$106,1) + SUMIFS($S$2:$S$106,$L$2:$L$106,AI5,$E$2:$E$106,1)</f>
        <v>5</v>
      </c>
      <c r="AO5" s="60">
        <f>SUMIFS($T$2:$T$106,$M$2:$M$106,AJ5,$E$2:$E$106,1) + SUMIFS($S$2:$S$106,$L$2:$L$106,AJ5,$E$2:$E$106,1)</f>
        <v>10</v>
      </c>
      <c r="AP5" s="60"/>
      <c r="AQ5" s="60"/>
      <c r="AR5" s="60"/>
      <c r="AS5" s="60"/>
      <c r="AT5" s="60"/>
      <c r="AU5" s="68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33"/>
    </row>
    <row r="6" spans="1:91" x14ac:dyDescent="0.25">
      <c r="A6" s="60" t="str">
        <f t="shared" si="0"/>
        <v>Sunday</v>
      </c>
      <c r="B6" s="62">
        <v>46131</v>
      </c>
      <c r="C6" s="63">
        <v>0.85416666666666663</v>
      </c>
      <c r="D6" s="62" t="s">
        <v>16</v>
      </c>
      <c r="E6" s="65">
        <v>1</v>
      </c>
      <c r="F6" s="69" t="s">
        <v>31</v>
      </c>
      <c r="G6" s="65">
        <v>1</v>
      </c>
      <c r="H6" s="81" t="s">
        <v>34</v>
      </c>
      <c r="I6" s="83" t="s">
        <v>158</v>
      </c>
      <c r="J6" s="65">
        <v>0</v>
      </c>
      <c r="K6" s="65">
        <v>1</v>
      </c>
      <c r="L6" s="83" t="s">
        <v>158</v>
      </c>
      <c r="M6" s="81" t="s">
        <v>34</v>
      </c>
      <c r="N6" s="81" t="str">
        <f t="shared" si="1"/>
        <v>TBL</v>
      </c>
      <c r="O6" s="66">
        <v>2</v>
      </c>
      <c r="P6" s="66">
        <v>3</v>
      </c>
      <c r="Q6" s="66" t="s">
        <v>154</v>
      </c>
      <c r="R6" s="62">
        <v>46131</v>
      </c>
      <c r="S6" s="66">
        <v>4</v>
      </c>
      <c r="T6" s="66">
        <v>3</v>
      </c>
      <c r="U6" s="66">
        <v>1</v>
      </c>
      <c r="V6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0</v>
      </c>
      <c r="W6" s="83" t="str">
        <f t="shared" si="2"/>
        <v>MTL</v>
      </c>
      <c r="X6" s="66">
        <f>IF(ISBLANK(Table2[[#This Row],[OTROUNDNUM]]), "", Table2[[#This Row],[PAWAYSCORE]]-Table2[[#This Row],[AAWAYSCORE]])</f>
        <v>-2</v>
      </c>
      <c r="Y6" s="66">
        <f>IF(ISBLANK(Table2[[#This Row],[OTROUNDNUM]]), "", Table2[[#This Row],[PHOMESCORE]]-Table2[[#This Row],[AHOMESCORE]])</f>
        <v>0</v>
      </c>
      <c r="Z6" s="66">
        <f>IF(ISBLANK(Table2[[#This Row],[GAMENUM]]), " ", IF((Table2[[#This Row],[TOPSEEDWINS]]+Table2[[#This Row],[LOWSEEDWINS]]) &lt;&gt; Table2[[#This Row],[GAMENUM]], 0, 1))</f>
        <v>1</v>
      </c>
      <c r="AA6" s="60" t="s">
        <v>177</v>
      </c>
      <c r="AB6" s="68"/>
      <c r="AC6" s="14" t="s">
        <v>41</v>
      </c>
      <c r="AD6" s="21"/>
      <c r="AE6" s="19"/>
      <c r="AF6" s="32">
        <f>SUM(Table2[CORRECT])</f>
        <v>13</v>
      </c>
      <c r="AG6" s="19"/>
      <c r="AH6" s="107" t="s">
        <v>36</v>
      </c>
      <c r="AI6" s="40" t="str">
        <f t="array" ref="AI6">INDEX(H:H, MATCH(2, 1/(F:F=AH6)))</f>
        <v>CAR</v>
      </c>
      <c r="AJ6" s="41" t="str">
        <f t="array" ref="AJ6">INDEX(I:I, MATCH(2, 1/(F:F=AH6)))</f>
        <v>OTT</v>
      </c>
      <c r="AK6" s="60">
        <f t="array" ref="AK6">INDEX(G:G, MATCH(2, 1/(F:F=AH6)))</f>
        <v>4</v>
      </c>
      <c r="AL6" s="60">
        <f>SUMIFS($V$2:$V$107,$F$2:$F$107,AH6)</f>
        <v>2</v>
      </c>
      <c r="AM6" s="60">
        <f t="shared" si="3"/>
        <v>0.5</v>
      </c>
      <c r="AN6" s="60">
        <f>SUMIFS($T$2:$T$106,$M$2:$M$106,AI6,$E$2:$E$106,1) + SUMIFS($S$2:$S$106,$L$2:$L$106,AI6,$E$2:$E$106,1)</f>
        <v>7</v>
      </c>
      <c r="AO6" s="60">
        <f>SUMIFS($T$2:$T$106,$M$2:$M$106,AJ6,$E$2:$E$106,1) + SUMIFS($S$2:$S$106,$L$2:$L$106,AJ6,$E$2:$E$106,1)</f>
        <v>3</v>
      </c>
      <c r="AP6" s="60"/>
      <c r="AQ6" s="60"/>
      <c r="AR6" s="60"/>
      <c r="AS6" s="60"/>
      <c r="AT6" s="60"/>
      <c r="AU6" s="68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33"/>
    </row>
    <row r="7" spans="1:91" x14ac:dyDescent="0.25">
      <c r="A7" s="60" t="str">
        <f>TEXT($B7,"dddd")</f>
        <v>Sunday</v>
      </c>
      <c r="B7" s="62">
        <v>46131</v>
      </c>
      <c r="C7" s="63">
        <v>0.78125</v>
      </c>
      <c r="D7" s="62" t="s">
        <v>16</v>
      </c>
      <c r="E7" s="65">
        <v>1</v>
      </c>
      <c r="F7" s="66" t="s">
        <v>33</v>
      </c>
      <c r="G7" s="65">
        <v>1</v>
      </c>
      <c r="H7" s="82" t="s">
        <v>172</v>
      </c>
      <c r="I7" s="84" t="s">
        <v>173</v>
      </c>
      <c r="J7" s="65">
        <v>1</v>
      </c>
      <c r="K7" s="65">
        <v>0</v>
      </c>
      <c r="L7" s="78" t="s">
        <v>173</v>
      </c>
      <c r="M7" s="76" t="s">
        <v>172</v>
      </c>
      <c r="N7" s="76" t="str">
        <f t="shared" si="1"/>
        <v>BUF</v>
      </c>
      <c r="O7" s="66">
        <v>2</v>
      </c>
      <c r="P7" s="66">
        <v>3</v>
      </c>
      <c r="Q7" s="66" t="s">
        <v>154</v>
      </c>
      <c r="R7" s="62">
        <v>46131</v>
      </c>
      <c r="S7" s="66">
        <v>3</v>
      </c>
      <c r="T7" s="66">
        <v>4</v>
      </c>
      <c r="U7" s="66">
        <v>0</v>
      </c>
      <c r="V7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1</v>
      </c>
      <c r="W7" s="76" t="str">
        <f t="shared" si="2"/>
        <v>BUF</v>
      </c>
      <c r="X7" s="66">
        <f>IF(ISBLANK(Table2[[#This Row],[OTROUNDNUM]]), "", Table2[[#This Row],[PAWAYSCORE]]-Table2[[#This Row],[AAWAYSCORE]])</f>
        <v>-1</v>
      </c>
      <c r="Y7" s="66">
        <f>IF(ISBLANK(Table2[[#This Row],[OTROUNDNUM]]), "", Table2[[#This Row],[PHOMESCORE]]-Table2[[#This Row],[AHOMESCORE]])</f>
        <v>-1</v>
      </c>
      <c r="Z7" s="79">
        <f>IF(ISBLANK(Table2[[#This Row],[GAMENUM]]), " ", IF((Table2[[#This Row],[TOPSEEDWINS]]+Table2[[#This Row],[LOWSEEDWINS]]) &lt;&gt; Table2[[#This Row],[GAMENUM]], 0, 1))</f>
        <v>1</v>
      </c>
      <c r="AA7" s="60" t="s">
        <v>176</v>
      </c>
      <c r="AB7" s="68"/>
      <c r="AC7" s="14" t="s">
        <v>43</v>
      </c>
      <c r="AD7" s="21"/>
      <c r="AE7" s="36"/>
      <c r="AF7" s="7">
        <f>AF6/AF5</f>
        <v>0.54166666666666663</v>
      </c>
      <c r="AG7" s="19"/>
      <c r="AH7" s="107" t="s">
        <v>42</v>
      </c>
      <c r="AI7" s="112" t="str">
        <f t="array" ref="AI7">INDEX(H:H, MATCH(2, 1/(F:F=AH7)))</f>
        <v>VGK</v>
      </c>
      <c r="AJ7" s="113" t="str">
        <f t="array" ref="AJ7">INDEX(I:I, MATCH(2, 1/(F:F=AH7)))</f>
        <v>UTA</v>
      </c>
      <c r="AK7" s="60">
        <f t="array" ref="AK7">INDEX(G:G, MATCH(2, 1/(F:F=AH7)))</f>
        <v>3</v>
      </c>
      <c r="AL7" s="60">
        <f>SUMIFS($V$2:$V$107,$F$2:$F$107,AH7)</f>
        <v>2</v>
      </c>
      <c r="AM7" s="60">
        <f t="shared" si="3"/>
        <v>0.66666666666666663</v>
      </c>
      <c r="AN7" s="60">
        <f>SUMIFS($T$2:$T$106,$M$2:$M$106,AI7,$E$2:$E$106,1) + SUMIFS($S$2:$S$106,$L$2:$L$106,AI7,$E$2:$E$106,1)</f>
        <v>8</v>
      </c>
      <c r="AO7" s="60">
        <f>SUMIFS($T$2:$T$106,$M$2:$M$106,AJ7,$E$2:$E$106,1) + SUMIFS($S$2:$S$106,$L$2:$L$106,AJ7,$E$2:$E$106,1)</f>
        <v>9</v>
      </c>
      <c r="AP7" s="60"/>
      <c r="AQ7" s="60"/>
      <c r="AR7" s="60"/>
      <c r="AS7" s="60"/>
      <c r="AT7" s="60"/>
      <c r="AU7" s="68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33"/>
    </row>
    <row r="8" spans="1:91" x14ac:dyDescent="0.25">
      <c r="A8" s="60" t="str">
        <f>TEXT($B8,"dddd")</f>
        <v>Sunday</v>
      </c>
      <c r="B8" s="62">
        <v>46131</v>
      </c>
      <c r="C8" s="63">
        <v>0.95833333333333337</v>
      </c>
      <c r="D8" s="62" t="s">
        <v>38</v>
      </c>
      <c r="E8" s="65">
        <v>1</v>
      </c>
      <c r="F8" s="69" t="s">
        <v>42</v>
      </c>
      <c r="G8" s="65">
        <v>1</v>
      </c>
      <c r="H8" s="85" t="s">
        <v>47</v>
      </c>
      <c r="I8" s="86" t="s">
        <v>174</v>
      </c>
      <c r="J8" s="65">
        <v>1</v>
      </c>
      <c r="K8" s="65">
        <v>0</v>
      </c>
      <c r="L8" s="87" t="s">
        <v>174</v>
      </c>
      <c r="M8" s="88" t="s">
        <v>47</v>
      </c>
      <c r="N8" s="87" t="str">
        <f t="shared" si="1"/>
        <v>UTA</v>
      </c>
      <c r="O8" s="66">
        <v>4</v>
      </c>
      <c r="P8" s="66">
        <v>2</v>
      </c>
      <c r="Q8" s="66" t="s">
        <v>155</v>
      </c>
      <c r="R8" s="62">
        <v>46131</v>
      </c>
      <c r="S8" s="66">
        <v>2</v>
      </c>
      <c r="T8" s="66">
        <v>4</v>
      </c>
      <c r="U8" s="66">
        <v>0</v>
      </c>
      <c r="V8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0</v>
      </c>
      <c r="W8" s="88" t="str">
        <f t="shared" si="2"/>
        <v>VGK</v>
      </c>
      <c r="X8" s="66">
        <f>IF(ISBLANK(Table2[[#This Row],[OTROUNDNUM]]), "", Table2[[#This Row],[PAWAYSCORE]]-Table2[[#This Row],[AAWAYSCORE]])</f>
        <v>2</v>
      </c>
      <c r="Y8" s="66">
        <f>IF(ISBLANK(Table2[[#This Row],[OTROUNDNUM]]), "", Table2[[#This Row],[PHOMESCORE]]-Table2[[#This Row],[AHOMESCORE]])</f>
        <v>-2</v>
      </c>
      <c r="Z8" s="79">
        <f>IF(ISBLANK(Table2[[#This Row],[GAMENUM]]), " ", IF((Table2[[#This Row],[TOPSEEDWINS]]+Table2[[#This Row],[LOWSEEDWINS]]) &lt;&gt; Table2[[#This Row],[GAMENUM]], 0, 1))</f>
        <v>1</v>
      </c>
      <c r="AA8" s="60" t="s">
        <v>179</v>
      </c>
      <c r="AB8" s="68"/>
      <c r="AC8" s="14"/>
      <c r="AD8" s="21"/>
      <c r="AE8" s="19"/>
      <c r="AF8" s="25"/>
      <c r="AG8" s="19"/>
      <c r="AH8" s="107" t="s">
        <v>44</v>
      </c>
      <c r="AI8" s="114" t="str">
        <f t="array" ref="AI8">INDEX(H:H, MATCH(2, 1/(F:F=AH8)))</f>
        <v>EDM</v>
      </c>
      <c r="AJ8" s="115" t="str">
        <f t="array" ref="AJ8">INDEX(I:I, MATCH(2, 1/(F:F=AH8)))</f>
        <v>ANA</v>
      </c>
      <c r="AK8" s="60">
        <f t="array" ref="AK8">INDEX(G:G, MATCH(2, 1/(F:F=AH8)))</f>
        <v>4</v>
      </c>
      <c r="AL8" s="60">
        <f>SUMIFS($V$2:$V$107,$F$2:$F$107,AH8)</f>
        <v>2</v>
      </c>
      <c r="AM8" s="60">
        <f t="shared" si="3"/>
        <v>0.5</v>
      </c>
      <c r="AN8" s="60">
        <f>SUMIFS($T$2:$T$106,$M$2:$M$106,AI8,$E$2:$E$106,1) + SUMIFS($S$2:$S$106,$L$2:$L$106,AI8,$E$2:$E$106,1)</f>
        <v>12</v>
      </c>
      <c r="AO8" s="60">
        <f>SUMIFS($T$2:$T$106,$M$2:$M$106,AJ8,$E$2:$E$106,1) + SUMIFS($S$2:$S$106,$L$2:$L$106,AJ8,$E$2:$E$106,1)</f>
        <v>16</v>
      </c>
      <c r="AP8" s="60"/>
      <c r="AQ8" s="60"/>
      <c r="AR8" s="60"/>
      <c r="AS8" s="60"/>
      <c r="AT8" s="60"/>
      <c r="AU8" s="68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33"/>
    </row>
    <row r="9" spans="1:91" x14ac:dyDescent="0.25">
      <c r="A9" s="60" t="str">
        <f>TEXT($B9,"dddd")</f>
        <v>Monday</v>
      </c>
      <c r="B9" s="62">
        <v>46132</v>
      </c>
      <c r="C9" s="63">
        <v>0.83333333333333337</v>
      </c>
      <c r="D9" s="62" t="s">
        <v>16</v>
      </c>
      <c r="E9" s="65">
        <v>1</v>
      </c>
      <c r="F9" s="66" t="s">
        <v>17</v>
      </c>
      <c r="G9" s="65">
        <v>2</v>
      </c>
      <c r="H9" s="97" t="s">
        <v>170</v>
      </c>
      <c r="I9" s="96" t="s">
        <v>171</v>
      </c>
      <c r="J9" s="65">
        <v>0</v>
      </c>
      <c r="K9" s="65">
        <v>2</v>
      </c>
      <c r="L9" s="35" t="s">
        <v>171</v>
      </c>
      <c r="M9" s="34" t="s">
        <v>170</v>
      </c>
      <c r="N9" s="34" t="str">
        <f t="shared" si="1"/>
        <v>PIT</v>
      </c>
      <c r="O9" s="66">
        <v>1</v>
      </c>
      <c r="P9" s="66">
        <v>2</v>
      </c>
      <c r="Q9" s="66" t="s">
        <v>154</v>
      </c>
      <c r="R9" s="62">
        <v>46132</v>
      </c>
      <c r="S9" s="66">
        <v>3</v>
      </c>
      <c r="T9" s="66">
        <v>0</v>
      </c>
      <c r="U9" s="66">
        <v>0</v>
      </c>
      <c r="V9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0</v>
      </c>
      <c r="W9" s="35" t="str">
        <f t="shared" si="2"/>
        <v>PHI</v>
      </c>
      <c r="X9" s="66">
        <f>IF(ISBLANK(Table2[[#This Row],[OTROUNDNUM]]), "", Table2[[#This Row],[PAWAYSCORE]]-Table2[[#This Row],[AAWAYSCORE]])</f>
        <v>-2</v>
      </c>
      <c r="Y9" s="66">
        <f>IF(ISBLANK(Table2[[#This Row],[OTROUNDNUM]]), "", Table2[[#This Row],[PHOMESCORE]]-Table2[[#This Row],[AHOMESCORE]])</f>
        <v>2</v>
      </c>
      <c r="Z9" s="79">
        <f>IF(ISBLANK(Table2[[#This Row],[GAMENUM]]), " ", IF((Table2[[#This Row],[TOPSEEDWINS]]+Table2[[#This Row],[LOWSEEDWINS]]) &lt;&gt; Table2[[#This Row],[GAMENUM]], 0, 1))</f>
        <v>1</v>
      </c>
      <c r="AA9" s="60"/>
      <c r="AB9" s="68"/>
      <c r="AC9" s="14"/>
      <c r="AD9" s="21"/>
      <c r="AE9" s="19"/>
      <c r="AF9" s="25"/>
      <c r="AG9" s="19"/>
      <c r="AH9" s="107" t="s">
        <v>39</v>
      </c>
      <c r="AI9" s="43" t="str">
        <f t="array" ref="AI9">INDEX(H:H, MATCH(2, 1/(F:F=AH9)))</f>
        <v>DAL</v>
      </c>
      <c r="AJ9" s="44" t="str">
        <f t="array" ref="AJ9">INDEX(I:I, MATCH(2, 1/(F:F=AH9)))</f>
        <v>MIN</v>
      </c>
      <c r="AK9" s="60">
        <f t="array" ref="AK9">INDEX(G:G, MATCH(2, 1/(F:F=AH9)))</f>
        <v>4</v>
      </c>
      <c r="AL9" s="60">
        <f>SUMIFS($V$2:$V$107,$F$2:$F$107,AH9)</f>
        <v>1</v>
      </c>
      <c r="AM9" s="60">
        <f t="shared" si="3"/>
        <v>0.25</v>
      </c>
      <c r="AN9" s="60">
        <f>SUMIFS($T$2:$T$106,$M$2:$M$106,AI9,$E$2:$E$106,1) + SUMIFS($S$2:$S$106,$L$2:$L$106,AI9,$E$2:$E$106,1)</f>
        <v>9</v>
      </c>
      <c r="AO9" s="60">
        <f>SUMIFS($T$2:$T$106,$M$2:$M$106,AJ9,$E$2:$E$106,1) + SUMIFS($S$2:$S$106,$L$2:$L$106,AJ9,$E$2:$E$106,1)</f>
        <v>11</v>
      </c>
      <c r="AP9" s="60"/>
      <c r="AQ9" s="60"/>
      <c r="AR9" s="60"/>
      <c r="AS9" s="60"/>
      <c r="AT9" s="60"/>
      <c r="AU9" s="68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33"/>
    </row>
    <row r="10" spans="1:91" x14ac:dyDescent="0.25">
      <c r="A10" s="60" t="str">
        <f t="shared" ref="A10:A11" si="4">TEXT($B10,"dddd")</f>
        <v>Monday</v>
      </c>
      <c r="B10" s="62">
        <v>46132</v>
      </c>
      <c r="C10" s="63">
        <v>0.85416666666666663</v>
      </c>
      <c r="D10" s="62" t="s">
        <v>16</v>
      </c>
      <c r="E10" s="65">
        <v>1</v>
      </c>
      <c r="F10" s="66" t="s">
        <v>36</v>
      </c>
      <c r="G10" s="65">
        <v>2</v>
      </c>
      <c r="H10" s="94" t="s">
        <v>18</v>
      </c>
      <c r="I10" s="95" t="s">
        <v>156</v>
      </c>
      <c r="J10" s="65">
        <v>2</v>
      </c>
      <c r="K10" s="65">
        <v>0</v>
      </c>
      <c r="L10" s="24" t="s">
        <v>156</v>
      </c>
      <c r="M10" s="23" t="s">
        <v>18</v>
      </c>
      <c r="N10" s="23" t="str">
        <f t="shared" si="1"/>
        <v>CAR</v>
      </c>
      <c r="O10" s="66">
        <v>1</v>
      </c>
      <c r="P10" s="66">
        <v>3</v>
      </c>
      <c r="Q10" s="66" t="s">
        <v>155</v>
      </c>
      <c r="R10" s="62">
        <v>46132</v>
      </c>
      <c r="S10" s="66">
        <v>2</v>
      </c>
      <c r="T10" s="66">
        <v>3</v>
      </c>
      <c r="U10" s="66">
        <v>2</v>
      </c>
      <c r="V10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1</v>
      </c>
      <c r="W10" s="23" t="str">
        <f t="shared" si="2"/>
        <v>CAR</v>
      </c>
      <c r="X10" s="66">
        <f>IF(ISBLANK(Table2[[#This Row],[OTROUNDNUM]]), "", Table2[[#This Row],[PAWAYSCORE]]-Table2[[#This Row],[AAWAYSCORE]])</f>
        <v>-1</v>
      </c>
      <c r="Y10" s="66">
        <f>IF(ISBLANK(Table2[[#This Row],[OTROUNDNUM]]), "", Table2[[#This Row],[PHOMESCORE]]-Table2[[#This Row],[AHOMESCORE]])</f>
        <v>0</v>
      </c>
      <c r="Z10" s="79">
        <f>IF(ISBLANK(Table2[[#This Row],[GAMENUM]]), " ", IF((Table2[[#This Row],[TOPSEEDWINS]]+Table2[[#This Row],[LOWSEEDWINS]]) &lt;&gt; Table2[[#This Row],[GAMENUM]], 0, 1))</f>
        <v>1</v>
      </c>
      <c r="AA10" s="60"/>
      <c r="AB10" s="68"/>
      <c r="AC10" s="14"/>
      <c r="AD10" s="21"/>
      <c r="AE10" s="19"/>
      <c r="AF10" s="25"/>
      <c r="AG10" s="19"/>
      <c r="AH10" s="107" t="s">
        <v>45</v>
      </c>
      <c r="AI10" s="116" t="str">
        <f t="array" ref="AI10">INDEX(H:H, MATCH(2, 1/(F:F=AH10)))</f>
        <v>COL</v>
      </c>
      <c r="AJ10" s="117" t="str">
        <f t="array" ref="AJ10">INDEX(I:I, MATCH(2, 1/(F:F=AH10)))</f>
        <v>LAK</v>
      </c>
      <c r="AK10" s="60">
        <f t="array" ref="AK10">INDEX(G:G, MATCH(2, 1/(F:F=AH10)))</f>
        <v>4</v>
      </c>
      <c r="AL10" s="60">
        <f>SUMIFS($V$2:$V$107,$F$2:$F$107,AH10)</f>
        <v>3</v>
      </c>
      <c r="AM10" s="60">
        <f t="shared" si="3"/>
        <v>0.75</v>
      </c>
      <c r="AN10" s="60">
        <f>SUMIFS($T$2:$T$106,$M$2:$M$106,AI10,$E$2:$E$106,1) + SUMIFS($S$2:$S$106,$L$2:$L$106,AI10,$E$2:$E$106,1)</f>
        <v>8</v>
      </c>
      <c r="AO10" s="60">
        <f>SUMIFS($T$2:$T$106,$M$2:$M$106,AJ10,$E$2:$E$106,1) + SUMIFS($S$2:$S$106,$L$2:$L$106,AJ10,$E$2:$E$106,1)</f>
        <v>4</v>
      </c>
      <c r="AP10" s="60"/>
      <c r="AQ10" s="60"/>
      <c r="AR10" s="60"/>
      <c r="AS10" s="60"/>
      <c r="AT10" s="60"/>
      <c r="AU10" s="68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33"/>
    </row>
    <row r="11" spans="1:91" x14ac:dyDescent="0.25">
      <c r="A11" s="60" t="str">
        <f t="shared" si="4"/>
        <v>Monday</v>
      </c>
      <c r="B11" s="62">
        <v>46132</v>
      </c>
      <c r="C11" s="63">
        <v>0.9375</v>
      </c>
      <c r="D11" s="62" t="s">
        <v>38</v>
      </c>
      <c r="E11" s="65">
        <v>1</v>
      </c>
      <c r="F11" s="66" t="s">
        <v>39</v>
      </c>
      <c r="G11" s="65">
        <v>2</v>
      </c>
      <c r="H11" s="98" t="s">
        <v>46</v>
      </c>
      <c r="I11" s="99" t="s">
        <v>157</v>
      </c>
      <c r="J11" s="65">
        <v>1</v>
      </c>
      <c r="K11" s="65">
        <v>1</v>
      </c>
      <c r="L11" s="30" t="s">
        <v>157</v>
      </c>
      <c r="M11" s="29" t="s">
        <v>46</v>
      </c>
      <c r="N11" s="30" t="str">
        <f t="shared" si="1"/>
        <v>MIN</v>
      </c>
      <c r="O11" s="66">
        <v>3</v>
      </c>
      <c r="P11" s="66">
        <v>2</v>
      </c>
      <c r="Q11" s="66" t="s">
        <v>154</v>
      </c>
      <c r="R11" s="62">
        <v>46132</v>
      </c>
      <c r="S11" s="66">
        <v>2</v>
      </c>
      <c r="T11" s="66">
        <v>4</v>
      </c>
      <c r="U11" s="66">
        <v>0</v>
      </c>
      <c r="V11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0</v>
      </c>
      <c r="W11" s="29" t="str">
        <f t="shared" si="2"/>
        <v>DAL</v>
      </c>
      <c r="X11" s="66">
        <f>IF(ISBLANK(Table2[[#This Row],[OTROUNDNUM]]), "", Table2[[#This Row],[PAWAYSCORE]]-Table2[[#This Row],[AAWAYSCORE]])</f>
        <v>1</v>
      </c>
      <c r="Y11" s="66">
        <f>IF(ISBLANK(Table2[[#This Row],[OTROUNDNUM]]), "", Table2[[#This Row],[PHOMESCORE]]-Table2[[#This Row],[AHOMESCORE]])</f>
        <v>-2</v>
      </c>
      <c r="Z11" s="79">
        <f>IF(ISBLANK(Table2[[#This Row],[GAMENUM]]), " ", IF((Table2[[#This Row],[TOPSEEDWINS]]+Table2[[#This Row],[LOWSEEDWINS]]) &lt;&gt; Table2[[#This Row],[GAMENUM]], 0, 1))</f>
        <v>1</v>
      </c>
      <c r="AA11" s="60"/>
      <c r="AB11" s="68"/>
      <c r="AC11" s="14"/>
      <c r="AD11" s="14"/>
      <c r="AE11" s="19"/>
      <c r="AF11" s="14"/>
      <c r="AG11" s="14"/>
      <c r="AH11" s="118" t="s">
        <v>50</v>
      </c>
      <c r="AI11" s="8" t="e">
        <f t="array" ref="AI11">INDEX(H:H, MATCH(2, 1/(F:F=AH11)))</f>
        <v>#N/A</v>
      </c>
      <c r="AJ11" s="8" t="e">
        <f t="array" ref="AJ11">INDEX(I:I, MATCH(2, 1/(F:F=AH11)))</f>
        <v>#N/A</v>
      </c>
      <c r="AK11" t="e">
        <f t="array" ref="AK11">INDEX(G:G, MATCH(2, 1/(F:F=AH11)))</f>
        <v>#N/A</v>
      </c>
      <c r="AL11" s="60">
        <f>SUMIFS($V$2:$V$107,$F$2:$F$107,AH11)</f>
        <v>0</v>
      </c>
      <c r="AM11" t="e">
        <f t="shared" si="3"/>
        <v>#N/A</v>
      </c>
      <c r="AN11" s="60">
        <f>SUMIFS($T$2:$T$106,$M$2:$M$106,AI11,$E$2:$E$106,2) + SUMIFS($S$2:$S$106,$L$2:$L$106,AI11,$E$2:$E$106,2)</f>
        <v>0</v>
      </c>
      <c r="AO11" s="60">
        <f>SUMIFS($T$2:$T$106,$M$2:$M$106,AJ11,$E$2:$E$106,2) + SUMIFS($S$2:$S$106,$L$2:$L$106,AJ11,$E$2:$E$106,2)</f>
        <v>0</v>
      </c>
      <c r="AP11" s="60"/>
      <c r="AQ11" s="60"/>
      <c r="AR11" s="60"/>
      <c r="AS11" s="60"/>
      <c r="AT11" s="60"/>
      <c r="AU11" s="68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33"/>
    </row>
    <row r="12" spans="1:91" x14ac:dyDescent="0.25">
      <c r="A12" s="60" t="str">
        <f>TEXT($B12,"dddd")</f>
        <v>Monday</v>
      </c>
      <c r="B12" s="62">
        <v>46132</v>
      </c>
      <c r="C12" s="63">
        <v>0.95833333333333337</v>
      </c>
      <c r="D12" s="62" t="s">
        <v>38</v>
      </c>
      <c r="E12" s="65">
        <v>1</v>
      </c>
      <c r="F12" s="66" t="s">
        <v>44</v>
      </c>
      <c r="G12" s="65">
        <v>1</v>
      </c>
      <c r="H12" s="89" t="s">
        <v>48</v>
      </c>
      <c r="I12" s="90" t="s">
        <v>175</v>
      </c>
      <c r="J12" s="65">
        <v>1</v>
      </c>
      <c r="K12" s="65">
        <v>0</v>
      </c>
      <c r="L12" s="91" t="s">
        <v>175</v>
      </c>
      <c r="M12" s="70" t="s">
        <v>48</v>
      </c>
      <c r="N12" s="70" t="str">
        <f>IF(OR(ISBLANK(O12), ISBLANK($P12)), "", IF($O12&gt;$P12, $L12,$M12))</f>
        <v>EDM</v>
      </c>
      <c r="O12" s="66">
        <v>3</v>
      </c>
      <c r="P12" s="66">
        <v>4</v>
      </c>
      <c r="Q12" s="66" t="s">
        <v>155</v>
      </c>
      <c r="R12" s="62">
        <v>46132</v>
      </c>
      <c r="S12" s="66">
        <v>3</v>
      </c>
      <c r="T12" s="66">
        <v>4</v>
      </c>
      <c r="U12" s="66">
        <v>0</v>
      </c>
      <c r="V12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1</v>
      </c>
      <c r="W12" s="70" t="str">
        <f>IF(OR(ISBLANK($S12), ISBLANK($T12), ISBLANK($U12)), "", IF(S12&gt;T12,L12,M12))</f>
        <v>EDM</v>
      </c>
      <c r="X12" s="66">
        <f>IF(ISBLANK(Table2[[#This Row],[OTROUNDNUM]]), "", Table2[[#This Row],[PAWAYSCORE]]-Table2[[#This Row],[AAWAYSCORE]])</f>
        <v>0</v>
      </c>
      <c r="Y12" s="66">
        <f>IF(ISBLANK(Table2[[#This Row],[OTROUNDNUM]]), "", Table2[[#This Row],[PHOMESCORE]]-Table2[[#This Row],[AHOMESCORE]])</f>
        <v>0</v>
      </c>
      <c r="Z12" s="79">
        <f>IF(ISBLANK(Table2[[#This Row],[GAMENUM]]), " ", IF((Table2[[#This Row],[TOPSEEDWINS]]+Table2[[#This Row],[LOWSEEDWINS]]) &lt;&gt; Table2[[#This Row],[GAMENUM]], 0, 1))</f>
        <v>1</v>
      </c>
      <c r="AA12" s="60"/>
      <c r="AB12" s="68"/>
      <c r="AC12" s="14"/>
      <c r="AD12" s="14"/>
      <c r="AE12" s="19"/>
      <c r="AF12" s="14"/>
      <c r="AG12" s="14"/>
      <c r="AH12" s="118" t="s">
        <v>51</v>
      </c>
      <c r="AI12" s="8" t="e">
        <f t="array" ref="AI12">INDEX(H:H, MATCH(2, 1/(F:F=AH12)))</f>
        <v>#N/A</v>
      </c>
      <c r="AJ12" s="8" t="e">
        <f t="array" ref="AJ12">INDEX(I:I, MATCH(2, 1/(F:F=AH12)))</f>
        <v>#N/A</v>
      </c>
      <c r="AK12" t="e">
        <f t="array" ref="AK12">INDEX(G:G, MATCH(2, 1/(F:F=AH12)))</f>
        <v>#N/A</v>
      </c>
      <c r="AL12" s="60">
        <f>SUMIFS($V$2:$V$107,$F$2:$F$107,AH12)</f>
        <v>0</v>
      </c>
      <c r="AM12" t="e">
        <f t="shared" si="3"/>
        <v>#N/A</v>
      </c>
      <c r="AN12" s="60">
        <f>SUMIFS($T$2:$T$106,$M$2:$M$106,AI12,$E$2:$E$106,2) + SUMIFS($S$2:$S$106,$L$2:$L$106,AI12,$E$2:$E$106,2)</f>
        <v>0</v>
      </c>
      <c r="AO12" s="60">
        <f>SUMIFS($T$2:$T$106,$M$2:$M$106,AJ12,$E$2:$E$106,2) + SUMIFS($S$2:$S$106,$L$2:$L$106,AJ12,$E$2:$E$106,2)</f>
        <v>0</v>
      </c>
      <c r="AP12" s="60"/>
      <c r="AQ12" s="60"/>
      <c r="AR12" s="60"/>
      <c r="AS12" s="60"/>
      <c r="AT12" s="60"/>
      <c r="AU12" s="68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33"/>
    </row>
    <row r="13" spans="1:91" x14ac:dyDescent="0.25">
      <c r="A13" s="60" t="str">
        <f t="shared" ref="A13:A17" si="5">TEXT($B13,"dddd")</f>
        <v>Tuesday</v>
      </c>
      <c r="B13" s="62">
        <v>46133</v>
      </c>
      <c r="C13" s="63">
        <v>0.83333333333333337</v>
      </c>
      <c r="D13" s="62" t="s">
        <v>16</v>
      </c>
      <c r="E13" s="65">
        <v>1</v>
      </c>
      <c r="F13" s="66" t="s">
        <v>31</v>
      </c>
      <c r="G13" s="65">
        <v>2</v>
      </c>
      <c r="H13" s="100" t="s">
        <v>34</v>
      </c>
      <c r="I13" s="101" t="s">
        <v>158</v>
      </c>
      <c r="J13" s="65">
        <v>1</v>
      </c>
      <c r="K13" s="65">
        <v>1</v>
      </c>
      <c r="L13" s="83" t="s">
        <v>158</v>
      </c>
      <c r="M13" s="81" t="s">
        <v>34</v>
      </c>
      <c r="N13" s="81" t="str">
        <f t="shared" ref="N13:N17" si="6">IF(OR(ISBLANK(O13), ISBLANK($P13)), "", IF($O13&gt;$P13, $L13,$M13))</f>
        <v>TBL</v>
      </c>
      <c r="O13" s="66">
        <v>1</v>
      </c>
      <c r="P13" s="66">
        <v>2</v>
      </c>
      <c r="Q13" s="66" t="s">
        <v>154</v>
      </c>
      <c r="R13" s="62">
        <v>46133</v>
      </c>
      <c r="S13" s="66">
        <v>2</v>
      </c>
      <c r="T13" s="66">
        <v>3</v>
      </c>
      <c r="U13" s="66">
        <v>1</v>
      </c>
      <c r="V13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1</v>
      </c>
      <c r="W13" s="81" t="str">
        <f t="shared" si="2"/>
        <v>TBL</v>
      </c>
      <c r="X13" s="66">
        <f>IF(ISBLANK(Table2[[#This Row],[OTROUNDNUM]]), "", Table2[[#This Row],[PAWAYSCORE]]-Table2[[#This Row],[AAWAYSCORE]])</f>
        <v>-1</v>
      </c>
      <c r="Y13" s="66">
        <f>IF(ISBLANK(Table2[[#This Row],[OTROUNDNUM]]), "", Table2[[#This Row],[PHOMESCORE]]-Table2[[#This Row],[AHOMESCORE]])</f>
        <v>-1</v>
      </c>
      <c r="Z13" s="79">
        <f>IF(ISBLANK(Table2[[#This Row],[GAMENUM]]), " ", IF((Table2[[#This Row],[TOPSEEDWINS]]+Table2[[#This Row],[LOWSEEDWINS]]) &lt;&gt; Table2[[#This Row],[GAMENUM]], 0, 1))</f>
        <v>1</v>
      </c>
      <c r="AA13" s="60"/>
      <c r="AB13" s="68"/>
      <c r="AC13" s="14"/>
      <c r="AD13" s="14"/>
      <c r="AE13" s="19"/>
      <c r="AF13" s="14"/>
      <c r="AG13" s="14"/>
      <c r="AH13" s="118" t="s">
        <v>52</v>
      </c>
      <c r="AI13" s="8" t="e">
        <f t="array" ref="AI13">INDEX(H:H, MATCH(2, 1/(F:F=AH13)))</f>
        <v>#N/A</v>
      </c>
      <c r="AJ13" s="8" t="e">
        <f t="array" ref="AJ13">INDEX(I:I, MATCH(2, 1/(F:F=AH13)))</f>
        <v>#N/A</v>
      </c>
      <c r="AK13" t="e">
        <f t="array" ref="AK13">INDEX(G:G, MATCH(2, 1/(F:F=AH13)))</f>
        <v>#N/A</v>
      </c>
      <c r="AL13" s="60">
        <f>SUMIFS($V$2:$V$107,$F$2:$F$107,AH13)</f>
        <v>0</v>
      </c>
      <c r="AM13" t="e">
        <f t="shared" si="3"/>
        <v>#N/A</v>
      </c>
      <c r="AN13" s="60">
        <f>SUMIFS($T$2:$T$106,$M$2:$M$106,AI13,$E$2:$E$106,2) + SUMIFS($S$2:$S$106,$L$2:$L$106,AI13,$E$2:$E$106,2)</f>
        <v>0</v>
      </c>
      <c r="AO13" s="60">
        <f>SUMIFS($T$2:$T$106,$M$2:$M$106,AJ13,$E$2:$E$106,2) + SUMIFS($S$2:$S$106,$L$2:$L$106,AJ13,$E$2:$E$106,2)</f>
        <v>0</v>
      </c>
      <c r="AP13" s="60"/>
      <c r="AQ13" s="60"/>
      <c r="AR13" s="60"/>
      <c r="AS13" s="60"/>
      <c r="AT13" s="60"/>
      <c r="AU13" s="68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33"/>
    </row>
    <row r="14" spans="1:91" x14ac:dyDescent="0.25">
      <c r="A14" s="60" t="str">
        <f t="shared" si="5"/>
        <v>Tuesday</v>
      </c>
      <c r="B14" s="62">
        <v>46133</v>
      </c>
      <c r="C14" s="63">
        <v>0.85416666666666663</v>
      </c>
      <c r="D14" s="62" t="s">
        <v>16</v>
      </c>
      <c r="E14" s="65">
        <v>1</v>
      </c>
      <c r="F14" s="66" t="s">
        <v>33</v>
      </c>
      <c r="G14" s="65">
        <v>2</v>
      </c>
      <c r="H14" s="82" t="s">
        <v>172</v>
      </c>
      <c r="I14" s="84" t="s">
        <v>173</v>
      </c>
      <c r="J14" s="65">
        <v>1</v>
      </c>
      <c r="K14" s="65">
        <v>1</v>
      </c>
      <c r="L14" s="78" t="s">
        <v>173</v>
      </c>
      <c r="M14" s="76" t="s">
        <v>172</v>
      </c>
      <c r="N14" s="76" t="str">
        <f t="shared" si="6"/>
        <v>BUF</v>
      </c>
      <c r="O14" s="66">
        <v>2</v>
      </c>
      <c r="P14" s="66">
        <v>3</v>
      </c>
      <c r="Q14" s="66" t="s">
        <v>155</v>
      </c>
      <c r="R14" s="62">
        <v>46133</v>
      </c>
      <c r="S14" s="66">
        <v>4</v>
      </c>
      <c r="T14" s="66">
        <v>2</v>
      </c>
      <c r="U14" s="66">
        <v>0</v>
      </c>
      <c r="V14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0</v>
      </c>
      <c r="W14" s="78" t="str">
        <f t="shared" si="2"/>
        <v>BOS</v>
      </c>
      <c r="X14" s="66">
        <f>IF(ISBLANK(Table2[[#This Row],[OTROUNDNUM]]), "", Table2[[#This Row],[PAWAYSCORE]]-Table2[[#This Row],[AAWAYSCORE]])</f>
        <v>-2</v>
      </c>
      <c r="Y14" s="66">
        <f>IF(ISBLANK(Table2[[#This Row],[OTROUNDNUM]]), "", Table2[[#This Row],[PHOMESCORE]]-Table2[[#This Row],[AHOMESCORE]])</f>
        <v>1</v>
      </c>
      <c r="Z14" s="79">
        <f>IF(ISBLANK(Table2[[#This Row],[GAMENUM]]), " ", IF((Table2[[#This Row],[TOPSEEDWINS]]+Table2[[#This Row],[LOWSEEDWINS]]) &lt;&gt; Table2[[#This Row],[GAMENUM]], 0, 1))</f>
        <v>1</v>
      </c>
      <c r="AA14" s="60"/>
      <c r="AB14" s="68"/>
      <c r="AC14" s="14"/>
      <c r="AD14" s="14"/>
      <c r="AE14" s="19"/>
      <c r="AF14" s="14"/>
      <c r="AG14" s="14"/>
      <c r="AH14" s="118" t="s">
        <v>53</v>
      </c>
      <c r="AI14" s="6" t="e">
        <f t="array" ref="AI14">INDEX(H:H, MATCH(2, 1/(F:F=AH14)))</f>
        <v>#N/A</v>
      </c>
      <c r="AJ14" s="6" t="e">
        <f t="array" ref="AJ14">INDEX(I:I, MATCH(2, 1/(F:F=AH14)))</f>
        <v>#N/A</v>
      </c>
      <c r="AK14" s="1" t="e">
        <f t="array" ref="AK14">INDEX(G:G, MATCH(2, 1/(F:F=AH14)))</f>
        <v>#N/A</v>
      </c>
      <c r="AL14" s="60">
        <f>SUMIFS($V$2:$V$107,$F$2:$F$107,AH14)</f>
        <v>0</v>
      </c>
      <c r="AM14" s="1" t="e">
        <f t="shared" si="3"/>
        <v>#N/A</v>
      </c>
      <c r="AN14" s="60">
        <f>SUMIFS($T$2:$T$106,$M$2:$M$106,AI14,$E$2:$E$106,2) + SUMIFS($S$2:$S$106,$L$2:$L$106,AI14,$E$2:$E$106,2)</f>
        <v>0</v>
      </c>
      <c r="AO14" s="60">
        <f>SUMIFS($T$2:$T$106,$M$2:$M$106,AJ14,$E$2:$E$106,2) + SUMIFS($S$2:$S$106,$L$2:$L$106,AJ14,$E$2:$E$106,2)</f>
        <v>0</v>
      </c>
      <c r="AP14" s="60"/>
      <c r="AQ14" s="60"/>
      <c r="AR14" s="60"/>
      <c r="AS14" s="60"/>
      <c r="AT14" s="60"/>
      <c r="AU14" s="68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33"/>
    </row>
    <row r="15" spans="1:91" x14ac:dyDescent="0.25">
      <c r="A15" s="60" t="str">
        <f t="shared" si="5"/>
        <v>Tuesday</v>
      </c>
      <c r="B15" s="62">
        <v>46133</v>
      </c>
      <c r="C15" s="63">
        <v>0.9375</v>
      </c>
      <c r="D15" s="62" t="s">
        <v>38</v>
      </c>
      <c r="E15" s="65">
        <v>1</v>
      </c>
      <c r="F15" s="66" t="s">
        <v>42</v>
      </c>
      <c r="G15" s="65">
        <v>2</v>
      </c>
      <c r="H15" s="85" t="s">
        <v>47</v>
      </c>
      <c r="I15" s="86" t="s">
        <v>174</v>
      </c>
      <c r="J15" s="65">
        <v>1</v>
      </c>
      <c r="K15" s="65">
        <v>1</v>
      </c>
      <c r="L15" s="87" t="s">
        <v>174</v>
      </c>
      <c r="M15" s="88" t="s">
        <v>47</v>
      </c>
      <c r="N15" s="87" t="str">
        <f t="shared" si="6"/>
        <v>UTA</v>
      </c>
      <c r="O15" s="66">
        <v>3</v>
      </c>
      <c r="P15" s="66">
        <v>2</v>
      </c>
      <c r="Q15" s="66" t="s">
        <v>155</v>
      </c>
      <c r="R15" s="62">
        <v>46133</v>
      </c>
      <c r="S15" s="66">
        <v>3</v>
      </c>
      <c r="T15" s="66">
        <v>2</v>
      </c>
      <c r="U15" s="66">
        <v>0</v>
      </c>
      <c r="V15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1</v>
      </c>
      <c r="W15" s="87" t="str">
        <f t="shared" si="2"/>
        <v>UTA</v>
      </c>
      <c r="X15" s="66">
        <f>IF(ISBLANK(Table2[[#This Row],[OTROUNDNUM]]), "", Table2[[#This Row],[PAWAYSCORE]]-Table2[[#This Row],[AAWAYSCORE]])</f>
        <v>0</v>
      </c>
      <c r="Y15" s="66">
        <f>IF(ISBLANK(Table2[[#This Row],[OTROUNDNUM]]), "", Table2[[#This Row],[PHOMESCORE]]-Table2[[#This Row],[AHOMESCORE]])</f>
        <v>0</v>
      </c>
      <c r="Z15" s="79">
        <f>IF(ISBLANK(Table2[[#This Row],[GAMENUM]]), " ", IF((Table2[[#This Row],[TOPSEEDWINS]]+Table2[[#This Row],[LOWSEEDWINS]]) &lt;&gt; Table2[[#This Row],[GAMENUM]], 0, 1))</f>
        <v>1</v>
      </c>
      <c r="AA15" s="60"/>
      <c r="AB15" s="68"/>
      <c r="AC15" s="14"/>
      <c r="AD15" s="14"/>
      <c r="AE15" s="19"/>
      <c r="AF15" s="14"/>
      <c r="AG15" s="14"/>
      <c r="AH15" s="118" t="s">
        <v>54</v>
      </c>
      <c r="AI15" s="8" t="e">
        <f t="array" ref="AI15">INDEX(H:H, MATCH(2, 1/(F:F=AH15)))</f>
        <v>#N/A</v>
      </c>
      <c r="AJ15" s="8" t="e">
        <f t="array" ref="AJ15">INDEX(I:I, MATCH(2, 1/(F:F=AH15)))</f>
        <v>#N/A</v>
      </c>
      <c r="AK15" t="e">
        <f t="array" ref="AK15">INDEX(G:G, MATCH(2, 1/(F:F=AH15)))</f>
        <v>#N/A</v>
      </c>
      <c r="AL15" s="60">
        <f>SUMIFS($V$2:$V$107,$F$2:$F$107,AH15)</f>
        <v>0</v>
      </c>
      <c r="AM15" t="e">
        <f t="shared" si="3"/>
        <v>#N/A</v>
      </c>
      <c r="AN15" s="60">
        <f>SUMIFS($T$2:$T$106,$M$2:$M$106,AI15,$E$2:$E$106,3) + SUMIFS($S$2:$S$106,$L$2:$L$106,AI15,$E$2:$E$106,3)</f>
        <v>0</v>
      </c>
      <c r="AO15" s="60">
        <f>SUMIFS($T$2:$T$106,$M$2:$M$106,AJ15,$E$2:$E$106,3) + SUMIFS($S$2:$S$106,$L$2:$L$106,AJ15,$E$2:$E$106,3)</f>
        <v>0</v>
      </c>
      <c r="AP15" s="60"/>
      <c r="AQ15" s="60"/>
      <c r="AR15" s="60"/>
      <c r="AS15" s="60"/>
      <c r="AT15" s="60"/>
      <c r="AU15" s="68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33"/>
    </row>
    <row r="16" spans="1:91" x14ac:dyDescent="0.25">
      <c r="A16" s="60" t="str">
        <f t="shared" si="5"/>
        <v>Tuesday</v>
      </c>
      <c r="B16" s="62">
        <v>46133</v>
      </c>
      <c r="C16" s="63">
        <v>0.95833333333333337</v>
      </c>
      <c r="D16" s="62" t="s">
        <v>38</v>
      </c>
      <c r="E16" s="65">
        <v>1</v>
      </c>
      <c r="F16" s="66" t="s">
        <v>45</v>
      </c>
      <c r="G16" s="65">
        <v>2</v>
      </c>
      <c r="H16" s="102" t="s">
        <v>40</v>
      </c>
      <c r="I16" s="103" t="s">
        <v>49</v>
      </c>
      <c r="J16" s="65">
        <v>2</v>
      </c>
      <c r="K16" s="65">
        <v>0</v>
      </c>
      <c r="L16" s="77" t="s">
        <v>49</v>
      </c>
      <c r="M16" s="75" t="s">
        <v>40</v>
      </c>
      <c r="N16" s="75" t="str">
        <f t="shared" si="6"/>
        <v>COL</v>
      </c>
      <c r="O16" s="66">
        <v>2</v>
      </c>
      <c r="P16" s="66">
        <v>3</v>
      </c>
      <c r="Q16" s="66" t="s">
        <v>155</v>
      </c>
      <c r="R16" s="62">
        <v>46133</v>
      </c>
      <c r="S16" s="66">
        <v>1</v>
      </c>
      <c r="T16" s="66">
        <v>2</v>
      </c>
      <c r="U16" s="66">
        <v>1</v>
      </c>
      <c r="V16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1</v>
      </c>
      <c r="W16" s="75" t="str">
        <f t="shared" si="2"/>
        <v>COL</v>
      </c>
      <c r="X16" s="66">
        <f>IF(ISBLANK(Table2[[#This Row],[OTROUNDNUM]]), "", Table2[[#This Row],[PAWAYSCORE]]-Table2[[#This Row],[AAWAYSCORE]])</f>
        <v>1</v>
      </c>
      <c r="Y16" s="66">
        <f>IF(ISBLANK(Table2[[#This Row],[OTROUNDNUM]]), "", Table2[[#This Row],[PHOMESCORE]]-Table2[[#This Row],[AHOMESCORE]])</f>
        <v>1</v>
      </c>
      <c r="Z16" s="79">
        <f>IF(ISBLANK(Table2[[#This Row],[GAMENUM]]), " ", IF((Table2[[#This Row],[TOPSEEDWINS]]+Table2[[#This Row],[LOWSEEDWINS]]) &lt;&gt; Table2[[#This Row],[GAMENUM]], 0, 1))</f>
        <v>1</v>
      </c>
      <c r="AA16" s="60"/>
      <c r="AB16" s="68"/>
      <c r="AC16" s="14"/>
      <c r="AD16" s="14"/>
      <c r="AE16" s="19"/>
      <c r="AF16" s="14"/>
      <c r="AG16" s="14"/>
      <c r="AH16" s="118" t="s">
        <v>55</v>
      </c>
      <c r="AI16" s="1" t="e">
        <f t="array" ref="AI16">INDEX(H:H, MATCH(2, 1/(F:F=AH16)))</f>
        <v>#N/A</v>
      </c>
      <c r="AJ16" s="1" t="e">
        <f t="array" ref="AJ16">INDEX(I:I, MATCH(2, 1/(F:F=AH16)))</f>
        <v>#N/A</v>
      </c>
      <c r="AK16" s="1" t="e">
        <f t="array" ref="AK16">INDEX(G:G, MATCH(2, 1/(F:F=AH16)))</f>
        <v>#N/A</v>
      </c>
      <c r="AL16" s="60">
        <f>SUMIFS($V$2:$V$107,$F$2:$F$107,AH16)</f>
        <v>0</v>
      </c>
      <c r="AM16" s="1" t="e">
        <f t="shared" si="3"/>
        <v>#N/A</v>
      </c>
      <c r="AN16" s="60">
        <f>SUMIFS($T$2:$T$106,$M$2:$M$106,AI16,$E$2:$E$106,3) + SUMIFS($S$2:$S$106,$L$2:$L$106,AI16,$E$2:$E$106,3)</f>
        <v>0</v>
      </c>
      <c r="AO16" s="60">
        <f>SUMIFS($T$2:$T$106,$M$2:$M$106,AJ16,$E$2:$E$106,3) + SUMIFS($S$2:$S$106,$L$2:$L$106,AJ16,$E$2:$E$106,3)</f>
        <v>0</v>
      </c>
      <c r="AP16" s="60"/>
      <c r="AQ16" s="60"/>
      <c r="AR16" s="60"/>
      <c r="AS16" s="60"/>
      <c r="AT16" s="60"/>
      <c r="AU16" s="68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33"/>
    </row>
    <row r="17" spans="1:91" x14ac:dyDescent="0.25">
      <c r="A17" s="60" t="str">
        <f t="shared" si="5"/>
        <v>Wednesday</v>
      </c>
      <c r="B17" s="62">
        <v>46134</v>
      </c>
      <c r="C17" s="63">
        <v>0.83333333333333337</v>
      </c>
      <c r="D17" s="62" t="s">
        <v>16</v>
      </c>
      <c r="E17" s="65">
        <v>1</v>
      </c>
      <c r="F17" s="66" t="s">
        <v>17</v>
      </c>
      <c r="G17" s="65">
        <v>3</v>
      </c>
      <c r="H17" s="97" t="s">
        <v>170</v>
      </c>
      <c r="I17" s="96" t="s">
        <v>171</v>
      </c>
      <c r="J17" s="65">
        <v>0</v>
      </c>
      <c r="K17" s="65">
        <v>3</v>
      </c>
      <c r="L17" s="34" t="s">
        <v>170</v>
      </c>
      <c r="M17" s="35" t="s">
        <v>171</v>
      </c>
      <c r="N17" s="34" t="str">
        <f t="shared" si="6"/>
        <v>PIT</v>
      </c>
      <c r="O17" s="66">
        <v>3</v>
      </c>
      <c r="P17" s="66">
        <v>2</v>
      </c>
      <c r="Q17" s="66" t="s">
        <v>154</v>
      </c>
      <c r="R17" s="62">
        <v>46134</v>
      </c>
      <c r="S17" s="66">
        <v>2</v>
      </c>
      <c r="T17" s="66">
        <v>5</v>
      </c>
      <c r="U17" s="66">
        <v>0</v>
      </c>
      <c r="V17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0</v>
      </c>
      <c r="W17" s="35" t="str">
        <f t="shared" si="2"/>
        <v>PHI</v>
      </c>
      <c r="X17" s="66">
        <f>IF(ISBLANK(Table2[[#This Row],[OTROUNDNUM]]), "", Table2[[#This Row],[PAWAYSCORE]]-Table2[[#This Row],[AAWAYSCORE]])</f>
        <v>1</v>
      </c>
      <c r="Y17" s="66">
        <f>IF(ISBLANK(Table2[[#This Row],[OTROUNDNUM]]), "", Table2[[#This Row],[PHOMESCORE]]-Table2[[#This Row],[AHOMESCORE]])</f>
        <v>-3</v>
      </c>
      <c r="Z17" s="79">
        <f>IF(ISBLANK(Table2[[#This Row],[GAMENUM]]), " ", IF((Table2[[#This Row],[TOPSEEDWINS]]+Table2[[#This Row],[LOWSEEDWINS]]) &lt;&gt; Table2[[#This Row],[GAMENUM]], 0, 1))</f>
        <v>1</v>
      </c>
      <c r="AA17" s="60"/>
      <c r="AB17" s="68"/>
      <c r="AC17" s="14"/>
      <c r="AD17" s="14"/>
      <c r="AE17" s="19"/>
      <c r="AF17" s="14"/>
      <c r="AG17" s="14"/>
      <c r="AH17" s="118" t="s">
        <v>56</v>
      </c>
      <c r="AI17" s="9" t="e">
        <f t="array" ref="AI17">INDEX(H:H, MATCH(2, 1/(F:F=AH17)))</f>
        <v>#N/A</v>
      </c>
      <c r="AJ17" s="9" t="e">
        <f t="array" ref="AJ17">INDEX(I:I, MATCH(2, 1/(F:F=AH17)))</f>
        <v>#N/A</v>
      </c>
      <c r="AK17" s="9" t="e">
        <f t="array" ref="AK17">INDEX(G:G, MATCH(2, 1/(F:F=AH17)))</f>
        <v>#N/A</v>
      </c>
      <c r="AL17" s="60">
        <f>SUMIFS($V$2:$V$107,$F$2:$F$107,AH17)</f>
        <v>0</v>
      </c>
      <c r="AM17" s="9" t="e">
        <f t="shared" si="3"/>
        <v>#N/A</v>
      </c>
      <c r="AN17" s="60">
        <f>SUMIFS($T$2:$T$106,$M$2:$M$106,AI17,$E$2:$E$106,1) + SUMIFS($S$2:$S$106,$L$2:$L$106,AI17,$E$2:$E$106,1)</f>
        <v>0</v>
      </c>
      <c r="AO17" s="60">
        <f>SUMIFS($T$2:$T$106,$M$2:$M$106,AJ17,$E$2:$E$106,4) + SUMIFS($S$2:$S$106,$L$2:$L$106,AJ17,$E$2:$E$106,4)</f>
        <v>0</v>
      </c>
      <c r="AP17" s="60"/>
      <c r="AQ17" s="60"/>
      <c r="AR17" s="60"/>
      <c r="AS17" s="60"/>
      <c r="AT17" s="60"/>
      <c r="AU17" s="68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33"/>
    </row>
    <row r="18" spans="1:91" x14ac:dyDescent="0.25">
      <c r="A18" s="60" t="str">
        <f t="shared" ref="A18:A26" si="7">TEXT($B18,"dddd")</f>
        <v>Wednesday</v>
      </c>
      <c r="B18" s="62">
        <v>46134</v>
      </c>
      <c r="C18" s="63">
        <v>0.9375</v>
      </c>
      <c r="D18" s="62" t="s">
        <v>38</v>
      </c>
      <c r="E18" s="65">
        <v>1</v>
      </c>
      <c r="F18" s="66" t="s">
        <v>39</v>
      </c>
      <c r="G18" s="65">
        <v>2</v>
      </c>
      <c r="H18" s="98" t="s">
        <v>46</v>
      </c>
      <c r="I18" s="99" t="s">
        <v>157</v>
      </c>
      <c r="J18" s="65">
        <v>2</v>
      </c>
      <c r="K18" s="65">
        <v>1</v>
      </c>
      <c r="L18" s="29" t="s">
        <v>46</v>
      </c>
      <c r="M18" s="30" t="s">
        <v>157</v>
      </c>
      <c r="N18" s="29" t="str">
        <f t="shared" ref="N18:N26" si="8">IF(OR(ISBLANK(O18), ISBLANK($P18)), "", IF($O18&gt;$P18, $L18,$M18))</f>
        <v>DAL</v>
      </c>
      <c r="O18" s="66">
        <v>4</v>
      </c>
      <c r="P18" s="66">
        <v>3</v>
      </c>
      <c r="Q18" s="66" t="s">
        <v>155</v>
      </c>
      <c r="R18" s="62">
        <v>46134</v>
      </c>
      <c r="S18" s="66">
        <v>4</v>
      </c>
      <c r="T18" s="66">
        <v>3</v>
      </c>
      <c r="U18" s="66">
        <v>2</v>
      </c>
      <c r="V18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1</v>
      </c>
      <c r="W18" s="29" t="str">
        <f t="shared" si="2"/>
        <v>DAL</v>
      </c>
      <c r="X18" s="66">
        <f>IF(ISBLANK(Table2[[#This Row],[OTROUNDNUM]]), "", Table2[[#This Row],[PAWAYSCORE]]-Table2[[#This Row],[AAWAYSCORE]])</f>
        <v>0</v>
      </c>
      <c r="Y18" s="66">
        <f>IF(ISBLANK(Table2[[#This Row],[OTROUNDNUM]]), "", Table2[[#This Row],[PHOMESCORE]]-Table2[[#This Row],[AHOMESCORE]])</f>
        <v>0</v>
      </c>
      <c r="Z18" s="79">
        <f>IF(ISBLANK(Table2[[#This Row],[GAMENUM]]), " ", IF((Table2[[#This Row],[TOPSEEDWINS]]+Table2[[#This Row],[LOWSEEDWINS]]) &lt;&gt; Table2[[#This Row],[GAMENUM]], 0, 1))</f>
        <v>0</v>
      </c>
      <c r="AA18" s="60"/>
      <c r="AB18" s="68"/>
      <c r="AC18" s="14"/>
      <c r="AD18" s="14"/>
      <c r="AE18" s="19"/>
      <c r="AF18" s="14"/>
      <c r="AG18" s="14"/>
      <c r="AH18" s="105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33"/>
    </row>
    <row r="19" spans="1:91" x14ac:dyDescent="0.25">
      <c r="A19" s="60" t="str">
        <f t="shared" si="7"/>
        <v>Wednesday</v>
      </c>
      <c r="B19" s="62">
        <v>46134</v>
      </c>
      <c r="C19" s="63">
        <v>0.95833333333333337</v>
      </c>
      <c r="D19" s="62" t="s">
        <v>38</v>
      </c>
      <c r="E19" s="65">
        <v>1</v>
      </c>
      <c r="F19" s="66" t="s">
        <v>44</v>
      </c>
      <c r="G19" s="65">
        <v>2</v>
      </c>
      <c r="H19" s="89" t="s">
        <v>48</v>
      </c>
      <c r="I19" s="90" t="s">
        <v>175</v>
      </c>
      <c r="J19" s="65">
        <v>1</v>
      </c>
      <c r="K19" s="65">
        <v>1</v>
      </c>
      <c r="L19" s="91" t="s">
        <v>175</v>
      </c>
      <c r="M19" s="70" t="s">
        <v>48</v>
      </c>
      <c r="N19" s="70" t="str">
        <f t="shared" si="8"/>
        <v>EDM</v>
      </c>
      <c r="O19" s="66">
        <v>3</v>
      </c>
      <c r="P19" s="66">
        <v>4</v>
      </c>
      <c r="Q19" s="66" t="s">
        <v>155</v>
      </c>
      <c r="R19" s="62">
        <v>46134</v>
      </c>
      <c r="S19" s="66">
        <v>6</v>
      </c>
      <c r="T19" s="66">
        <v>4</v>
      </c>
      <c r="U19" s="66">
        <v>0</v>
      </c>
      <c r="V19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0</v>
      </c>
      <c r="W19" s="91" t="str">
        <f t="shared" si="2"/>
        <v>ANA</v>
      </c>
      <c r="X19" s="66">
        <f>IF(ISBLANK(Table2[[#This Row],[OTROUNDNUM]]), "", Table2[[#This Row],[PAWAYSCORE]]-Table2[[#This Row],[AAWAYSCORE]])</f>
        <v>-3</v>
      </c>
      <c r="Y19" s="66">
        <f>IF(ISBLANK(Table2[[#This Row],[OTROUNDNUM]]), "", Table2[[#This Row],[PHOMESCORE]]-Table2[[#This Row],[AHOMESCORE]])</f>
        <v>0</v>
      </c>
      <c r="Z19" s="79">
        <f>IF(ISBLANK(Table2[[#This Row],[GAMENUM]]), " ", IF((Table2[[#This Row],[TOPSEEDWINS]]+Table2[[#This Row],[LOWSEEDWINS]]) &lt;&gt; Table2[[#This Row],[GAMENUM]], 0, 1))</f>
        <v>1</v>
      </c>
      <c r="AA19" s="60"/>
      <c r="AB19" s="68"/>
      <c r="AC19" s="14"/>
      <c r="AD19" s="14"/>
      <c r="AE19" s="19"/>
      <c r="AF19" s="14"/>
      <c r="AG19" s="14"/>
      <c r="AH19" s="45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33"/>
    </row>
    <row r="20" spans="1:91" x14ac:dyDescent="0.25">
      <c r="A20" s="60" t="str">
        <f t="shared" si="7"/>
        <v>Thursday</v>
      </c>
      <c r="B20" s="62">
        <v>46135</v>
      </c>
      <c r="C20" s="63">
        <v>0.83333333333333337</v>
      </c>
      <c r="D20" s="62" t="s">
        <v>16</v>
      </c>
      <c r="E20" s="65">
        <v>1</v>
      </c>
      <c r="F20" s="66" t="s">
        <v>33</v>
      </c>
      <c r="G20" s="65">
        <v>3</v>
      </c>
      <c r="H20" s="82" t="s">
        <v>172</v>
      </c>
      <c r="I20" s="84" t="s">
        <v>173</v>
      </c>
      <c r="J20" s="65">
        <v>2</v>
      </c>
      <c r="K20" s="65">
        <v>1</v>
      </c>
      <c r="L20" s="76" t="s">
        <v>172</v>
      </c>
      <c r="M20" s="78" t="s">
        <v>173</v>
      </c>
      <c r="N20" s="78" t="str">
        <f t="shared" si="8"/>
        <v>BOS</v>
      </c>
      <c r="O20" s="66">
        <v>2</v>
      </c>
      <c r="P20" s="66">
        <v>4</v>
      </c>
      <c r="Q20" s="66" t="s">
        <v>155</v>
      </c>
      <c r="R20" s="62">
        <v>46135</v>
      </c>
      <c r="S20" s="66">
        <v>3</v>
      </c>
      <c r="T20" s="66">
        <v>1</v>
      </c>
      <c r="U20" s="66">
        <v>0</v>
      </c>
      <c r="V20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0</v>
      </c>
      <c r="W20" s="76" t="str">
        <f t="shared" si="2"/>
        <v>BUF</v>
      </c>
      <c r="X20" s="66">
        <f>IF(ISBLANK(Table2[[#This Row],[OTROUNDNUM]]), "", Table2[[#This Row],[PAWAYSCORE]]-Table2[[#This Row],[AAWAYSCORE]])</f>
        <v>-1</v>
      </c>
      <c r="Y20" s="66">
        <f>IF(ISBLANK(Table2[[#This Row],[OTROUNDNUM]]), "", Table2[[#This Row],[PHOMESCORE]]-Table2[[#This Row],[AHOMESCORE]])</f>
        <v>3</v>
      </c>
      <c r="Z20" s="79">
        <f>IF(ISBLANK(Table2[[#This Row],[GAMENUM]]), " ", IF((Table2[[#This Row],[TOPSEEDWINS]]+Table2[[#This Row],[LOWSEEDWINS]]) &lt;&gt; Table2[[#This Row],[GAMENUM]], 0, 1))</f>
        <v>1</v>
      </c>
      <c r="AA20" s="60"/>
      <c r="AB20" s="68"/>
      <c r="AC20" s="14"/>
      <c r="AD20" s="14"/>
      <c r="AE20" s="19"/>
      <c r="AF20" s="14"/>
      <c r="AG20" s="14"/>
      <c r="AH20" s="45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33"/>
    </row>
    <row r="21" spans="1:91" x14ac:dyDescent="0.25">
      <c r="A21" s="60" t="str">
        <f t="shared" si="7"/>
        <v>Thursday</v>
      </c>
      <c r="B21" s="62">
        <v>46135</v>
      </c>
      <c r="C21" s="63">
        <v>0.85416666666666663</v>
      </c>
      <c r="D21" s="62" t="s">
        <v>16</v>
      </c>
      <c r="E21" s="65">
        <v>1</v>
      </c>
      <c r="F21" s="66" t="s">
        <v>36</v>
      </c>
      <c r="G21" s="65">
        <v>3</v>
      </c>
      <c r="H21" s="94" t="s">
        <v>18</v>
      </c>
      <c r="I21" s="95" t="s">
        <v>156</v>
      </c>
      <c r="J21" s="65">
        <v>2</v>
      </c>
      <c r="K21" s="65">
        <v>0</v>
      </c>
      <c r="L21" s="23" t="s">
        <v>18</v>
      </c>
      <c r="M21" s="24" t="s">
        <v>156</v>
      </c>
      <c r="N21" s="24" t="str">
        <f t="shared" si="8"/>
        <v>OTT</v>
      </c>
      <c r="O21" s="66">
        <v>2</v>
      </c>
      <c r="P21" s="66">
        <v>3</v>
      </c>
      <c r="Q21" s="66" t="s">
        <v>154</v>
      </c>
      <c r="R21" s="62">
        <v>46135</v>
      </c>
      <c r="S21" s="66">
        <v>2</v>
      </c>
      <c r="T21" s="66">
        <v>1</v>
      </c>
      <c r="U21" s="66">
        <v>0</v>
      </c>
      <c r="V21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0</v>
      </c>
      <c r="W21" s="23" t="str">
        <f t="shared" si="2"/>
        <v>CAR</v>
      </c>
      <c r="X21" s="66">
        <f>IF(ISBLANK(Table2[[#This Row],[OTROUNDNUM]]), "", Table2[[#This Row],[PAWAYSCORE]]-Table2[[#This Row],[AAWAYSCORE]])</f>
        <v>0</v>
      </c>
      <c r="Y21" s="66">
        <f>IF(ISBLANK(Table2[[#This Row],[OTROUNDNUM]]), "", Table2[[#This Row],[PHOMESCORE]]-Table2[[#This Row],[AHOMESCORE]])</f>
        <v>2</v>
      </c>
      <c r="Z21" s="79">
        <f>IF(ISBLANK(Table2[[#This Row],[GAMENUM]]), " ", IF((Table2[[#This Row],[TOPSEEDWINS]]+Table2[[#This Row],[LOWSEEDWINS]]) &lt;&gt; Table2[[#This Row],[GAMENUM]], 0, 1))</f>
        <v>0</v>
      </c>
      <c r="AA21" s="60"/>
      <c r="AB21" s="68"/>
      <c r="AC21" s="14"/>
      <c r="AD21" s="14"/>
      <c r="AE21" s="19"/>
      <c r="AF21" s="14"/>
      <c r="AG21" s="14"/>
      <c r="AH21" s="45"/>
      <c r="AI21" s="39" t="s">
        <v>164</v>
      </c>
      <c r="AJ21" s="39" t="s">
        <v>57</v>
      </c>
      <c r="AK21" s="39" t="s">
        <v>58</v>
      </c>
      <c r="AL21" s="39" t="s">
        <v>59</v>
      </c>
      <c r="AM21" s="39" t="s">
        <v>60</v>
      </c>
      <c r="AN21" s="39" t="s">
        <v>61</v>
      </c>
      <c r="AO21" s="39" t="s">
        <v>62</v>
      </c>
      <c r="AP21" s="39" t="s">
        <v>63</v>
      </c>
      <c r="AQ21" s="39" t="s">
        <v>64</v>
      </c>
      <c r="AR21" s="39" t="s">
        <v>65</v>
      </c>
      <c r="AS21" s="39" t="s">
        <v>66</v>
      </c>
      <c r="AT21" s="39" t="s">
        <v>67</v>
      </c>
      <c r="AU21" s="39" t="s">
        <v>68</v>
      </c>
      <c r="AV21" s="39" t="s">
        <v>69</v>
      </c>
      <c r="AW21" s="39" t="s">
        <v>70</v>
      </c>
      <c r="AX21" s="39" t="s">
        <v>71</v>
      </c>
      <c r="AY21" s="39" t="s">
        <v>72</v>
      </c>
      <c r="AZ21" s="39" t="s">
        <v>73</v>
      </c>
      <c r="BA21" s="39" t="s">
        <v>74</v>
      </c>
      <c r="BB21" s="39" t="s">
        <v>75</v>
      </c>
      <c r="BC21" s="39" t="s">
        <v>76</v>
      </c>
      <c r="BD21" s="39" t="s">
        <v>77</v>
      </c>
      <c r="BE21" s="39" t="s">
        <v>78</v>
      </c>
      <c r="BF21" s="39" t="s">
        <v>79</v>
      </c>
      <c r="BG21" s="39" t="s">
        <v>80</v>
      </c>
      <c r="BH21" s="39" t="s">
        <v>81</v>
      </c>
      <c r="BI21" s="39" t="s">
        <v>82</v>
      </c>
      <c r="BJ21" s="39" t="s">
        <v>83</v>
      </c>
      <c r="BK21" s="39" t="s">
        <v>84</v>
      </c>
      <c r="BL21" s="39" t="s">
        <v>85</v>
      </c>
      <c r="BM21" s="39" t="s">
        <v>86</v>
      </c>
      <c r="BN21" s="68"/>
      <c r="BO21" s="14" t="s">
        <v>87</v>
      </c>
      <c r="BP21" s="14" t="s">
        <v>61</v>
      </c>
      <c r="BQ21" s="14" t="s">
        <v>62</v>
      </c>
      <c r="BR21" s="14" t="s">
        <v>63</v>
      </c>
      <c r="BS21" s="14" t="s">
        <v>64</v>
      </c>
      <c r="BT21" s="14" t="s">
        <v>65</v>
      </c>
      <c r="BU21" s="14" t="s">
        <v>66</v>
      </c>
      <c r="BV21" s="14" t="s">
        <v>67</v>
      </c>
      <c r="BW21" s="14" t="s">
        <v>68</v>
      </c>
      <c r="BX21" s="14" t="s">
        <v>69</v>
      </c>
      <c r="BY21" s="14" t="s">
        <v>88</v>
      </c>
      <c r="BZ21" s="14" t="s">
        <v>89</v>
      </c>
      <c r="CA21" s="14" t="s">
        <v>90</v>
      </c>
      <c r="CB21" s="14" t="s">
        <v>91</v>
      </c>
      <c r="CC21" s="14" t="s">
        <v>92</v>
      </c>
      <c r="CD21" s="14" t="s">
        <v>93</v>
      </c>
      <c r="CE21" s="14" t="s">
        <v>94</v>
      </c>
      <c r="CF21" s="14" t="s">
        <v>95</v>
      </c>
      <c r="CG21" s="14" t="s">
        <v>96</v>
      </c>
      <c r="CH21" s="14" t="s">
        <v>97</v>
      </c>
      <c r="CI21" s="14" t="s">
        <v>98</v>
      </c>
      <c r="CJ21" s="14" t="s">
        <v>99</v>
      </c>
      <c r="CK21" s="14" t="s">
        <v>100</v>
      </c>
      <c r="CL21" s="14" t="s">
        <v>101</v>
      </c>
      <c r="CM21" s="33" t="s">
        <v>102</v>
      </c>
    </row>
    <row r="22" spans="1:91" x14ac:dyDescent="0.25">
      <c r="A22" s="60" t="str">
        <f t="shared" si="7"/>
        <v>Thursday</v>
      </c>
      <c r="B22" s="62">
        <v>46135</v>
      </c>
      <c r="C22" s="63">
        <v>0.95833333333333337</v>
      </c>
      <c r="D22" s="62" t="s">
        <v>38</v>
      </c>
      <c r="E22" s="65">
        <v>1</v>
      </c>
      <c r="F22" s="66" t="s">
        <v>45</v>
      </c>
      <c r="G22" s="65">
        <v>3</v>
      </c>
      <c r="H22" s="102" t="s">
        <v>40</v>
      </c>
      <c r="I22" s="103" t="s">
        <v>49</v>
      </c>
      <c r="J22" s="65">
        <v>3</v>
      </c>
      <c r="K22" s="65">
        <v>0</v>
      </c>
      <c r="L22" s="75" t="s">
        <v>40</v>
      </c>
      <c r="M22" s="77" t="s">
        <v>49</v>
      </c>
      <c r="N22" s="75" t="str">
        <f t="shared" si="8"/>
        <v>COL</v>
      </c>
      <c r="O22" s="66">
        <v>3</v>
      </c>
      <c r="P22" s="66">
        <v>2</v>
      </c>
      <c r="Q22" s="66" t="s">
        <v>155</v>
      </c>
      <c r="R22" s="62">
        <v>46135</v>
      </c>
      <c r="S22" s="66">
        <v>4</v>
      </c>
      <c r="T22" s="66">
        <v>2</v>
      </c>
      <c r="U22" s="66">
        <v>0</v>
      </c>
      <c r="V22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1</v>
      </c>
      <c r="W22" s="75" t="str">
        <f t="shared" si="2"/>
        <v>COL</v>
      </c>
      <c r="X22" s="66">
        <f>IF(ISBLANK(Table2[[#This Row],[OTROUNDNUM]]), "", Table2[[#This Row],[PAWAYSCORE]]-Table2[[#This Row],[AAWAYSCORE]])</f>
        <v>-1</v>
      </c>
      <c r="Y22" s="66">
        <f>IF(ISBLANK(Table2[[#This Row],[OTROUNDNUM]]), "", Table2[[#This Row],[PHOMESCORE]]-Table2[[#This Row],[AHOMESCORE]])</f>
        <v>0</v>
      </c>
      <c r="Z22" s="79">
        <f>IF(ISBLANK(Table2[[#This Row],[GAMENUM]]), " ", IF((Table2[[#This Row],[TOPSEEDWINS]]+Table2[[#This Row],[LOWSEEDWINS]]) &lt;&gt; Table2[[#This Row],[GAMENUM]], 0, 1))</f>
        <v>1</v>
      </c>
      <c r="AA22" s="60"/>
      <c r="AB22" s="68"/>
      <c r="AC22" s="14"/>
      <c r="AD22" s="14"/>
      <c r="AE22" s="19"/>
      <c r="AF22" s="14"/>
      <c r="AG22" s="14"/>
      <c r="AH22" s="45"/>
      <c r="AI22" s="48" t="s">
        <v>18</v>
      </c>
      <c r="AJ22" s="60">
        <f>COUNTIFS($L$2:$L$107, AI22, $E$2:$E$107, 1) + COUNTIFS($M$2:$M$107, AI22, $E$2:$E$107, 1)</f>
        <v>4</v>
      </c>
      <c r="AK22" s="60">
        <f>COUNTIFS($L$2:$L$107, AI22, $E$2:$E$107, 2) + COUNTIFS($M$2:$M$107, AI22, $E$2:$E$107, 2)</f>
        <v>0</v>
      </c>
      <c r="AL22" s="60">
        <f>COUNTIFS($L$2:$L$107, AI22, $E$2:$E$107, 3) + COUNTIFS($M$2:$M$107, AI22, $E$2:$E$107, 3)</f>
        <v>0</v>
      </c>
      <c r="AM22" s="60">
        <f>COUNTIFS($L$2:$L$107, AI22, $E$2:$E$107, 4) + COUNTIFS($M$2:$M$107, AI22, $E$2:$E$107, 4)</f>
        <v>0</v>
      </c>
      <c r="AN22" s="60">
        <f>AJ22+AK22+AL22+AM22</f>
        <v>4</v>
      </c>
      <c r="AO22" s="60">
        <f>COUNTIF($M$2:$M$107, AI22)</f>
        <v>2</v>
      </c>
      <c r="AP22" s="60">
        <f>COUNTIF($L$2:$L$107, AI22)</f>
        <v>2</v>
      </c>
      <c r="AQ22" s="60">
        <f t="shared" ref="AQ22:AQ37" si="9">AS22+AU22</f>
        <v>3</v>
      </c>
      <c r="AR22" s="60">
        <f t="shared" ref="AR22:AR37" si="10">AN22-AQ22</f>
        <v>1</v>
      </c>
      <c r="AS22" s="60">
        <f>SUMPRODUCT(($M$2:$M$107=AI22)*($T$2:$T$107&gt;$S$2:$S$107))</f>
        <v>2</v>
      </c>
      <c r="AT22" s="60">
        <f>SUMPRODUCT(($M$2:$M$107=AI22)*($T$2:$T$107&lt;$S$2:$S$107))</f>
        <v>0</v>
      </c>
      <c r="AU22" s="60">
        <f>SUMPRODUCT(($L$2:$L$107=AI22)*($T$2:$T$107&lt;$S$2:$S$107))</f>
        <v>1</v>
      </c>
      <c r="AV22" s="60">
        <f>SUMPRODUCT(($L$2:$L$107=AI22)*($T$2:$T$107&gt;$S$2:$S$107))</f>
        <v>0</v>
      </c>
      <c r="AW22" s="60">
        <f>COUNTIFS($M$2:$M$107,AI22,$E$2:$E$107,1)</f>
        <v>2</v>
      </c>
      <c r="AX22" s="60">
        <f>COUNTIFS($L$2:$L$107,AI22,$E$2:$E$107,1)</f>
        <v>2</v>
      </c>
      <c r="AY22" s="60">
        <f>SUMIFS($T$2:$T$107, $M$2:$M$107, AI22,$E$2:$E$107, 1)</f>
        <v>5</v>
      </c>
      <c r="AZ22" s="60">
        <f>SUMIFS($S$2:$S$107, $L$2:$L$107, AI22,$E$2:$E$107, 1)</f>
        <v>2</v>
      </c>
      <c r="BA22" s="60">
        <f>SUMIFS($S$2:$S$107, $M$2:$M$107, AI22,$E$2:$E$107, 1)</f>
        <v>2</v>
      </c>
      <c r="BB22" s="60">
        <f>SUMIFS($T$2:$T$107, $L$2:$L$107, AI22,$E$2:$E$107, 1)</f>
        <v>1</v>
      </c>
      <c r="BC22" s="60">
        <f>AY22-BA22</f>
        <v>3</v>
      </c>
      <c r="BD22" s="60">
        <f>AZ22-BB22</f>
        <v>1</v>
      </c>
      <c r="BE22" s="60">
        <f>AY22+AZ22</f>
        <v>7</v>
      </c>
      <c r="BF22" s="60">
        <f>BA22+BB22</f>
        <v>3</v>
      </c>
      <c r="BG22" s="60">
        <f>(AY22+AZ22)-(BA22+BB22)</f>
        <v>4</v>
      </c>
      <c r="BH22" s="60">
        <f>AY22/AW22</f>
        <v>2.5</v>
      </c>
      <c r="BI22" s="60">
        <f>AZ22/AX22</f>
        <v>1</v>
      </c>
      <c r="BJ22" s="60">
        <f>BA22/AW22</f>
        <v>1</v>
      </c>
      <c r="BK22" s="60">
        <f>BB22/AX22</f>
        <v>0.5</v>
      </c>
      <c r="BL22" s="60">
        <f t="shared" ref="BL22:BL37" si="11">BE22/AJ22</f>
        <v>1.75</v>
      </c>
      <c r="BM22" s="60">
        <f t="shared" ref="BM22:BM37" si="12">BF22/AJ22</f>
        <v>0.75</v>
      </c>
      <c r="BN22" s="68"/>
      <c r="BO22" s="48" t="str">
        <f t="shared" ref="BO22:BO37" si="13">AI22</f>
        <v>CAR</v>
      </c>
      <c r="BP22" s="58">
        <f t="shared" ref="BP22:BX37" si="14">AN22</f>
        <v>4</v>
      </c>
      <c r="BQ22" s="58">
        <f t="shared" si="14"/>
        <v>2</v>
      </c>
      <c r="BR22" s="58">
        <f t="shared" si="14"/>
        <v>2</v>
      </c>
      <c r="BS22" s="58">
        <f t="shared" si="14"/>
        <v>3</v>
      </c>
      <c r="BT22" s="58">
        <f t="shared" si="14"/>
        <v>1</v>
      </c>
      <c r="BU22" s="58">
        <f t="shared" si="14"/>
        <v>2</v>
      </c>
      <c r="BV22" s="58">
        <f t="shared" si="14"/>
        <v>0</v>
      </c>
      <c r="BW22" s="58">
        <f t="shared" si="14"/>
        <v>1</v>
      </c>
      <c r="BX22" s="58">
        <f t="shared" si="14"/>
        <v>0</v>
      </c>
      <c r="BY22" s="58">
        <f>SUMIFS($T$2:$T$107,$M$2:$M$107,AI22,$E$2:$E$107,1)+SUMIFS($T$2:$T$107,$M$2:$M$107,AI22,$E$2:$E$107,2)+SUMIFS($T$2:$T$107,$M$2:$M$107,AI22,$E$2:$E$107,3)+SUMIFS($T$2:$T$107,$M$2:$M$107,AI22,$E$2:$E$107,4)</f>
        <v>5</v>
      </c>
      <c r="BZ22" s="58">
        <f>SUMIFS($S$2:$S$107,$L$2:$L$107,AI22,$E$2:$E$107,1) + SUMIFS($S$2:$S$107,$L$2:$L$107,AI22,$E$2:$E$107,2)+SUMIFS($S$2:$S$107,$L$2:$L$107,AI22,$E$2:$E$107,3)+SUMIFS($S$2:$S$107,$L$2:$L$107,AI22,$E$2:$E$107,4)</f>
        <v>2</v>
      </c>
      <c r="CA22" s="58">
        <f>SUMIFS($S$2:$S$107,$M$2:$M$107,AI22,$E$2:$E$107,1)+SUMIFS($S$2:$S$107,$M$2:$M$107,AI22,$E$2:$E$107,2)+SUMIFS($S$2:$S$107,$M$2:$M$107,AI22,$E$2:$E$107,3)+SUMIFS($S$2:$S$107,$M$2:$M$107,AI22,$E$2:$E$107,4)</f>
        <v>2</v>
      </c>
      <c r="CB22" s="58">
        <f>SUMIFS($T$2:$T$107,$L$2:$L$107,AI22,$E$2:$E$107,1)+(SUMIFS($T$2:$T$107,$L$2:$L$107,AI22,$E$2:$E$107,2)+SUMIFS($T$2:$T$107,$L$2:$L$107,AI22,$E$2:$E$107,3)+SUMIFS($T$2:$T$107,$L$2:$L$107,AI22,$E$2:$E$107,4))</f>
        <v>1</v>
      </c>
      <c r="CC22" s="58">
        <f t="shared" ref="CC22:CD37" si="15">BY22-CA22</f>
        <v>3</v>
      </c>
      <c r="CD22" s="58">
        <f t="shared" si="15"/>
        <v>1</v>
      </c>
      <c r="CE22" s="58">
        <f t="shared" ref="CE22:CE37" si="16">BY22+BZ22</f>
        <v>7</v>
      </c>
      <c r="CF22" s="58">
        <f t="shared" ref="CF22:CF37" si="17">CA22+CB22</f>
        <v>3</v>
      </c>
      <c r="CG22" s="58">
        <f t="shared" ref="CG22:CG37" si="18">(BY22+BZ22)-(CA22+CB22)</f>
        <v>4</v>
      </c>
      <c r="CH22" s="59">
        <f t="shared" ref="CH22:CI37" si="19">BY22/BQ22</f>
        <v>2.5</v>
      </c>
      <c r="CI22" s="59">
        <f t="shared" si="19"/>
        <v>1</v>
      </c>
      <c r="CJ22" s="59">
        <f t="shared" ref="CJ22:CK37" si="20">CA22/BQ22</f>
        <v>1</v>
      </c>
      <c r="CK22" s="59">
        <f t="shared" si="20"/>
        <v>0.5</v>
      </c>
      <c r="CL22" s="59">
        <f t="shared" ref="CL22:CL37" si="21">CE22/BP22</f>
        <v>1.75</v>
      </c>
      <c r="CM22" s="59">
        <f t="shared" ref="CM22:CM37" si="22">CF22/BP22</f>
        <v>0.75</v>
      </c>
    </row>
    <row r="23" spans="1:91" x14ac:dyDescent="0.25">
      <c r="A23" s="60" t="str">
        <f t="shared" si="7"/>
        <v>Friday</v>
      </c>
      <c r="B23" s="62">
        <v>46136</v>
      </c>
      <c r="C23" s="63">
        <v>0.83333333333333337</v>
      </c>
      <c r="D23" s="62" t="s">
        <v>16</v>
      </c>
      <c r="E23" s="65">
        <v>1</v>
      </c>
      <c r="F23" s="66" t="s">
        <v>31</v>
      </c>
      <c r="G23" s="65">
        <v>3</v>
      </c>
      <c r="H23" s="100" t="s">
        <v>34</v>
      </c>
      <c r="I23" s="101" t="s">
        <v>158</v>
      </c>
      <c r="J23" s="65">
        <v>1</v>
      </c>
      <c r="K23" s="65">
        <v>1</v>
      </c>
      <c r="L23" s="81" t="s">
        <v>34</v>
      </c>
      <c r="M23" s="83" t="s">
        <v>158</v>
      </c>
      <c r="N23" s="83" t="str">
        <f t="shared" si="8"/>
        <v>MTL</v>
      </c>
      <c r="O23" s="66">
        <v>2</v>
      </c>
      <c r="P23" s="66">
        <v>3</v>
      </c>
      <c r="Q23" s="66" t="s">
        <v>154</v>
      </c>
      <c r="R23" s="62">
        <v>46136</v>
      </c>
      <c r="S23" s="66">
        <v>2</v>
      </c>
      <c r="T23" s="66">
        <v>3</v>
      </c>
      <c r="U23" s="66">
        <v>1</v>
      </c>
      <c r="V23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1</v>
      </c>
      <c r="W23" s="66" t="str">
        <f t="shared" si="2"/>
        <v>MTL</v>
      </c>
      <c r="X23" s="66">
        <f>IF(ISBLANK(Table2[[#This Row],[OTROUNDNUM]]), "", Table2[[#This Row],[PAWAYSCORE]]-Table2[[#This Row],[AAWAYSCORE]])</f>
        <v>0</v>
      </c>
      <c r="Y23" s="66">
        <f>IF(ISBLANK(Table2[[#This Row],[OTROUNDNUM]]), "", Table2[[#This Row],[PHOMESCORE]]-Table2[[#This Row],[AHOMESCORE]])</f>
        <v>0</v>
      </c>
      <c r="Z23" s="79">
        <f>IF(ISBLANK(Table2[[#This Row],[GAMENUM]]), " ", IF((Table2[[#This Row],[TOPSEEDWINS]]+Table2[[#This Row],[LOWSEEDWINS]]) &lt;&gt; Table2[[#This Row],[GAMENUM]], 0, 1))</f>
        <v>0</v>
      </c>
      <c r="AA23" s="60"/>
      <c r="AB23" s="68"/>
      <c r="AC23" s="14"/>
      <c r="AD23" s="14"/>
      <c r="AE23" s="19"/>
      <c r="AF23" s="14"/>
      <c r="AG23" s="14"/>
      <c r="AH23" s="45"/>
      <c r="AI23" s="49" t="s">
        <v>156</v>
      </c>
      <c r="AJ23" s="60">
        <f>COUNTIFS($L$2:$L$107, AI23, $E$2:$E$107, 1) + COUNTIFS($M$2:$M$107, AI23, $E$2:$E$107, 1)</f>
        <v>4</v>
      </c>
      <c r="AK23" s="60">
        <f>COUNTIFS($L$2:$L$107, AI23, $E$2:$E$107, 2) + COUNTIFS($M$2:$M$107, AI23, $E$2:$E$107, 2)</f>
        <v>0</v>
      </c>
      <c r="AL23" s="60">
        <f>COUNTIFS($L$2:$L$107, AI23, $E$2:$E$107, 3) + COUNTIFS($M$2:$M$107, AI23, $E$2:$E$107, 3)</f>
        <v>0</v>
      </c>
      <c r="AM23" s="60">
        <f>COUNTIFS($L$2:$L$107, AI23, $E$2:$E$107, 4) + COUNTIFS($M$2:$M$107, AI23, $E$2:$E$107, 4)</f>
        <v>0</v>
      </c>
      <c r="AN23" s="60">
        <f t="shared" ref="AN23:AN37" si="23">AJ23+AK23+AL23+AM23</f>
        <v>4</v>
      </c>
      <c r="AO23" s="60">
        <f>COUNTIF($M$2:$M$107, AI23)</f>
        <v>2</v>
      </c>
      <c r="AP23" s="60">
        <f>COUNTIF($L$2:$L$107, AI23)</f>
        <v>2</v>
      </c>
      <c r="AQ23" s="60">
        <f t="shared" si="9"/>
        <v>0</v>
      </c>
      <c r="AR23" s="60">
        <f t="shared" si="10"/>
        <v>4</v>
      </c>
      <c r="AS23" s="60">
        <f>SUMPRODUCT(($M$2:$M$107=AI23)*($T$2:$T$107&gt;$S$2:$S$107))</f>
        <v>0</v>
      </c>
      <c r="AT23" s="60">
        <f>SUMPRODUCT(($M$2:$M$107=AI23)*($T$2:$T$107&lt;$S$2:$S$107))</f>
        <v>1</v>
      </c>
      <c r="AU23" s="60">
        <f>SUMPRODUCT(($L$2:$L$107=AI23)*($T$2:$T$107&lt;$S$2:$S$107))</f>
        <v>0</v>
      </c>
      <c r="AV23" s="60">
        <f>SUMPRODUCT(($L$2:$L$107=AI23)*($T$2:$T$107&gt;$S$2:$S$107))</f>
        <v>2</v>
      </c>
      <c r="AW23" s="60">
        <f>COUNTIFS($M$2:$M$107,AI23,$E$2:$E$107,1)</f>
        <v>2</v>
      </c>
      <c r="AX23" s="60">
        <f>COUNTIFS($L$2:$L$107,AI23,$E$2:$E$107,1)</f>
        <v>2</v>
      </c>
      <c r="AY23" s="60">
        <f>SUMIFS($T$2:$T$107, $M$2:$M$107, AI23,$E$2:$E$107, 1)</f>
        <v>1</v>
      </c>
      <c r="AZ23" s="60">
        <f>SUMIFS($S$2:$S$107, $L$2:$L$107, AI23,$E$2:$E$107, 1)</f>
        <v>2</v>
      </c>
      <c r="BA23" s="60">
        <f>SUMIFS($S$2:$S$107, $M$2:$M$107, AI23,$E$2:$E$107, 1)</f>
        <v>2</v>
      </c>
      <c r="BB23" s="60">
        <f>SUMIFS($T$2:$T$107, $L$2:$L$107, AI23,$E$2:$E$107, 1)</f>
        <v>5</v>
      </c>
      <c r="BC23" s="60">
        <f t="shared" ref="BC23:BD37" si="24">AY23-BA23</f>
        <v>-1</v>
      </c>
      <c r="BD23" s="60">
        <f t="shared" si="24"/>
        <v>-3</v>
      </c>
      <c r="BE23" s="60">
        <f t="shared" ref="BE23:BE37" si="25">AY23+AZ23</f>
        <v>3</v>
      </c>
      <c r="BF23" s="60">
        <f t="shared" ref="BF23:BF37" si="26">BA23+BB23</f>
        <v>7</v>
      </c>
      <c r="BG23" s="60">
        <f t="shared" ref="BG23:BG37" si="27">(AY23+AZ23)-(BA23+BB23)</f>
        <v>-4</v>
      </c>
      <c r="BH23" s="60">
        <f t="shared" ref="BH23:BI37" si="28">AY23/AW23</f>
        <v>0.5</v>
      </c>
      <c r="BI23" s="60">
        <f t="shared" si="28"/>
        <v>1</v>
      </c>
      <c r="BJ23" s="60">
        <f t="shared" ref="BJ23:BK37" si="29">BA23/AW23</f>
        <v>1</v>
      </c>
      <c r="BK23" s="60">
        <f t="shared" si="29"/>
        <v>2.5</v>
      </c>
      <c r="BL23" s="60">
        <f t="shared" si="11"/>
        <v>0.75</v>
      </c>
      <c r="BM23" s="60">
        <f t="shared" si="12"/>
        <v>1.75</v>
      </c>
      <c r="BN23" s="68"/>
      <c r="BO23" s="49" t="str">
        <f t="shared" si="13"/>
        <v>OTT</v>
      </c>
      <c r="BP23" s="58">
        <f t="shared" si="14"/>
        <v>4</v>
      </c>
      <c r="BQ23" s="58">
        <f t="shared" si="14"/>
        <v>2</v>
      </c>
      <c r="BR23" s="58">
        <f t="shared" si="14"/>
        <v>2</v>
      </c>
      <c r="BS23" s="58">
        <f t="shared" si="14"/>
        <v>0</v>
      </c>
      <c r="BT23" s="58">
        <f t="shared" si="14"/>
        <v>4</v>
      </c>
      <c r="BU23" s="58">
        <f t="shared" si="14"/>
        <v>0</v>
      </c>
      <c r="BV23" s="58">
        <f t="shared" si="14"/>
        <v>1</v>
      </c>
      <c r="BW23" s="58">
        <f t="shared" si="14"/>
        <v>0</v>
      </c>
      <c r="BX23" s="58">
        <f t="shared" si="14"/>
        <v>2</v>
      </c>
      <c r="BY23" s="58">
        <f>SUMIFS($T$2:$T$107,$M$2:$M$107,AI23,$E$2:$E$107,1)+SUMIFS($T$2:$T$107,$M$2:$M$107,AI23,$E$2:$E$107,2)+SUMIFS($T$2:$T$107,$M$2:$M$107,AI23,$E$2:$E$107,3)+SUMIFS($T$2:$T$107,$M$2:$M$107,AI23,$E$2:$E$107,4)</f>
        <v>1</v>
      </c>
      <c r="BZ23" s="58">
        <f>SUMIFS($S$2:$S$107,$L$2:$L$107,AI23,$E$2:$E$107,1) + SUMIFS($S$2:$S$107,$L$2:$L$107,AI23,$E$2:$E$107,2)+SUMIFS($S$2:$S$107,$L$2:$L$107,AI23,$E$2:$E$107,3)+SUMIFS($S$2:$S$107,$L$2:$L$107,AI23,$E$2:$E$107,4)</f>
        <v>2</v>
      </c>
      <c r="CA23" s="58">
        <f>SUMIFS($S$2:$S$107,$M$2:$M$107,AI23,$E$2:$E$107,1)+SUMIFS($S$2:$S$107,$M$2:$M$107,AI23,$E$2:$E$107,2)+SUMIFS($S$2:$S$107,$M$2:$M$107,AI23,$E$2:$E$107,3)+SUMIFS($S$2:$S$107,$M$2:$M$107,AI23,$E$2:$E$107,4)</f>
        <v>2</v>
      </c>
      <c r="CB23" s="58">
        <f>SUMIFS($T$2:$T$107,$L$2:$L$107,AI23,$E$2:$E$107,1)+(SUMIFS($T$2:$T$107,$L$2:$L$107,AI23,$E$2:$E$107,2)+SUMIFS($T$2:$T$107,$L$2:$L$107,AI23,$E$2:$E$107,3)+SUMIFS($T$2:$T$107,$L$2:$L$107,AI23,$E$2:$E$107,4))</f>
        <v>5</v>
      </c>
      <c r="CC23" s="58">
        <f t="shared" si="15"/>
        <v>-1</v>
      </c>
      <c r="CD23" s="58">
        <f t="shared" si="15"/>
        <v>-3</v>
      </c>
      <c r="CE23" s="58">
        <f t="shared" si="16"/>
        <v>3</v>
      </c>
      <c r="CF23" s="58">
        <f t="shared" si="17"/>
        <v>7</v>
      </c>
      <c r="CG23" s="58">
        <f t="shared" si="18"/>
        <v>-4</v>
      </c>
      <c r="CH23" s="59">
        <f t="shared" si="19"/>
        <v>0.5</v>
      </c>
      <c r="CI23" s="59">
        <f t="shared" si="19"/>
        <v>1</v>
      </c>
      <c r="CJ23" s="59">
        <f t="shared" si="20"/>
        <v>1</v>
      </c>
      <c r="CK23" s="59">
        <f t="shared" si="20"/>
        <v>2.5</v>
      </c>
      <c r="CL23" s="59">
        <f t="shared" si="21"/>
        <v>0.75</v>
      </c>
      <c r="CM23" s="59">
        <f t="shared" si="22"/>
        <v>1.75</v>
      </c>
    </row>
    <row r="24" spans="1:91" x14ac:dyDescent="0.25">
      <c r="A24" s="60" t="str">
        <f t="shared" si="7"/>
        <v>Friday</v>
      </c>
      <c r="B24" s="62">
        <v>46136</v>
      </c>
      <c r="C24" s="63">
        <v>0.9375</v>
      </c>
      <c r="D24" s="62" t="s">
        <v>38</v>
      </c>
      <c r="E24" s="65">
        <v>1</v>
      </c>
      <c r="F24" s="66" t="s">
        <v>42</v>
      </c>
      <c r="G24" s="65">
        <v>3</v>
      </c>
      <c r="H24" s="85" t="s">
        <v>47</v>
      </c>
      <c r="I24" s="86" t="s">
        <v>174</v>
      </c>
      <c r="J24" s="65">
        <v>1</v>
      </c>
      <c r="K24" s="65">
        <v>1</v>
      </c>
      <c r="L24" s="88" t="s">
        <v>47</v>
      </c>
      <c r="M24" s="87" t="s">
        <v>174</v>
      </c>
      <c r="N24" s="87" t="str">
        <f t="shared" si="8"/>
        <v>UTA</v>
      </c>
      <c r="O24" s="66">
        <v>2</v>
      </c>
      <c r="P24" s="66">
        <v>3</v>
      </c>
      <c r="Q24" s="66" t="s">
        <v>154</v>
      </c>
      <c r="R24" s="62">
        <v>46136</v>
      </c>
      <c r="S24" s="66">
        <v>2</v>
      </c>
      <c r="T24" s="66">
        <v>4</v>
      </c>
      <c r="U24" s="66">
        <v>0</v>
      </c>
      <c r="V24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1</v>
      </c>
      <c r="W24" s="66" t="str">
        <f t="shared" si="2"/>
        <v>UTA</v>
      </c>
      <c r="X24" s="66">
        <f>IF(ISBLANK(Table2[[#This Row],[OTROUNDNUM]]), "", Table2[[#This Row],[PAWAYSCORE]]-Table2[[#This Row],[AAWAYSCORE]])</f>
        <v>0</v>
      </c>
      <c r="Y24" s="66">
        <f>IF(ISBLANK(Table2[[#This Row],[OTROUNDNUM]]), "", Table2[[#This Row],[PHOMESCORE]]-Table2[[#This Row],[AHOMESCORE]])</f>
        <v>-1</v>
      </c>
      <c r="Z24" s="79">
        <f>IF(ISBLANK(Table2[[#This Row],[GAMENUM]]), " ", IF((Table2[[#This Row],[TOPSEEDWINS]]+Table2[[#This Row],[LOWSEEDWINS]]) &lt;&gt; Table2[[#This Row],[GAMENUM]], 0, 1))</f>
        <v>0</v>
      </c>
      <c r="AA24" s="60"/>
      <c r="AB24" s="68"/>
      <c r="AC24" s="14"/>
      <c r="AD24" s="14"/>
      <c r="AE24" s="19"/>
      <c r="AF24" s="14"/>
      <c r="AG24" s="14"/>
      <c r="AH24" s="45"/>
      <c r="AI24" s="92" t="s">
        <v>170</v>
      </c>
      <c r="AJ24" s="60">
        <f>COUNTIFS($L$2:$L$107, AI24, $E$2:$E$107, 1) + COUNTIFS($M$2:$M$107, AI24, $E$2:$E$107, 1)</f>
        <v>4</v>
      </c>
      <c r="AK24" s="60">
        <f>COUNTIFS($L$2:$L$107, AI24, $E$2:$E$107, 2) + COUNTIFS($M$2:$M$107, AI24, $E$2:$E$107, 2)</f>
        <v>0</v>
      </c>
      <c r="AL24" s="60">
        <f>COUNTIFS($L$2:$L$107, AI24, $E$2:$E$107, 3) + COUNTIFS($M$2:$M$107, AI24, $E$2:$E$107, 3)</f>
        <v>0</v>
      </c>
      <c r="AM24" s="60">
        <f>COUNTIFS($L$2:$L$107, AI24, $E$2:$E$107, 4) + COUNTIFS($M$2:$M$107, AI24, $E$2:$E$107, 4)</f>
        <v>0</v>
      </c>
      <c r="AN24" s="60">
        <f t="shared" si="23"/>
        <v>4</v>
      </c>
      <c r="AO24" s="60">
        <f>COUNTIF($M$2:$M$107, AI24)</f>
        <v>2</v>
      </c>
      <c r="AP24" s="60">
        <f>COUNTIF($L$2:$L$107, AI24)</f>
        <v>2</v>
      </c>
      <c r="AQ24" s="60">
        <f t="shared" si="9"/>
        <v>1</v>
      </c>
      <c r="AR24" s="60">
        <f t="shared" si="10"/>
        <v>3</v>
      </c>
      <c r="AS24" s="60">
        <f>SUMPRODUCT(($M$2:$M$107=AI24)*($T$2:$T$107&gt;$S$2:$S$107))</f>
        <v>1</v>
      </c>
      <c r="AT24" s="60">
        <f>SUMPRODUCT(($M$2:$M$107=AI24)*($T$2:$T$107&lt;$S$2:$S$107))</f>
        <v>1</v>
      </c>
      <c r="AU24" s="60">
        <f>SUMPRODUCT(($L$2:$L$107=AI24)*($T$2:$T$107&lt;$S$2:$S$107))</f>
        <v>0</v>
      </c>
      <c r="AV24" s="60">
        <f>SUMPRODUCT(($L$2:$L$107=AI24)*($T$2:$T$107&gt;$S$2:$S$107))</f>
        <v>1</v>
      </c>
      <c r="AW24" s="60">
        <f>COUNTIFS($M$2:$M$107,AI24,$E$2:$E$107,1)</f>
        <v>2</v>
      </c>
      <c r="AX24" s="60">
        <f>COUNTIFS($L$2:$L$107,AI24,$E$2:$E$107,1)</f>
        <v>2</v>
      </c>
      <c r="AY24" s="60">
        <f>SUMIFS($T$2:$T$107, $M$2:$M$107, AI24,$E$2:$E$107, 1)</f>
        <v>3</v>
      </c>
      <c r="AZ24" s="60">
        <f>SUMIFS($S$2:$S$107, $L$2:$L$107, AI24,$E$2:$E$107, 1)</f>
        <v>2</v>
      </c>
      <c r="BA24" s="60">
        <f>SUMIFS($S$2:$S$107, $M$2:$M$107, AI24,$E$2:$E$107, 1)</f>
        <v>5</v>
      </c>
      <c r="BB24" s="60">
        <f>SUMIFS($T$2:$T$107, $L$2:$L$107, AI24,$E$2:$E$107, 1)</f>
        <v>5</v>
      </c>
      <c r="BC24" s="60">
        <f t="shared" si="24"/>
        <v>-2</v>
      </c>
      <c r="BD24" s="60">
        <f t="shared" si="24"/>
        <v>-3</v>
      </c>
      <c r="BE24" s="60">
        <f t="shared" si="25"/>
        <v>5</v>
      </c>
      <c r="BF24" s="60">
        <f t="shared" si="26"/>
        <v>10</v>
      </c>
      <c r="BG24" s="60">
        <f t="shared" si="27"/>
        <v>-5</v>
      </c>
      <c r="BH24" s="60">
        <f t="shared" si="28"/>
        <v>1.5</v>
      </c>
      <c r="BI24" s="60">
        <f t="shared" si="28"/>
        <v>1</v>
      </c>
      <c r="BJ24" s="60">
        <f t="shared" si="29"/>
        <v>2.5</v>
      </c>
      <c r="BK24" s="60">
        <f t="shared" si="29"/>
        <v>2.5</v>
      </c>
      <c r="BL24" s="60">
        <f t="shared" si="11"/>
        <v>1.25</v>
      </c>
      <c r="BM24" s="60">
        <f t="shared" si="12"/>
        <v>2.5</v>
      </c>
      <c r="BN24" s="68"/>
      <c r="BO24" s="92" t="str">
        <f t="shared" si="13"/>
        <v>PIT</v>
      </c>
      <c r="BP24" s="58">
        <f t="shared" si="14"/>
        <v>4</v>
      </c>
      <c r="BQ24" s="58">
        <f t="shared" si="14"/>
        <v>2</v>
      </c>
      <c r="BR24" s="58">
        <f t="shared" si="14"/>
        <v>2</v>
      </c>
      <c r="BS24" s="58">
        <f t="shared" si="14"/>
        <v>1</v>
      </c>
      <c r="BT24" s="58">
        <f t="shared" si="14"/>
        <v>3</v>
      </c>
      <c r="BU24" s="58">
        <f t="shared" si="14"/>
        <v>1</v>
      </c>
      <c r="BV24" s="58">
        <f t="shared" si="14"/>
        <v>1</v>
      </c>
      <c r="BW24" s="58">
        <f t="shared" si="14"/>
        <v>0</v>
      </c>
      <c r="BX24" s="58">
        <f t="shared" si="14"/>
        <v>1</v>
      </c>
      <c r="BY24" s="58">
        <f>SUMIFS($T$2:$T$107,$M$2:$M$107,AI24,$E$2:$E$107,1)+SUMIFS($T$2:$T$107,$M$2:$M$107,AI24,$E$2:$E$107,2)+SUMIFS($T$2:$T$107,$M$2:$M$107,AI24,$E$2:$E$107,3)+SUMIFS($T$2:$T$107,$M$2:$M$107,AI24,$E$2:$E$107,4)</f>
        <v>3</v>
      </c>
      <c r="BZ24" s="58">
        <f>SUMIFS($S$2:$S$107,$L$2:$L$107,AI24,$E$2:$E$107,1) + SUMIFS($S$2:$S$107,$L$2:$L$107,AI24,$E$2:$E$107,2)+SUMIFS($S$2:$S$107,$L$2:$L$107,AI24,$E$2:$E$107,3)+SUMIFS($S$2:$S$107,$L$2:$L$107,AI24,$E$2:$E$107,4)</f>
        <v>2</v>
      </c>
      <c r="CA24" s="58">
        <f>SUMIFS($S$2:$S$107,$M$2:$M$107,AI24,$E$2:$E$107,1)+SUMIFS($S$2:$S$107,$M$2:$M$107,AI24,$E$2:$E$107,2)+SUMIFS($S$2:$S$107,$M$2:$M$107,AI24,$E$2:$E$107,3)+SUMIFS($S$2:$S$107,$M$2:$M$107,AI24,$E$2:$E$107,4)</f>
        <v>5</v>
      </c>
      <c r="CB24" s="58">
        <f>SUMIFS($T$2:$T$107,$L$2:$L$107,AI24,$E$2:$E$107,1)+(SUMIFS($T$2:$T$107,$L$2:$L$107,AI24,$E$2:$E$107,2)+SUMIFS($T$2:$T$107,$L$2:$L$107,AI24,$E$2:$E$107,3)+SUMIFS($T$2:$T$107,$L$2:$L$107,AI24,$E$2:$E$107,4))</f>
        <v>5</v>
      </c>
      <c r="CC24" s="58">
        <f t="shared" si="15"/>
        <v>-2</v>
      </c>
      <c r="CD24" s="58">
        <f t="shared" si="15"/>
        <v>-3</v>
      </c>
      <c r="CE24" s="58">
        <f t="shared" si="16"/>
        <v>5</v>
      </c>
      <c r="CF24" s="58">
        <f t="shared" si="17"/>
        <v>10</v>
      </c>
      <c r="CG24" s="58">
        <f t="shared" si="18"/>
        <v>-5</v>
      </c>
      <c r="CH24" s="59">
        <f t="shared" si="19"/>
        <v>1.5</v>
      </c>
      <c r="CI24" s="59">
        <f t="shared" si="19"/>
        <v>1</v>
      </c>
      <c r="CJ24" s="59">
        <f t="shared" si="20"/>
        <v>2.5</v>
      </c>
      <c r="CK24" s="59">
        <f t="shared" si="20"/>
        <v>2.5</v>
      </c>
      <c r="CL24" s="59">
        <f t="shared" si="21"/>
        <v>1.25</v>
      </c>
      <c r="CM24" s="59">
        <f t="shared" si="22"/>
        <v>2.5</v>
      </c>
    </row>
    <row r="25" spans="1:91" x14ac:dyDescent="0.25">
      <c r="A25" s="60" t="str">
        <f t="shared" si="7"/>
        <v>Friday</v>
      </c>
      <c r="B25" s="62">
        <v>46136</v>
      </c>
      <c r="C25" s="63">
        <v>0.95833333333333337</v>
      </c>
      <c r="D25" s="62" t="s">
        <v>38</v>
      </c>
      <c r="E25" s="65">
        <v>1</v>
      </c>
      <c r="F25" s="66" t="s">
        <v>44</v>
      </c>
      <c r="G25" s="65">
        <v>3</v>
      </c>
      <c r="H25" s="89" t="s">
        <v>48</v>
      </c>
      <c r="I25" s="90" t="s">
        <v>175</v>
      </c>
      <c r="J25" s="65">
        <v>1</v>
      </c>
      <c r="K25" s="65">
        <v>1</v>
      </c>
      <c r="L25" s="70" t="s">
        <v>48</v>
      </c>
      <c r="M25" s="91" t="s">
        <v>175</v>
      </c>
      <c r="N25" s="91" t="str">
        <f t="shared" si="8"/>
        <v>ANA</v>
      </c>
      <c r="O25" s="66">
        <v>3</v>
      </c>
      <c r="P25" s="66">
        <v>4</v>
      </c>
      <c r="Q25" s="66" t="s">
        <v>154</v>
      </c>
      <c r="R25" s="62">
        <v>46136</v>
      </c>
      <c r="S25" s="66">
        <v>4</v>
      </c>
      <c r="T25" s="66">
        <v>7</v>
      </c>
      <c r="U25" s="66">
        <v>0</v>
      </c>
      <c r="V25" s="66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>1</v>
      </c>
      <c r="W25" s="66" t="str">
        <f t="shared" si="2"/>
        <v>ANA</v>
      </c>
      <c r="X25" s="66">
        <f>IF(ISBLANK(Table2[[#This Row],[OTROUNDNUM]]), "", Table2[[#This Row],[PAWAYSCORE]]-Table2[[#This Row],[AAWAYSCORE]])</f>
        <v>-1</v>
      </c>
      <c r="Y25" s="66">
        <f>IF(ISBLANK(Table2[[#This Row],[OTROUNDNUM]]), "", Table2[[#This Row],[PHOMESCORE]]-Table2[[#This Row],[AHOMESCORE]])</f>
        <v>-3</v>
      </c>
      <c r="Z25" s="79">
        <f>IF(ISBLANK(Table2[[#This Row],[GAMENUM]]), " ", IF((Table2[[#This Row],[TOPSEEDWINS]]+Table2[[#This Row],[LOWSEEDWINS]]) &lt;&gt; Table2[[#This Row],[GAMENUM]], 0, 1))</f>
        <v>0</v>
      </c>
      <c r="AA25" s="60"/>
      <c r="AB25" s="68"/>
      <c r="AC25" s="14"/>
      <c r="AD25" s="14"/>
      <c r="AE25" s="19"/>
      <c r="AF25" s="14"/>
      <c r="AG25" s="14"/>
      <c r="AH25" s="45"/>
      <c r="AI25" s="93" t="s">
        <v>171</v>
      </c>
      <c r="AJ25" s="60">
        <f>COUNTIFS($L$2:$L$107, AI25, $E$2:$E$107, 1) + COUNTIFS($M$2:$M$107, AI25, $E$2:$E$107, 1)</f>
        <v>4</v>
      </c>
      <c r="AK25" s="60">
        <f>COUNTIFS($L$2:$L$107, AI25, $E$2:$E$107, 2) + COUNTIFS($M$2:$M$107, AI25, $E$2:$E$107, 2)</f>
        <v>0</v>
      </c>
      <c r="AL25" s="60">
        <f>COUNTIFS($L$2:$L$107, AI25, $E$2:$E$107, 3) + COUNTIFS($M$2:$M$107, AI25, $E$2:$E$107, 3)</f>
        <v>0</v>
      </c>
      <c r="AM25" s="60">
        <f>COUNTIFS($L$2:$L$107, AI25, $E$2:$E$107, 4) + COUNTIFS($M$2:$M$107, AI25, $E$2:$E$107, 4)</f>
        <v>0</v>
      </c>
      <c r="AN25" s="60">
        <f t="shared" si="23"/>
        <v>4</v>
      </c>
      <c r="AO25" s="60">
        <f>COUNTIF($M$2:$M$107, AI25)</f>
        <v>2</v>
      </c>
      <c r="AP25" s="60">
        <f>COUNTIF($L$2:$L$107, AI25)</f>
        <v>2</v>
      </c>
      <c r="AQ25" s="60">
        <f t="shared" si="9"/>
        <v>2</v>
      </c>
      <c r="AR25" s="60">
        <f t="shared" si="10"/>
        <v>2</v>
      </c>
      <c r="AS25" s="60">
        <f>SUMPRODUCT(($M$2:$M$107=AI25)*($T$2:$T$107&gt;$S$2:$S$107))</f>
        <v>1</v>
      </c>
      <c r="AT25" s="60">
        <f>SUMPRODUCT(($M$2:$M$107=AI25)*($T$2:$T$107&lt;$S$2:$S$107))</f>
        <v>0</v>
      </c>
      <c r="AU25" s="60">
        <f>SUMPRODUCT(($L$2:$L$107=AI25)*($T$2:$T$107&lt;$S$2:$S$107))</f>
        <v>1</v>
      </c>
      <c r="AV25" s="60">
        <f>SUMPRODUCT(($L$2:$L$107=AI25)*($T$2:$T$107&gt;$S$2:$S$107))</f>
        <v>1</v>
      </c>
      <c r="AW25" s="60">
        <f>COUNTIFS($M$2:$M$107,AI25,$E$2:$E$107,1)</f>
        <v>2</v>
      </c>
      <c r="AX25" s="60">
        <f>COUNTIFS($L$2:$L$107,AI25,$E$2:$E$107,1)</f>
        <v>2</v>
      </c>
      <c r="AY25" s="60">
        <f>SUMIFS($T$2:$T$107, $M$2:$M$107, AI25,$E$2:$E$107, 1)</f>
        <v>5</v>
      </c>
      <c r="AZ25" s="60">
        <f>SUMIFS($S$2:$S$107, $L$2:$L$107, AI25,$E$2:$E$107, 1)</f>
        <v>5</v>
      </c>
      <c r="BA25" s="60">
        <f>SUMIFS($S$2:$S$107, $M$2:$M$107, AI25,$E$2:$E$107, 1)</f>
        <v>2</v>
      </c>
      <c r="BB25" s="60">
        <f>SUMIFS($T$2:$T$107, $L$2:$L$107, AI25,$E$2:$E$107, 1)</f>
        <v>3</v>
      </c>
      <c r="BC25" s="60">
        <f t="shared" si="24"/>
        <v>3</v>
      </c>
      <c r="BD25" s="60">
        <f t="shared" si="24"/>
        <v>2</v>
      </c>
      <c r="BE25" s="60">
        <f t="shared" si="25"/>
        <v>10</v>
      </c>
      <c r="BF25" s="60">
        <f t="shared" si="26"/>
        <v>5</v>
      </c>
      <c r="BG25" s="60">
        <f t="shared" si="27"/>
        <v>5</v>
      </c>
      <c r="BH25" s="60">
        <f t="shared" si="28"/>
        <v>2.5</v>
      </c>
      <c r="BI25" s="60">
        <f t="shared" si="28"/>
        <v>2.5</v>
      </c>
      <c r="BJ25" s="60">
        <f t="shared" si="29"/>
        <v>1</v>
      </c>
      <c r="BK25" s="60">
        <f t="shared" si="29"/>
        <v>1.5</v>
      </c>
      <c r="BL25" s="60">
        <f t="shared" si="11"/>
        <v>2.5</v>
      </c>
      <c r="BM25" s="60">
        <f t="shared" si="12"/>
        <v>1.25</v>
      </c>
      <c r="BN25" s="68"/>
      <c r="BO25" s="93" t="str">
        <f t="shared" si="13"/>
        <v>PHI</v>
      </c>
      <c r="BP25" s="58">
        <f t="shared" si="14"/>
        <v>4</v>
      </c>
      <c r="BQ25" s="58">
        <f t="shared" si="14"/>
        <v>2</v>
      </c>
      <c r="BR25" s="58">
        <f t="shared" si="14"/>
        <v>2</v>
      </c>
      <c r="BS25" s="58">
        <f t="shared" si="14"/>
        <v>2</v>
      </c>
      <c r="BT25" s="58">
        <f t="shared" si="14"/>
        <v>2</v>
      </c>
      <c r="BU25" s="58">
        <f t="shared" si="14"/>
        <v>1</v>
      </c>
      <c r="BV25" s="58">
        <f t="shared" si="14"/>
        <v>0</v>
      </c>
      <c r="BW25" s="58">
        <f t="shared" si="14"/>
        <v>1</v>
      </c>
      <c r="BX25" s="58">
        <f t="shared" si="14"/>
        <v>1</v>
      </c>
      <c r="BY25" s="58">
        <f>SUMIFS($T$2:$T$107,$M$2:$M$107,AI25,$E$2:$E$107,1)+SUMIFS($T$2:$T$107,$M$2:$M$107,AI25,$E$2:$E$107,2)+SUMIFS($T$2:$T$107,$M$2:$M$107,AI25,$E$2:$E$107,3)+SUMIFS($T$2:$T$107,$M$2:$M$107,AI25,$E$2:$E$107,4)</f>
        <v>5</v>
      </c>
      <c r="BZ25" s="58">
        <f>SUMIFS($S$2:$S$107,$L$2:$L$107,AI25,$E$2:$E$107,1) + SUMIFS($S$2:$S$107,$L$2:$L$107,AI25,$E$2:$E$107,2)+SUMIFS($S$2:$S$107,$L$2:$L$107,AI25,$E$2:$E$107,3)+SUMIFS($S$2:$S$107,$L$2:$L$107,AI25,$E$2:$E$107,4)</f>
        <v>5</v>
      </c>
      <c r="CA25" s="58">
        <f>SUMIFS($S$2:$S$107,$M$2:$M$107,AI25,$E$2:$E$107,1)+SUMIFS($S$2:$S$107,$M$2:$M$107,AI25,$E$2:$E$107,2)+SUMIFS($S$2:$S$107,$M$2:$M$107,AI25,$E$2:$E$107,3)+SUMIFS($S$2:$S$107,$M$2:$M$107,AI25,$E$2:$E$107,4)</f>
        <v>2</v>
      </c>
      <c r="CB25" s="58">
        <f>SUMIFS($T$2:$T$107,$L$2:$L$107,AI25,$E$2:$E$107,1)+(SUMIFS($T$2:$T$107,$L$2:$L$107,AI25,$E$2:$E$107,2)+SUMIFS($T$2:$T$107,$L$2:$L$107,AI25,$E$2:$E$107,3)+SUMIFS($T$2:$T$107,$L$2:$L$107,AI25,$E$2:$E$107,4))</f>
        <v>3</v>
      </c>
      <c r="CC25" s="58">
        <f t="shared" si="15"/>
        <v>3</v>
      </c>
      <c r="CD25" s="58">
        <f t="shared" si="15"/>
        <v>2</v>
      </c>
      <c r="CE25" s="58">
        <f t="shared" si="16"/>
        <v>10</v>
      </c>
      <c r="CF25" s="58">
        <f t="shared" si="17"/>
        <v>5</v>
      </c>
      <c r="CG25" s="58">
        <f t="shared" si="18"/>
        <v>5</v>
      </c>
      <c r="CH25" s="59">
        <f t="shared" si="19"/>
        <v>2.5</v>
      </c>
      <c r="CI25" s="59">
        <f t="shared" si="19"/>
        <v>2.5</v>
      </c>
      <c r="CJ25" s="59">
        <f t="shared" si="20"/>
        <v>1</v>
      </c>
      <c r="CK25" s="59">
        <f t="shared" si="20"/>
        <v>1.5</v>
      </c>
      <c r="CL25" s="59">
        <f t="shared" si="21"/>
        <v>2.5</v>
      </c>
      <c r="CM25" s="59">
        <f t="shared" si="22"/>
        <v>1.25</v>
      </c>
    </row>
    <row r="26" spans="1:91" x14ac:dyDescent="0.25">
      <c r="A26" s="60" t="str">
        <f t="shared" si="7"/>
        <v>Saturday</v>
      </c>
      <c r="B26" s="62">
        <v>46137</v>
      </c>
      <c r="C26" s="63">
        <v>0.66666666666666663</v>
      </c>
      <c r="D26" s="62" t="s">
        <v>16</v>
      </c>
      <c r="E26" s="65">
        <v>1</v>
      </c>
      <c r="F26" s="66" t="s">
        <v>36</v>
      </c>
      <c r="G26" s="65">
        <v>4</v>
      </c>
      <c r="H26" s="94" t="s">
        <v>18</v>
      </c>
      <c r="I26" s="95" t="s">
        <v>156</v>
      </c>
      <c r="J26" s="65">
        <v>3</v>
      </c>
      <c r="K26" s="65">
        <v>0</v>
      </c>
      <c r="L26" s="23" t="s">
        <v>18</v>
      </c>
      <c r="M26" s="24" t="s">
        <v>156</v>
      </c>
      <c r="N26" s="66" t="str">
        <f t="shared" si="8"/>
        <v>CAR</v>
      </c>
      <c r="O26" s="66">
        <v>3</v>
      </c>
      <c r="P26" s="66">
        <v>2</v>
      </c>
      <c r="Q26" s="66" t="s">
        <v>154</v>
      </c>
      <c r="R26" s="62">
        <v>46137</v>
      </c>
      <c r="S26" s="66"/>
      <c r="T26" s="66"/>
      <c r="U26" s="66"/>
      <c r="V26" s="66" t="str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/>
      </c>
      <c r="W26" s="66" t="str">
        <f t="shared" si="2"/>
        <v/>
      </c>
      <c r="X26" s="79" t="str">
        <f>IF(ISBLANK(Table2[[#This Row],[OTROUNDNUM]]), "", Table2[[#This Row],[PAWAYSCORE]]-Table2[[#This Row],[AAWAYSCORE]])</f>
        <v/>
      </c>
      <c r="Y26" s="79" t="str">
        <f>IF(ISBLANK(Table2[[#This Row],[OTROUNDNUM]]), "", Table2[[#This Row],[PHOMESCORE]]-Table2[[#This Row],[AHOMESCORE]])</f>
        <v/>
      </c>
      <c r="Z26" s="79">
        <f>IF(ISBLANK(Table2[[#This Row],[GAMENUM]]), " ", IF((Table2[[#This Row],[TOPSEEDWINS]]+Table2[[#This Row],[LOWSEEDWINS]]) &lt;&gt; Table2[[#This Row],[GAMENUM]], 0, 1))</f>
        <v>0</v>
      </c>
      <c r="AA26" s="60"/>
      <c r="AB26" s="68"/>
      <c r="AC26" s="14"/>
      <c r="AD26" s="14"/>
      <c r="AE26" s="19"/>
      <c r="AF26" s="14"/>
      <c r="AG26" s="14"/>
      <c r="AH26" s="45"/>
      <c r="AI26" s="50" t="s">
        <v>34</v>
      </c>
      <c r="AJ26" s="60">
        <f>COUNTIFS($L$2:$L$107, AI26, $E$2:$E$107, 1) + COUNTIFS($M$2:$M$107, AI26, $E$2:$E$107, 1)</f>
        <v>4</v>
      </c>
      <c r="AK26" s="60">
        <f>COUNTIFS($L$2:$L$107, AI26, $E$2:$E$107, 2) + COUNTIFS($M$2:$M$107, AI26, $E$2:$E$107, 2)</f>
        <v>0</v>
      </c>
      <c r="AL26" s="60">
        <f>COUNTIFS($L$2:$L$107, AI26, $E$2:$E$107, 3) + COUNTIFS($M$2:$M$107, AI26, $E$2:$E$107, 3)</f>
        <v>0</v>
      </c>
      <c r="AM26" s="60">
        <f>COUNTIFS($L$2:$L$107, AI26, $E$2:$E$107, 4) + COUNTIFS($M$2:$M$107, AI26, $E$2:$E$107, 4)</f>
        <v>0</v>
      </c>
      <c r="AN26" s="60">
        <f t="shared" si="23"/>
        <v>4</v>
      </c>
      <c r="AO26" s="60">
        <f>COUNTIF($M$2:$M$107, AI26)</f>
        <v>2</v>
      </c>
      <c r="AP26" s="60">
        <f>COUNTIF($L$2:$L$107, AI26)</f>
        <v>2</v>
      </c>
      <c r="AQ26" s="60">
        <f t="shared" si="9"/>
        <v>1</v>
      </c>
      <c r="AR26" s="60">
        <f t="shared" si="10"/>
        <v>3</v>
      </c>
      <c r="AS26" s="60">
        <f>SUMPRODUCT(($M$2:$M$107=AI26)*($T$2:$T$107&gt;$S$2:$S$107))</f>
        <v>1</v>
      </c>
      <c r="AT26" s="60">
        <f>SUMPRODUCT(($M$2:$M$107=AI26)*($T$2:$T$107&lt;$S$2:$S$107))</f>
        <v>1</v>
      </c>
      <c r="AU26" s="60">
        <f>SUMPRODUCT(($L$2:$L$107=AI26)*($T$2:$T$107&lt;$S$2:$S$107))</f>
        <v>0</v>
      </c>
      <c r="AV26" s="60">
        <f>SUMPRODUCT(($L$2:$L$107=AI26)*($T$2:$T$107&gt;$S$2:$S$107))</f>
        <v>1</v>
      </c>
      <c r="AW26" s="60">
        <f>COUNTIFS($M$2:$M$107,AI26,$E$2:$E$107,1)</f>
        <v>2</v>
      </c>
      <c r="AX26" s="60">
        <f>COUNTIFS($L$2:$L$107,AI26,$E$2:$E$107,1)</f>
        <v>2</v>
      </c>
      <c r="AY26" s="60">
        <f>SUMIFS($T$2:$T$107, $M$2:$M$107, AI26,$E$2:$E$107, 1)</f>
        <v>6</v>
      </c>
      <c r="AZ26" s="60">
        <f>SUMIFS($S$2:$S$107, $L$2:$L$107, AI26,$E$2:$E$107, 1)</f>
        <v>2</v>
      </c>
      <c r="BA26" s="60">
        <f>SUMIFS($S$2:$S$107, $M$2:$M$107, AI26,$E$2:$E$107, 1)</f>
        <v>6</v>
      </c>
      <c r="BB26" s="60">
        <f>SUMIFS($T$2:$T$107, $L$2:$L$107, AI26,$E$2:$E$107, 1)</f>
        <v>3</v>
      </c>
      <c r="BC26" s="60">
        <f t="shared" si="24"/>
        <v>0</v>
      </c>
      <c r="BD26" s="60">
        <f t="shared" si="24"/>
        <v>-1</v>
      </c>
      <c r="BE26" s="60">
        <f t="shared" si="25"/>
        <v>8</v>
      </c>
      <c r="BF26" s="60">
        <f t="shared" si="26"/>
        <v>9</v>
      </c>
      <c r="BG26" s="60">
        <f t="shared" si="27"/>
        <v>-1</v>
      </c>
      <c r="BH26" s="60">
        <f t="shared" si="28"/>
        <v>3</v>
      </c>
      <c r="BI26" s="60">
        <f t="shared" si="28"/>
        <v>1</v>
      </c>
      <c r="BJ26" s="60">
        <f t="shared" si="29"/>
        <v>3</v>
      </c>
      <c r="BK26" s="60">
        <f t="shared" si="29"/>
        <v>1.5</v>
      </c>
      <c r="BL26" s="60">
        <f t="shared" si="11"/>
        <v>2</v>
      </c>
      <c r="BM26" s="60">
        <f t="shared" si="12"/>
        <v>2.25</v>
      </c>
      <c r="BN26" s="68"/>
      <c r="BO26" s="50" t="str">
        <f t="shared" si="13"/>
        <v>TBL</v>
      </c>
      <c r="BP26" s="58">
        <f t="shared" si="14"/>
        <v>4</v>
      </c>
      <c r="BQ26" s="58">
        <f t="shared" si="14"/>
        <v>2</v>
      </c>
      <c r="BR26" s="58">
        <f t="shared" si="14"/>
        <v>2</v>
      </c>
      <c r="BS26" s="58">
        <f t="shared" si="14"/>
        <v>1</v>
      </c>
      <c r="BT26" s="58">
        <f t="shared" si="14"/>
        <v>3</v>
      </c>
      <c r="BU26" s="58">
        <f t="shared" si="14"/>
        <v>1</v>
      </c>
      <c r="BV26" s="58">
        <f t="shared" si="14"/>
        <v>1</v>
      </c>
      <c r="BW26" s="58">
        <f t="shared" si="14"/>
        <v>0</v>
      </c>
      <c r="BX26" s="58">
        <f t="shared" si="14"/>
        <v>1</v>
      </c>
      <c r="BY26" s="58">
        <f>SUMIFS($T$2:$T$107,$M$2:$M$107,AI26,$E$2:$E$107,1)+SUMIFS($T$2:$T$107,$M$2:$M$107,AI26,$E$2:$E$107,2)+SUMIFS($T$2:$T$107,$M$2:$M$107,AI26,$E$2:$E$107,3)+SUMIFS($T$2:$T$107,$M$2:$M$107,AI26,$E$2:$E$107,4)</f>
        <v>6</v>
      </c>
      <c r="BZ26" s="58">
        <f>SUMIFS($S$2:$S$107,$L$2:$L$107,AI26,$E$2:$E$107,1) + SUMIFS($S$2:$S$107,$L$2:$L$107,AI26,$E$2:$E$107,2)+SUMIFS($S$2:$S$107,$L$2:$L$107,AI26,$E$2:$E$107,3)+SUMIFS($S$2:$S$107,$L$2:$L$107,AI26,$E$2:$E$107,4)</f>
        <v>2</v>
      </c>
      <c r="CA26" s="58">
        <f>SUMIFS($S$2:$S$107,$M$2:$M$107,AI26,$E$2:$E$107,1)+SUMIFS($S$2:$S$107,$M$2:$M$107,AI26,$E$2:$E$107,2)+SUMIFS($S$2:$S$107,$M$2:$M$107,AI26,$E$2:$E$107,3)+SUMIFS($S$2:$S$107,$M$2:$M$107,AI26,$E$2:$E$107,4)</f>
        <v>6</v>
      </c>
      <c r="CB26" s="58">
        <f>SUMIFS($T$2:$T$107,$L$2:$L$107,AI26,$E$2:$E$107,1)+(SUMIFS($T$2:$T$107,$L$2:$L$107,AI26,$E$2:$E$107,2)+SUMIFS($T$2:$T$107,$L$2:$L$107,AI26,$E$2:$E$107,3)+SUMIFS($T$2:$T$107,$L$2:$L$107,AI26,$E$2:$E$107,4))</f>
        <v>3</v>
      </c>
      <c r="CC26" s="58">
        <f t="shared" si="15"/>
        <v>0</v>
      </c>
      <c r="CD26" s="58">
        <f t="shared" si="15"/>
        <v>-1</v>
      </c>
      <c r="CE26" s="58">
        <f t="shared" si="16"/>
        <v>8</v>
      </c>
      <c r="CF26" s="58">
        <f t="shared" si="17"/>
        <v>9</v>
      </c>
      <c r="CG26" s="58">
        <f t="shared" si="18"/>
        <v>-1</v>
      </c>
      <c r="CH26" s="59">
        <f t="shared" si="19"/>
        <v>3</v>
      </c>
      <c r="CI26" s="59">
        <f t="shared" si="19"/>
        <v>1</v>
      </c>
      <c r="CJ26" s="59">
        <f t="shared" si="20"/>
        <v>3</v>
      </c>
      <c r="CK26" s="59">
        <f t="shared" si="20"/>
        <v>1.5</v>
      </c>
      <c r="CL26" s="59">
        <f t="shared" si="21"/>
        <v>2</v>
      </c>
      <c r="CM26" s="59">
        <f t="shared" si="22"/>
        <v>2.25</v>
      </c>
    </row>
    <row r="27" spans="1:91" x14ac:dyDescent="0.25">
      <c r="A27" s="60" t="str">
        <f t="shared" ref="A27:A29" si="30">TEXT($B27,"dddd")</f>
        <v>Saturday</v>
      </c>
      <c r="B27" s="62">
        <v>46137</v>
      </c>
      <c r="C27" s="63">
        <v>0.77083333333333337</v>
      </c>
      <c r="D27" s="62" t="s">
        <v>38</v>
      </c>
      <c r="E27" s="65">
        <v>1</v>
      </c>
      <c r="F27" s="66" t="s">
        <v>39</v>
      </c>
      <c r="G27" s="65">
        <v>4</v>
      </c>
      <c r="H27" s="98" t="s">
        <v>46</v>
      </c>
      <c r="I27" s="99" t="s">
        <v>157</v>
      </c>
      <c r="J27" s="65">
        <v>2</v>
      </c>
      <c r="K27" s="65">
        <v>1</v>
      </c>
      <c r="L27" s="29" t="s">
        <v>46</v>
      </c>
      <c r="M27" s="30" t="s">
        <v>157</v>
      </c>
      <c r="N27" s="66" t="str">
        <f t="shared" ref="N27:N29" si="31">IF(OR(ISBLANK(O27), ISBLANK($P27)), "", IF($O27&gt;$P27, $L27,$M27))</f>
        <v>MIN</v>
      </c>
      <c r="O27" s="66">
        <v>2</v>
      </c>
      <c r="P27" s="66">
        <v>3</v>
      </c>
      <c r="Q27" s="66" t="s">
        <v>155</v>
      </c>
      <c r="R27" s="62">
        <v>46137</v>
      </c>
      <c r="S27" s="66"/>
      <c r="T27" s="66"/>
      <c r="U27" s="66"/>
      <c r="V27" s="66" t="str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/>
      </c>
      <c r="W27" s="66" t="str">
        <f t="shared" si="2"/>
        <v/>
      </c>
      <c r="X27" s="79" t="str">
        <f>IF(ISBLANK(Table2[[#This Row],[OTROUNDNUM]]), "", Table2[[#This Row],[PAWAYSCORE]]-Table2[[#This Row],[AAWAYSCORE]])</f>
        <v/>
      </c>
      <c r="Y27" s="79" t="str">
        <f>IF(ISBLANK(Table2[[#This Row],[OTROUNDNUM]]), "", Table2[[#This Row],[PHOMESCORE]]-Table2[[#This Row],[AHOMESCORE]])</f>
        <v/>
      </c>
      <c r="Z27" s="79">
        <f>IF(ISBLANK(Table2[[#This Row],[GAMENUM]]), " ", IF((Table2[[#This Row],[TOPSEEDWINS]]+Table2[[#This Row],[LOWSEEDWINS]]) &lt;&gt; Table2[[#This Row],[GAMENUM]], 0, 1))</f>
        <v>0</v>
      </c>
      <c r="AA27" s="60"/>
      <c r="AB27" s="68"/>
      <c r="AC27" s="14"/>
      <c r="AD27" s="14"/>
      <c r="AE27" s="19"/>
      <c r="AF27" s="14"/>
      <c r="AG27" s="14"/>
      <c r="AH27" s="45"/>
      <c r="AI27" s="47" t="s">
        <v>158</v>
      </c>
      <c r="AJ27" s="60">
        <f>COUNTIFS($L$2:$L$107, AI27, $E$2:$E$107, 1) + COUNTIFS($M$2:$M$107, AI27, $E$2:$E$107, 1)</f>
        <v>4</v>
      </c>
      <c r="AK27" s="60">
        <f>COUNTIFS($L$2:$L$107, AI27, $E$2:$E$107, 2) + COUNTIFS($M$2:$M$107, AI27, $E$2:$E$107, 2)</f>
        <v>0</v>
      </c>
      <c r="AL27" s="60">
        <f>COUNTIFS($L$2:$L$107, AI27, $E$2:$E$107, 3) + COUNTIFS($M$2:$M$107, AI27, $E$2:$E$107, 3)</f>
        <v>0</v>
      </c>
      <c r="AM27" s="60">
        <f>COUNTIFS($L$2:$L$107, AI27, $E$2:$E$107, 4) + COUNTIFS($M$2:$M$107, AI27, $E$2:$E$107, 4)</f>
        <v>0</v>
      </c>
      <c r="AN27" s="60">
        <f t="shared" si="23"/>
        <v>4</v>
      </c>
      <c r="AO27" s="60">
        <f>COUNTIF($M$2:$M$107, AI27)</f>
        <v>2</v>
      </c>
      <c r="AP27" s="60">
        <f>COUNTIF($L$2:$L$107, AI27)</f>
        <v>2</v>
      </c>
      <c r="AQ27" s="60">
        <f t="shared" si="9"/>
        <v>2</v>
      </c>
      <c r="AR27" s="60">
        <f t="shared" si="10"/>
        <v>2</v>
      </c>
      <c r="AS27" s="60">
        <f>SUMPRODUCT(($M$2:$M$107=AI27)*($T$2:$T$107&gt;$S$2:$S$107))</f>
        <v>1</v>
      </c>
      <c r="AT27" s="60">
        <f>SUMPRODUCT(($M$2:$M$107=AI27)*($T$2:$T$107&lt;$S$2:$S$107))</f>
        <v>0</v>
      </c>
      <c r="AU27" s="60">
        <f>SUMPRODUCT(($L$2:$L$107=AI27)*($T$2:$T$107&lt;$S$2:$S$107))</f>
        <v>1</v>
      </c>
      <c r="AV27" s="60">
        <f>SUMPRODUCT(($L$2:$L$107=AI27)*($T$2:$T$107&gt;$S$2:$S$107))</f>
        <v>1</v>
      </c>
      <c r="AW27" s="60">
        <f>COUNTIFS($M$2:$M$107,AI27,$E$2:$E$107,1)</f>
        <v>2</v>
      </c>
      <c r="AX27" s="60">
        <f>COUNTIFS($L$2:$L$107,AI27,$E$2:$E$107,1)</f>
        <v>2</v>
      </c>
      <c r="AY27" s="60">
        <f>SUMIFS($T$2:$T$107, $M$2:$M$107, AI27,$E$2:$E$107, 1)</f>
        <v>3</v>
      </c>
      <c r="AZ27" s="60">
        <f>SUMIFS($S$2:$S$107, $L$2:$L$107, AI27,$E$2:$E$107, 1)</f>
        <v>6</v>
      </c>
      <c r="BA27" s="60">
        <f>SUMIFS($S$2:$S$107, $M$2:$M$107, AI27,$E$2:$E$107, 1)</f>
        <v>2</v>
      </c>
      <c r="BB27" s="60">
        <f>SUMIFS($T$2:$T$107, $L$2:$L$107, AI27,$E$2:$E$107, 1)</f>
        <v>6</v>
      </c>
      <c r="BC27" s="60">
        <f t="shared" si="24"/>
        <v>1</v>
      </c>
      <c r="BD27" s="60">
        <f t="shared" si="24"/>
        <v>0</v>
      </c>
      <c r="BE27" s="60">
        <f t="shared" si="25"/>
        <v>9</v>
      </c>
      <c r="BF27" s="60">
        <f t="shared" si="26"/>
        <v>8</v>
      </c>
      <c r="BG27" s="60">
        <f t="shared" si="27"/>
        <v>1</v>
      </c>
      <c r="BH27" s="60">
        <f t="shared" si="28"/>
        <v>1.5</v>
      </c>
      <c r="BI27" s="60">
        <f t="shared" si="28"/>
        <v>3</v>
      </c>
      <c r="BJ27" s="60">
        <f t="shared" si="29"/>
        <v>1</v>
      </c>
      <c r="BK27" s="60">
        <f t="shared" si="29"/>
        <v>3</v>
      </c>
      <c r="BL27" s="60">
        <f t="shared" si="11"/>
        <v>2.25</v>
      </c>
      <c r="BM27" s="60">
        <f t="shared" si="12"/>
        <v>2</v>
      </c>
      <c r="BN27" s="68"/>
      <c r="BO27" s="47" t="str">
        <f t="shared" si="13"/>
        <v>MTL</v>
      </c>
      <c r="BP27" s="58">
        <f t="shared" si="14"/>
        <v>4</v>
      </c>
      <c r="BQ27" s="58">
        <f t="shared" si="14"/>
        <v>2</v>
      </c>
      <c r="BR27" s="58">
        <f t="shared" si="14"/>
        <v>2</v>
      </c>
      <c r="BS27" s="58">
        <f t="shared" si="14"/>
        <v>2</v>
      </c>
      <c r="BT27" s="58">
        <f t="shared" si="14"/>
        <v>2</v>
      </c>
      <c r="BU27" s="58">
        <f t="shared" si="14"/>
        <v>1</v>
      </c>
      <c r="BV27" s="58">
        <f t="shared" si="14"/>
        <v>0</v>
      </c>
      <c r="BW27" s="58">
        <f t="shared" si="14"/>
        <v>1</v>
      </c>
      <c r="BX27" s="58">
        <f t="shared" si="14"/>
        <v>1</v>
      </c>
      <c r="BY27" s="58">
        <f>SUMIFS($T$2:$T$107,$M$2:$M$107,AI27,$E$2:$E$107,1)+SUMIFS($T$2:$T$107,$M$2:$M$107,AI27,$E$2:$E$107,2)+SUMIFS($T$2:$T$107,$M$2:$M$107,AI27,$E$2:$E$107,3)+SUMIFS($T$2:$T$107,$M$2:$M$107,AI27,$E$2:$E$107,4)</f>
        <v>3</v>
      </c>
      <c r="BZ27" s="58">
        <f>SUMIFS($S$2:$S$107,$L$2:$L$107,AI27,$E$2:$E$107,1) + SUMIFS($S$2:$S$107,$L$2:$L$107,AI27,$E$2:$E$107,2)+SUMIFS($S$2:$S$107,$L$2:$L$107,AI27,$E$2:$E$107,3)+SUMIFS($S$2:$S$107,$L$2:$L$107,AI27,$E$2:$E$107,4)</f>
        <v>6</v>
      </c>
      <c r="CA27" s="58">
        <f>SUMIFS($S$2:$S$107,$M$2:$M$107,AI27,$E$2:$E$107,1)+SUMIFS($S$2:$S$107,$M$2:$M$107,AI27,$E$2:$E$107,2)+SUMIFS($S$2:$S$107,$M$2:$M$107,AI27,$E$2:$E$107,3)+SUMIFS($S$2:$S$107,$M$2:$M$107,AI27,$E$2:$E$107,4)</f>
        <v>2</v>
      </c>
      <c r="CB27" s="58">
        <f>SUMIFS($T$2:$T$107,$L$2:$L$107,AI27,$E$2:$E$107,1)+(SUMIFS($T$2:$T$107,$L$2:$L$107,AI27,$E$2:$E$107,2)+SUMIFS($T$2:$T$107,$L$2:$L$107,AI27,$E$2:$E$107,3)+SUMIFS($T$2:$T$107,$L$2:$L$107,AI27,$E$2:$E$107,4))</f>
        <v>6</v>
      </c>
      <c r="CC27" s="58">
        <f t="shared" si="15"/>
        <v>1</v>
      </c>
      <c r="CD27" s="58">
        <f t="shared" si="15"/>
        <v>0</v>
      </c>
      <c r="CE27" s="58">
        <f t="shared" si="16"/>
        <v>9</v>
      </c>
      <c r="CF27" s="58">
        <f t="shared" si="17"/>
        <v>8</v>
      </c>
      <c r="CG27" s="58">
        <f t="shared" si="18"/>
        <v>1</v>
      </c>
      <c r="CH27" s="59">
        <f t="shared" si="19"/>
        <v>1.5</v>
      </c>
      <c r="CI27" s="59">
        <f t="shared" si="19"/>
        <v>3</v>
      </c>
      <c r="CJ27" s="59">
        <f t="shared" si="20"/>
        <v>1</v>
      </c>
      <c r="CK27" s="59">
        <f t="shared" si="20"/>
        <v>3</v>
      </c>
      <c r="CL27" s="59">
        <f t="shared" si="21"/>
        <v>2.25</v>
      </c>
      <c r="CM27" s="59">
        <f t="shared" si="22"/>
        <v>2</v>
      </c>
    </row>
    <row r="28" spans="1:91" x14ac:dyDescent="0.25">
      <c r="A28" s="60" t="str">
        <f t="shared" si="30"/>
        <v>Saturday</v>
      </c>
      <c r="B28" s="62">
        <v>46137</v>
      </c>
      <c r="C28" s="63">
        <v>0.875</v>
      </c>
      <c r="D28" s="62" t="s">
        <v>16</v>
      </c>
      <c r="E28" s="65">
        <v>1</v>
      </c>
      <c r="F28" s="66" t="s">
        <v>17</v>
      </c>
      <c r="G28" s="65">
        <v>4</v>
      </c>
      <c r="H28" s="97" t="s">
        <v>170</v>
      </c>
      <c r="I28" s="96" t="s">
        <v>171</v>
      </c>
      <c r="J28" s="65">
        <v>0</v>
      </c>
      <c r="K28" s="65">
        <v>3</v>
      </c>
      <c r="L28" s="34" t="s">
        <v>170</v>
      </c>
      <c r="M28" s="35" t="s">
        <v>171</v>
      </c>
      <c r="N28" s="66" t="str">
        <f t="shared" si="31"/>
        <v>PIT</v>
      </c>
      <c r="O28" s="66">
        <v>3</v>
      </c>
      <c r="P28" s="66">
        <v>2</v>
      </c>
      <c r="Q28" s="66" t="s">
        <v>154</v>
      </c>
      <c r="R28" s="62">
        <v>46137</v>
      </c>
      <c r="S28" s="66"/>
      <c r="T28" s="66"/>
      <c r="U28" s="66"/>
      <c r="V28" s="66" t="str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/>
      </c>
      <c r="W28" s="66" t="str">
        <f t="shared" si="2"/>
        <v/>
      </c>
      <c r="X28" s="79" t="str">
        <f>IF(ISBLANK(Table2[[#This Row],[OTROUNDNUM]]), "", Table2[[#This Row],[PAWAYSCORE]]-Table2[[#This Row],[AAWAYSCORE]])</f>
        <v/>
      </c>
      <c r="Y28" s="79" t="str">
        <f>IF(ISBLANK(Table2[[#This Row],[OTROUNDNUM]]), "", Table2[[#This Row],[PHOMESCORE]]-Table2[[#This Row],[AHOMESCORE]])</f>
        <v/>
      </c>
      <c r="Z28" s="79">
        <f>IF(ISBLANK(Table2[[#This Row],[GAMENUM]]), " ", IF((Table2[[#This Row],[TOPSEEDWINS]]+Table2[[#This Row],[LOWSEEDWINS]]) &lt;&gt; Table2[[#This Row],[GAMENUM]], 0, 1))</f>
        <v>0</v>
      </c>
      <c r="AA28" s="60"/>
      <c r="AB28" s="68"/>
      <c r="AC28" s="14"/>
      <c r="AD28" s="14"/>
      <c r="AE28" s="19"/>
      <c r="AF28" s="14"/>
      <c r="AG28" s="14"/>
      <c r="AH28" s="45"/>
      <c r="AI28" s="119" t="s">
        <v>172</v>
      </c>
      <c r="AJ28" s="60">
        <f>COUNTIFS($L$2:$L$107, AI28, $E$2:$E$107, 1) + COUNTIFS($M$2:$M$107, AI28, $E$2:$E$107, 1)</f>
        <v>4</v>
      </c>
      <c r="AK28" s="60">
        <f>COUNTIFS($L$2:$L$107, AI28, $E$2:$E$107, 2) + COUNTIFS($M$2:$M$107, AI28, $E$2:$E$107, 2)</f>
        <v>0</v>
      </c>
      <c r="AL28" s="60">
        <f>COUNTIFS($L$2:$L$107, AI28, $E$2:$E$107, 3) + COUNTIFS($M$2:$M$107, AI28, $E$2:$E$107, 3)</f>
        <v>0</v>
      </c>
      <c r="AM28" s="60">
        <f>COUNTIFS($L$2:$L$107, AI28, $E$2:$E$107, 4) + COUNTIFS($M$2:$M$107, AI28, $E$2:$E$107, 4)</f>
        <v>0</v>
      </c>
      <c r="AN28" s="60">
        <f t="shared" si="23"/>
        <v>4</v>
      </c>
      <c r="AO28" s="60">
        <f>COUNTIF($M$2:$M$107, AI28)</f>
        <v>2</v>
      </c>
      <c r="AP28" s="60">
        <f>COUNTIF($L$2:$L$107, AI28)</f>
        <v>2</v>
      </c>
      <c r="AQ28" s="60">
        <f t="shared" si="9"/>
        <v>2</v>
      </c>
      <c r="AR28" s="60">
        <f t="shared" si="10"/>
        <v>2</v>
      </c>
      <c r="AS28" s="60">
        <f>SUMPRODUCT(($M$2:$M$107=AI28)*($T$2:$T$107&gt;$S$2:$S$107))</f>
        <v>1</v>
      </c>
      <c r="AT28" s="60">
        <f>SUMPRODUCT(($M$2:$M$107=AI28)*($T$2:$T$107&lt;$S$2:$S$107))</f>
        <v>1</v>
      </c>
      <c r="AU28" s="60">
        <f>SUMPRODUCT(($L$2:$L$107=AI28)*($T$2:$T$107&lt;$S$2:$S$107))</f>
        <v>1</v>
      </c>
      <c r="AV28" s="60">
        <f>SUMPRODUCT(($L$2:$L$107=AI28)*($T$2:$T$107&gt;$S$2:$S$107))</f>
        <v>0</v>
      </c>
      <c r="AW28" s="60">
        <f>COUNTIFS($M$2:$M$107,AI28,$E$2:$E$107,1)</f>
        <v>2</v>
      </c>
      <c r="AX28" s="60">
        <f>COUNTIFS($L$2:$L$107,AI28,$E$2:$E$107,1)</f>
        <v>2</v>
      </c>
      <c r="AY28" s="60">
        <f>SUMIFS($T$2:$T$107, $M$2:$M$107, AI28,$E$2:$E$107, 1)</f>
        <v>6</v>
      </c>
      <c r="AZ28" s="60">
        <f>SUMIFS($S$2:$S$107, $L$2:$L$107, AI28,$E$2:$E$107, 1)</f>
        <v>3</v>
      </c>
      <c r="BA28" s="60">
        <f>SUMIFS($S$2:$S$107, $M$2:$M$107, AI28,$E$2:$E$107, 1)</f>
        <v>7</v>
      </c>
      <c r="BB28" s="60">
        <f>SUMIFS($T$2:$T$107, $L$2:$L$107, AI28,$E$2:$E$107, 1)</f>
        <v>1</v>
      </c>
      <c r="BC28" s="60">
        <f t="shared" si="24"/>
        <v>-1</v>
      </c>
      <c r="BD28" s="60">
        <f t="shared" si="24"/>
        <v>2</v>
      </c>
      <c r="BE28" s="60">
        <f t="shared" si="25"/>
        <v>9</v>
      </c>
      <c r="BF28" s="60">
        <f t="shared" si="26"/>
        <v>8</v>
      </c>
      <c r="BG28" s="60">
        <f t="shared" si="27"/>
        <v>1</v>
      </c>
      <c r="BH28" s="60">
        <f t="shared" si="28"/>
        <v>3</v>
      </c>
      <c r="BI28" s="60">
        <f t="shared" si="28"/>
        <v>1.5</v>
      </c>
      <c r="BJ28" s="60">
        <f t="shared" si="29"/>
        <v>3.5</v>
      </c>
      <c r="BK28" s="60">
        <f t="shared" si="29"/>
        <v>0.5</v>
      </c>
      <c r="BL28" s="60">
        <f t="shared" si="11"/>
        <v>2.25</v>
      </c>
      <c r="BM28" s="60">
        <f t="shared" si="12"/>
        <v>2</v>
      </c>
      <c r="BN28" s="68"/>
      <c r="BO28" s="119" t="str">
        <f t="shared" si="13"/>
        <v>BUF</v>
      </c>
      <c r="BP28" s="58">
        <f t="shared" si="14"/>
        <v>4</v>
      </c>
      <c r="BQ28" s="58">
        <f t="shared" si="14"/>
        <v>2</v>
      </c>
      <c r="BR28" s="58">
        <f t="shared" si="14"/>
        <v>2</v>
      </c>
      <c r="BS28" s="58">
        <f t="shared" si="14"/>
        <v>2</v>
      </c>
      <c r="BT28" s="58">
        <f t="shared" si="14"/>
        <v>2</v>
      </c>
      <c r="BU28" s="58">
        <f t="shared" si="14"/>
        <v>1</v>
      </c>
      <c r="BV28" s="58">
        <f t="shared" si="14"/>
        <v>1</v>
      </c>
      <c r="BW28" s="58">
        <f t="shared" si="14"/>
        <v>1</v>
      </c>
      <c r="BX28" s="58">
        <f t="shared" si="14"/>
        <v>0</v>
      </c>
      <c r="BY28" s="58">
        <f>SUMIFS($T$2:$T$107,$M$2:$M$107,AI28,$E$2:$E$107,1)+SUMIFS($T$2:$T$107,$M$2:$M$107,AI28,$E$2:$E$107,2)+SUMIFS($T$2:$T$107,$M$2:$M$107,AI28,$E$2:$E$107,3)+SUMIFS($T$2:$T$107,$M$2:$M$107,AI28,$E$2:$E$107,4)</f>
        <v>6</v>
      </c>
      <c r="BZ28" s="58">
        <f>SUMIFS($S$2:$S$107,$L$2:$L$107,AI28,$E$2:$E$107,1) + SUMIFS($S$2:$S$107,$L$2:$L$107,AI28,$E$2:$E$107,2)+SUMIFS($S$2:$S$107,$L$2:$L$107,AI28,$E$2:$E$107,3)+SUMIFS($S$2:$S$107,$L$2:$L$107,AI28,$E$2:$E$107,4)</f>
        <v>3</v>
      </c>
      <c r="CA28" s="58">
        <f>SUMIFS($S$2:$S$107,$M$2:$M$107,AI28,$E$2:$E$107,1)+SUMIFS($S$2:$S$107,$M$2:$M$107,AI28,$E$2:$E$107,2)+SUMIFS($S$2:$S$107,$M$2:$M$107,AI28,$E$2:$E$107,3)+SUMIFS($S$2:$S$107,$M$2:$M$107,AI28,$E$2:$E$107,4)</f>
        <v>7</v>
      </c>
      <c r="CB28" s="58">
        <f>SUMIFS($T$2:$T$107,$L$2:$L$107,AI28,$E$2:$E$107,1)+(SUMIFS($T$2:$T$107,$L$2:$L$107,AI28,$E$2:$E$107,2)+SUMIFS($T$2:$T$107,$L$2:$L$107,AI28,$E$2:$E$107,3)+SUMIFS($T$2:$T$107,$L$2:$L$107,AI28,$E$2:$E$107,4))</f>
        <v>1</v>
      </c>
      <c r="CC28" s="58">
        <f t="shared" si="15"/>
        <v>-1</v>
      </c>
      <c r="CD28" s="58">
        <f t="shared" si="15"/>
        <v>2</v>
      </c>
      <c r="CE28" s="58">
        <f t="shared" si="16"/>
        <v>9</v>
      </c>
      <c r="CF28" s="58">
        <f t="shared" si="17"/>
        <v>8</v>
      </c>
      <c r="CG28" s="58">
        <f t="shared" si="18"/>
        <v>1</v>
      </c>
      <c r="CH28" s="59">
        <f t="shared" si="19"/>
        <v>3</v>
      </c>
      <c r="CI28" s="59">
        <f t="shared" si="19"/>
        <v>1.5</v>
      </c>
      <c r="CJ28" s="59">
        <f t="shared" si="20"/>
        <v>3.5</v>
      </c>
      <c r="CK28" s="59">
        <f t="shared" si="20"/>
        <v>0.5</v>
      </c>
      <c r="CL28" s="59">
        <f t="shared" si="21"/>
        <v>2.25</v>
      </c>
      <c r="CM28" s="59">
        <f t="shared" si="22"/>
        <v>2</v>
      </c>
    </row>
    <row r="29" spans="1:91" x14ac:dyDescent="0.25">
      <c r="A29" s="60" t="str">
        <f t="shared" si="30"/>
        <v>Sunday</v>
      </c>
      <c r="B29" s="62">
        <v>46138</v>
      </c>
      <c r="C29" s="63">
        <v>0.625</v>
      </c>
      <c r="D29" s="62" t="s">
        <v>16</v>
      </c>
      <c r="E29" s="65">
        <v>1</v>
      </c>
      <c r="F29" s="66" t="s">
        <v>33</v>
      </c>
      <c r="G29" s="65">
        <v>4</v>
      </c>
      <c r="H29" s="82" t="s">
        <v>172</v>
      </c>
      <c r="I29" s="84" t="s">
        <v>173</v>
      </c>
      <c r="J29" s="65">
        <v>2</v>
      </c>
      <c r="K29" s="65">
        <v>1</v>
      </c>
      <c r="L29" s="76" t="s">
        <v>172</v>
      </c>
      <c r="M29" s="78" t="s">
        <v>173</v>
      </c>
      <c r="N29" s="66" t="str">
        <f t="shared" si="31"/>
        <v/>
      </c>
      <c r="O29" s="66"/>
      <c r="P29" s="66"/>
      <c r="Q29" s="66"/>
      <c r="R29" s="62"/>
      <c r="S29" s="66"/>
      <c r="T29" s="66"/>
      <c r="U29" s="66"/>
      <c r="V29" s="66" t="str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/>
      </c>
      <c r="W29" s="66" t="str">
        <f t="shared" si="2"/>
        <v/>
      </c>
      <c r="X29" s="79" t="str">
        <f>IF(ISBLANK(Table2[[#This Row],[OTROUNDNUM]]), "", Table2[[#This Row],[PAWAYSCORE]]-Table2[[#This Row],[AAWAYSCORE]])</f>
        <v/>
      </c>
      <c r="Y29" s="79" t="str">
        <f>IF(ISBLANK(Table2[[#This Row],[OTROUNDNUM]]), "", Table2[[#This Row],[PHOMESCORE]]-Table2[[#This Row],[AHOMESCORE]])</f>
        <v/>
      </c>
      <c r="Z29" s="79">
        <f>IF(ISBLANK(Table2[[#This Row],[GAMENUM]]), " ", IF((Table2[[#This Row],[TOPSEEDWINS]]+Table2[[#This Row],[LOWSEEDWINS]]) &lt;&gt; Table2[[#This Row],[GAMENUM]], 0, 1))</f>
        <v>0</v>
      </c>
      <c r="AA29" s="60"/>
      <c r="AB29" s="68"/>
      <c r="AC29" s="14"/>
      <c r="AD29" s="14"/>
      <c r="AE29" s="19"/>
      <c r="AF29" s="14"/>
      <c r="AG29" s="14"/>
      <c r="AH29" s="45"/>
      <c r="AI29" s="120" t="s">
        <v>173</v>
      </c>
      <c r="AJ29" s="60">
        <f>COUNTIFS($L$2:$L$107, AI29, $E$2:$E$107, 1) + COUNTIFS($M$2:$M$107, AI29, $E$2:$E$107, 1)</f>
        <v>4</v>
      </c>
      <c r="AK29" s="60">
        <f>COUNTIFS($L$2:$L$107, AI29, $E$2:$E$107, 2) + COUNTIFS($M$2:$M$107, AI29, $E$2:$E$107, 2)</f>
        <v>0</v>
      </c>
      <c r="AL29" s="60">
        <f>COUNTIFS($L$2:$L$107, AI29, $E$2:$E$107, 3) + COUNTIFS($M$2:$M$107, AI29, $E$2:$E$107, 3)</f>
        <v>0</v>
      </c>
      <c r="AM29" s="60">
        <f>COUNTIFS($L$2:$L$107, AI29, $E$2:$E$107, 4) + COUNTIFS($M$2:$M$107, AI29, $E$2:$E$107, 4)</f>
        <v>0</v>
      </c>
      <c r="AN29" s="60">
        <f t="shared" si="23"/>
        <v>4</v>
      </c>
      <c r="AO29" s="60">
        <f>COUNTIF($M$2:$M$107, AI29)</f>
        <v>2</v>
      </c>
      <c r="AP29" s="60">
        <f>COUNTIF($L$2:$L$107, AI29)</f>
        <v>2</v>
      </c>
      <c r="AQ29" s="60">
        <f t="shared" si="9"/>
        <v>1</v>
      </c>
      <c r="AR29" s="60">
        <f t="shared" si="10"/>
        <v>3</v>
      </c>
      <c r="AS29" s="60">
        <f>SUMPRODUCT(($M$2:$M$107=AI29)*($T$2:$T$107&gt;$S$2:$S$107))</f>
        <v>0</v>
      </c>
      <c r="AT29" s="60">
        <f>SUMPRODUCT(($M$2:$M$107=AI29)*($T$2:$T$107&lt;$S$2:$S$107))</f>
        <v>1</v>
      </c>
      <c r="AU29" s="60">
        <f>SUMPRODUCT(($L$2:$L$107=AI29)*($T$2:$T$107&lt;$S$2:$S$107))</f>
        <v>1</v>
      </c>
      <c r="AV29" s="60">
        <f>SUMPRODUCT(($L$2:$L$107=AI29)*($T$2:$T$107&gt;$S$2:$S$107))</f>
        <v>1</v>
      </c>
      <c r="AW29" s="60">
        <f>COUNTIFS($M$2:$M$107,AI29,$E$2:$E$107,1)</f>
        <v>2</v>
      </c>
      <c r="AX29" s="60">
        <f>COUNTIFS($L$2:$L$107,AI29,$E$2:$E$107,1)</f>
        <v>2</v>
      </c>
      <c r="AY29" s="60">
        <f>SUMIFS($T$2:$T$107, $M$2:$M$107, AI29,$E$2:$E$107, 1)</f>
        <v>1</v>
      </c>
      <c r="AZ29" s="60">
        <f>SUMIFS($S$2:$S$107, $L$2:$L$107, AI29,$E$2:$E$107, 1)</f>
        <v>7</v>
      </c>
      <c r="BA29" s="60">
        <f>SUMIFS($S$2:$S$107, $M$2:$M$107, AI29,$E$2:$E$107, 1)</f>
        <v>3</v>
      </c>
      <c r="BB29" s="60">
        <f>SUMIFS($T$2:$T$107, $L$2:$L$107, AI29,$E$2:$E$107, 1)</f>
        <v>6</v>
      </c>
      <c r="BC29" s="60">
        <f t="shared" si="24"/>
        <v>-2</v>
      </c>
      <c r="BD29" s="60">
        <f t="shared" si="24"/>
        <v>1</v>
      </c>
      <c r="BE29" s="60">
        <f t="shared" si="25"/>
        <v>8</v>
      </c>
      <c r="BF29" s="60">
        <f t="shared" si="26"/>
        <v>9</v>
      </c>
      <c r="BG29" s="60">
        <f t="shared" si="27"/>
        <v>-1</v>
      </c>
      <c r="BH29" s="60">
        <f t="shared" si="28"/>
        <v>0.5</v>
      </c>
      <c r="BI29" s="60">
        <f t="shared" si="28"/>
        <v>3.5</v>
      </c>
      <c r="BJ29" s="60">
        <f t="shared" si="29"/>
        <v>1.5</v>
      </c>
      <c r="BK29" s="60">
        <f t="shared" si="29"/>
        <v>3</v>
      </c>
      <c r="BL29" s="60">
        <f t="shared" si="11"/>
        <v>2</v>
      </c>
      <c r="BM29" s="60">
        <f t="shared" si="12"/>
        <v>2.25</v>
      </c>
      <c r="BN29" s="68"/>
      <c r="BO29" s="120" t="str">
        <f t="shared" si="13"/>
        <v>BOS</v>
      </c>
      <c r="BP29" s="58">
        <f t="shared" si="14"/>
        <v>4</v>
      </c>
      <c r="BQ29" s="58">
        <f t="shared" si="14"/>
        <v>2</v>
      </c>
      <c r="BR29" s="58">
        <f t="shared" si="14"/>
        <v>2</v>
      </c>
      <c r="BS29" s="58">
        <f t="shared" si="14"/>
        <v>1</v>
      </c>
      <c r="BT29" s="58">
        <f t="shared" si="14"/>
        <v>3</v>
      </c>
      <c r="BU29" s="58">
        <f t="shared" si="14"/>
        <v>0</v>
      </c>
      <c r="BV29" s="58">
        <f t="shared" si="14"/>
        <v>1</v>
      </c>
      <c r="BW29" s="58">
        <f t="shared" si="14"/>
        <v>1</v>
      </c>
      <c r="BX29" s="58">
        <f t="shared" si="14"/>
        <v>1</v>
      </c>
      <c r="BY29" s="58">
        <f>SUMIFS($T$2:$T$107,$M$2:$M$107,AI29,$E$2:$E$107,1)+SUMIFS($T$2:$T$107,$M$2:$M$107,AI29,$E$2:$E$107,2)+SUMIFS($T$2:$T$107,$M$2:$M$107,AI29,$E$2:$E$107,3)+SUMIFS($T$2:$T$107,$M$2:$M$107,AI29,$E$2:$E$107,4)</f>
        <v>1</v>
      </c>
      <c r="BZ29" s="58">
        <f>SUMIFS($S$2:$S$107,$L$2:$L$107,AI29,$E$2:$E$107,1) + SUMIFS($S$2:$S$107,$L$2:$L$107,AI29,$E$2:$E$107,2)+SUMIFS($S$2:$S$107,$L$2:$L$107,AI29,$E$2:$E$107,3)+SUMIFS($S$2:$S$107,$L$2:$L$107,AI29,$E$2:$E$107,4)</f>
        <v>7</v>
      </c>
      <c r="CA29" s="58">
        <f>SUMIFS($S$2:$S$107,$M$2:$M$107,AI29,$E$2:$E$107,1)+SUMIFS($S$2:$S$107,$M$2:$M$107,AI29,$E$2:$E$107,2)+SUMIFS($S$2:$S$107,$M$2:$M$107,AI29,$E$2:$E$107,3)+SUMIFS($S$2:$S$107,$M$2:$M$107,AI29,$E$2:$E$107,4)</f>
        <v>3</v>
      </c>
      <c r="CB29" s="58">
        <f>SUMIFS($T$2:$T$107,$L$2:$L$107,AI29,$E$2:$E$107,1)+(SUMIFS($T$2:$T$107,$L$2:$L$107,AI29,$E$2:$E$107,2)+SUMIFS($T$2:$T$107,$L$2:$L$107,AI29,$E$2:$E$107,3)+SUMIFS($T$2:$T$107,$L$2:$L$107,AI29,$E$2:$E$107,4))</f>
        <v>6</v>
      </c>
      <c r="CC29" s="58">
        <f t="shared" si="15"/>
        <v>-2</v>
      </c>
      <c r="CD29" s="58">
        <f t="shared" si="15"/>
        <v>1</v>
      </c>
      <c r="CE29" s="58">
        <f t="shared" si="16"/>
        <v>8</v>
      </c>
      <c r="CF29" s="58">
        <f t="shared" si="17"/>
        <v>9</v>
      </c>
      <c r="CG29" s="58">
        <f t="shared" si="18"/>
        <v>-1</v>
      </c>
      <c r="CH29" s="59">
        <f t="shared" si="19"/>
        <v>0.5</v>
      </c>
      <c r="CI29" s="59">
        <f t="shared" si="19"/>
        <v>3.5</v>
      </c>
      <c r="CJ29" s="59">
        <f t="shared" si="20"/>
        <v>1.5</v>
      </c>
      <c r="CK29" s="59">
        <f t="shared" si="20"/>
        <v>3</v>
      </c>
      <c r="CL29" s="59">
        <f t="shared" si="21"/>
        <v>2</v>
      </c>
      <c r="CM29" s="59">
        <f t="shared" si="22"/>
        <v>2.25</v>
      </c>
    </row>
    <row r="30" spans="1:91" x14ac:dyDescent="0.25">
      <c r="A30" s="60" t="str">
        <f t="shared" ref="A30:A38" si="32">TEXT($B30,"dddd")</f>
        <v>Sunday</v>
      </c>
      <c r="B30" s="62">
        <v>46138</v>
      </c>
      <c r="C30" s="63">
        <v>0.72916666666666663</v>
      </c>
      <c r="D30" s="62" t="s">
        <v>38</v>
      </c>
      <c r="E30" s="65">
        <v>1</v>
      </c>
      <c r="F30" s="66" t="s">
        <v>45</v>
      </c>
      <c r="G30" s="65">
        <v>4</v>
      </c>
      <c r="H30" s="102" t="s">
        <v>40</v>
      </c>
      <c r="I30" s="103" t="s">
        <v>49</v>
      </c>
      <c r="J30" s="65">
        <v>3</v>
      </c>
      <c r="K30" s="65">
        <v>0</v>
      </c>
      <c r="L30" s="75" t="s">
        <v>40</v>
      </c>
      <c r="M30" s="77" t="s">
        <v>49</v>
      </c>
      <c r="N30" s="66" t="str">
        <f t="shared" ref="N30:N38" si="33">IF(OR(ISBLANK(O30), ISBLANK($P30)), "", IF($O30&gt;$P30, $L30,$M30))</f>
        <v/>
      </c>
      <c r="O30" s="66"/>
      <c r="P30" s="66"/>
      <c r="Q30" s="66"/>
      <c r="R30" s="62"/>
      <c r="S30" s="66"/>
      <c r="T30" s="66"/>
      <c r="U30" s="66"/>
      <c r="V30" s="66" t="str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/>
      </c>
      <c r="W30" s="66" t="str">
        <f t="shared" si="2"/>
        <v/>
      </c>
      <c r="X30" s="79" t="str">
        <f>IF(ISBLANK(Table2[[#This Row],[OTROUNDNUM]]), "", Table2[[#This Row],[PAWAYSCORE]]-Table2[[#This Row],[AAWAYSCORE]])</f>
        <v/>
      </c>
      <c r="Y30" s="79" t="str">
        <f>IF(ISBLANK(Table2[[#This Row],[OTROUNDNUM]]), "", Table2[[#This Row],[PHOMESCORE]]-Table2[[#This Row],[AHOMESCORE]])</f>
        <v/>
      </c>
      <c r="Z30" s="79">
        <f>IF(ISBLANK(Table2[[#This Row],[GAMENUM]]), " ", IF((Table2[[#This Row],[TOPSEEDWINS]]+Table2[[#This Row],[LOWSEEDWINS]]) &lt;&gt; Table2[[#This Row],[GAMENUM]], 0, 1))</f>
        <v>0</v>
      </c>
      <c r="AA30" s="60"/>
      <c r="AB30" s="68"/>
      <c r="AC30" s="14"/>
      <c r="AD30" s="14"/>
      <c r="AE30" s="19"/>
      <c r="AF30" s="14"/>
      <c r="AG30" s="14"/>
      <c r="AH30" s="45"/>
      <c r="AI30" s="52" t="s">
        <v>40</v>
      </c>
      <c r="AJ30" s="60">
        <f>COUNTIFS($L$2:$L$107, AI30, $E$2:$E$107, 1) + COUNTIFS($M$2:$M$107, AI30, $E$2:$E$107, 1)</f>
        <v>4</v>
      </c>
      <c r="AK30" s="60">
        <f>COUNTIFS($L$2:$L$107, AI30, $E$2:$E$107, 2) + COUNTIFS($M$2:$M$107, AI30, $E$2:$E$107, 2)</f>
        <v>0</v>
      </c>
      <c r="AL30" s="60">
        <f>COUNTIFS($L$2:$L$107, AI30, $E$2:$E$107, 3) + COUNTIFS($M$2:$M$107, AI30, $E$2:$E$107, 3)</f>
        <v>0</v>
      </c>
      <c r="AM30" s="60">
        <f>COUNTIFS($L$2:$L$107, AI30, $E$2:$E$107, 4) + COUNTIFS($M$2:$M$107, AI30, $E$2:$E$107, 4)</f>
        <v>0</v>
      </c>
      <c r="AN30" s="60">
        <f t="shared" si="23"/>
        <v>4</v>
      </c>
      <c r="AO30" s="60">
        <f>COUNTIF($M$2:$M$107, AI30)</f>
        <v>2</v>
      </c>
      <c r="AP30" s="60">
        <f>COUNTIF($L$2:$L$107, AI30)</f>
        <v>2</v>
      </c>
      <c r="AQ30" s="60">
        <f t="shared" si="9"/>
        <v>3</v>
      </c>
      <c r="AR30" s="60">
        <f t="shared" si="10"/>
        <v>1</v>
      </c>
      <c r="AS30" s="60">
        <f>SUMPRODUCT(($M$2:$M$107=AI30)*($T$2:$T$107&gt;$S$2:$S$107))</f>
        <v>2</v>
      </c>
      <c r="AT30" s="60">
        <f>SUMPRODUCT(($M$2:$M$107=AI30)*($T$2:$T$107&lt;$S$2:$S$107))</f>
        <v>0</v>
      </c>
      <c r="AU30" s="60">
        <f>SUMPRODUCT(($L$2:$L$107=AI30)*($T$2:$T$107&lt;$S$2:$S$107))</f>
        <v>1</v>
      </c>
      <c r="AV30" s="60">
        <f>SUMPRODUCT(($L$2:$L$107=AI30)*($T$2:$T$107&gt;$S$2:$S$107))</f>
        <v>0</v>
      </c>
      <c r="AW30" s="60">
        <f>COUNTIFS($M$2:$M$107,AI30,$E$2:$E$107,1)</f>
        <v>2</v>
      </c>
      <c r="AX30" s="60">
        <f>COUNTIFS($L$2:$L$107,AI30,$E$2:$E$107,1)</f>
        <v>2</v>
      </c>
      <c r="AY30" s="60">
        <f>SUMIFS($T$2:$T$107, $M$2:$M$107, AI30,$E$2:$E$107, 1)</f>
        <v>4</v>
      </c>
      <c r="AZ30" s="60">
        <f>SUMIFS($S$2:$S$107, $L$2:$L$107, AI30,$E$2:$E$107, 1)</f>
        <v>4</v>
      </c>
      <c r="BA30" s="60">
        <f>SUMIFS($S$2:$S$107, $M$2:$M$107, AI30,$E$2:$E$107, 1)</f>
        <v>2</v>
      </c>
      <c r="BB30" s="60">
        <f>SUMIFS($T$2:$T$107, $L$2:$L$107, AI30,$E$2:$E$107, 1)</f>
        <v>2</v>
      </c>
      <c r="BC30" s="60">
        <f t="shared" si="24"/>
        <v>2</v>
      </c>
      <c r="BD30" s="60">
        <f t="shared" si="24"/>
        <v>2</v>
      </c>
      <c r="BE30" s="60">
        <f t="shared" si="25"/>
        <v>8</v>
      </c>
      <c r="BF30" s="60">
        <f t="shared" si="26"/>
        <v>4</v>
      </c>
      <c r="BG30" s="60">
        <f t="shared" si="27"/>
        <v>4</v>
      </c>
      <c r="BH30" s="60">
        <f t="shared" si="28"/>
        <v>2</v>
      </c>
      <c r="BI30" s="60">
        <f t="shared" si="28"/>
        <v>2</v>
      </c>
      <c r="BJ30" s="60">
        <f t="shared" si="29"/>
        <v>1</v>
      </c>
      <c r="BK30" s="60">
        <f t="shared" si="29"/>
        <v>1</v>
      </c>
      <c r="BL30" s="60">
        <f t="shared" si="11"/>
        <v>2</v>
      </c>
      <c r="BM30" s="60">
        <f t="shared" si="12"/>
        <v>1</v>
      </c>
      <c r="BN30" s="68"/>
      <c r="BO30" s="52" t="str">
        <f t="shared" si="13"/>
        <v>COL</v>
      </c>
      <c r="BP30" s="58">
        <f t="shared" si="14"/>
        <v>4</v>
      </c>
      <c r="BQ30" s="58">
        <f t="shared" si="14"/>
        <v>2</v>
      </c>
      <c r="BR30" s="58">
        <f t="shared" si="14"/>
        <v>2</v>
      </c>
      <c r="BS30" s="58">
        <f t="shared" si="14"/>
        <v>3</v>
      </c>
      <c r="BT30" s="58">
        <f t="shared" si="14"/>
        <v>1</v>
      </c>
      <c r="BU30" s="58">
        <f t="shared" si="14"/>
        <v>2</v>
      </c>
      <c r="BV30" s="58">
        <f t="shared" si="14"/>
        <v>0</v>
      </c>
      <c r="BW30" s="58">
        <f t="shared" si="14"/>
        <v>1</v>
      </c>
      <c r="BX30" s="58">
        <f t="shared" si="14"/>
        <v>0</v>
      </c>
      <c r="BY30" s="58">
        <f>SUMIFS($T$2:$T$107,$M$2:$M$107,AI30,$E$2:$E$107,1)+SUMIFS($T$2:$T$107,$M$2:$M$107,AI30,$E$2:$E$107,2)+SUMIFS($T$2:$T$107,$M$2:$M$107,AI30,$E$2:$E$107,3)+SUMIFS($T$2:$T$107,$M$2:$M$107,AI30,$E$2:$E$107,4)</f>
        <v>4</v>
      </c>
      <c r="BZ30" s="58">
        <f>SUMIFS($S$2:$S$107,$L$2:$L$107,AI30,$E$2:$E$107,1) + SUMIFS($S$2:$S$107,$L$2:$L$107,AI30,$E$2:$E$107,2)+SUMIFS($S$2:$S$107,$L$2:$L$107,AI30,$E$2:$E$107,3)+SUMIFS($S$2:$S$107,$L$2:$L$107,AI30,$E$2:$E$107,4)</f>
        <v>4</v>
      </c>
      <c r="CA30" s="58">
        <f>SUMIFS($S$2:$S$107,$M$2:$M$107,AI30,$E$2:$E$107,1)+SUMIFS($S$2:$S$107,$M$2:$M$107,AI30,$E$2:$E$107,2)+SUMIFS($S$2:$S$107,$M$2:$M$107,AI30,$E$2:$E$107,3)+SUMIFS($S$2:$S$107,$M$2:$M$107,AI30,$E$2:$E$107,4)</f>
        <v>2</v>
      </c>
      <c r="CB30" s="58">
        <f>SUMIFS($T$2:$T$107,$L$2:$L$107,AI30,$E$2:$E$107,1)+(SUMIFS($T$2:$T$107,$L$2:$L$107,AI30,$E$2:$E$107,2)+SUMIFS($T$2:$T$107,$L$2:$L$107,AI30,$E$2:$E$107,3)+SUMIFS($T$2:$T$107,$L$2:$L$107,AI30,$E$2:$E$107,4))</f>
        <v>2</v>
      </c>
      <c r="CC30" s="58">
        <f t="shared" si="15"/>
        <v>2</v>
      </c>
      <c r="CD30" s="58">
        <f t="shared" si="15"/>
        <v>2</v>
      </c>
      <c r="CE30" s="58">
        <f t="shared" si="16"/>
        <v>8</v>
      </c>
      <c r="CF30" s="58">
        <f t="shared" si="17"/>
        <v>4</v>
      </c>
      <c r="CG30" s="58">
        <f t="shared" si="18"/>
        <v>4</v>
      </c>
      <c r="CH30" s="59">
        <f t="shared" si="19"/>
        <v>2</v>
      </c>
      <c r="CI30" s="59">
        <f t="shared" si="19"/>
        <v>2</v>
      </c>
      <c r="CJ30" s="59">
        <f t="shared" si="20"/>
        <v>1</v>
      </c>
      <c r="CK30" s="59">
        <f t="shared" si="20"/>
        <v>1</v>
      </c>
      <c r="CL30" s="59">
        <f t="shared" si="21"/>
        <v>2</v>
      </c>
      <c r="CM30" s="59">
        <f t="shared" si="22"/>
        <v>1</v>
      </c>
    </row>
    <row r="31" spans="1:91" x14ac:dyDescent="0.25">
      <c r="A31" s="60" t="str">
        <f t="shared" si="32"/>
        <v>Sunday</v>
      </c>
      <c r="B31" s="62">
        <v>46138</v>
      </c>
      <c r="C31" s="63">
        <v>0.83333333333333337</v>
      </c>
      <c r="D31" s="62" t="s">
        <v>16</v>
      </c>
      <c r="E31" s="65">
        <v>1</v>
      </c>
      <c r="F31" s="66" t="s">
        <v>31</v>
      </c>
      <c r="G31" s="65">
        <v>4</v>
      </c>
      <c r="H31" s="100" t="s">
        <v>34</v>
      </c>
      <c r="I31" s="101" t="s">
        <v>158</v>
      </c>
      <c r="J31" s="65">
        <v>1</v>
      </c>
      <c r="K31" s="65">
        <v>1</v>
      </c>
      <c r="L31" s="81" t="s">
        <v>34</v>
      </c>
      <c r="M31" s="83" t="s">
        <v>158</v>
      </c>
      <c r="N31" s="66" t="str">
        <f t="shared" si="33"/>
        <v/>
      </c>
      <c r="O31" s="66"/>
      <c r="P31" s="66"/>
      <c r="Q31" s="66"/>
      <c r="R31" s="62"/>
      <c r="S31" s="66"/>
      <c r="T31" s="66"/>
      <c r="U31" s="66"/>
      <c r="V31" s="66" t="str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/>
      </c>
      <c r="W31" s="66" t="str">
        <f t="shared" si="2"/>
        <v/>
      </c>
      <c r="X31" s="79" t="str">
        <f>IF(ISBLANK(Table2[[#This Row],[OTROUNDNUM]]), "", Table2[[#This Row],[PAWAYSCORE]]-Table2[[#This Row],[AAWAYSCORE]])</f>
        <v/>
      </c>
      <c r="Y31" s="79" t="str">
        <f>IF(ISBLANK(Table2[[#This Row],[OTROUNDNUM]]), "", Table2[[#This Row],[PHOMESCORE]]-Table2[[#This Row],[AHOMESCORE]])</f>
        <v/>
      </c>
      <c r="Z31" s="79">
        <f>IF(ISBLANK(Table2[[#This Row],[GAMENUM]]), " ", IF((Table2[[#This Row],[TOPSEEDWINS]]+Table2[[#This Row],[LOWSEEDWINS]]) &lt;&gt; Table2[[#This Row],[GAMENUM]], 0, 1))</f>
        <v>0</v>
      </c>
      <c r="AA31" s="60"/>
      <c r="AB31" s="68"/>
      <c r="AC31" s="14"/>
      <c r="AD31" s="14"/>
      <c r="AE31" s="19"/>
      <c r="AF31" s="14"/>
      <c r="AG31" s="14"/>
      <c r="AH31" s="45"/>
      <c r="AI31" s="55" t="s">
        <v>49</v>
      </c>
      <c r="AJ31" s="60">
        <f>COUNTIFS($L$2:$L$107, AI31, $E$2:$E$107, 1) + COUNTIFS($M$2:$M$107, AI31, $E$2:$E$107, 1)</f>
        <v>4</v>
      </c>
      <c r="AK31" s="60">
        <f>COUNTIFS($L$2:$L$107, AI31, $E$2:$E$107, 2) + COUNTIFS($M$2:$M$107, AI31, $E$2:$E$107, 2)</f>
        <v>0</v>
      </c>
      <c r="AL31" s="60">
        <f>COUNTIFS($L$2:$L$107, AI31, $E$2:$E$107, 3) + COUNTIFS($M$2:$M$107, AI31, $E$2:$E$107, 3)</f>
        <v>0</v>
      </c>
      <c r="AM31" s="60">
        <f>COUNTIFS($L$2:$L$107, AI31, $E$2:$E$107, 4) + COUNTIFS($M$2:$M$107, AI31, $E$2:$E$107, 4)</f>
        <v>0</v>
      </c>
      <c r="AN31" s="60">
        <f t="shared" si="23"/>
        <v>4</v>
      </c>
      <c r="AO31" s="60">
        <f>COUNTIF($M$2:$M$107, AI31)</f>
        <v>2</v>
      </c>
      <c r="AP31" s="60">
        <f>COUNTIF($L$2:$L$107, AI31)</f>
        <v>2</v>
      </c>
      <c r="AQ31" s="60">
        <f t="shared" si="9"/>
        <v>0</v>
      </c>
      <c r="AR31" s="60">
        <f t="shared" si="10"/>
        <v>4</v>
      </c>
      <c r="AS31" s="60">
        <f>SUMPRODUCT(($M$2:$M$107=AI31)*($T$2:$T$107&gt;$S$2:$S$107))</f>
        <v>0</v>
      </c>
      <c r="AT31" s="60">
        <f>SUMPRODUCT(($M$2:$M$107=AI31)*($T$2:$T$107&lt;$S$2:$S$107))</f>
        <v>1</v>
      </c>
      <c r="AU31" s="60">
        <f>SUMPRODUCT(($L$2:$L$107=AI31)*($T$2:$T$107&lt;$S$2:$S$107))</f>
        <v>0</v>
      </c>
      <c r="AV31" s="60">
        <f>SUMPRODUCT(($L$2:$L$107=AI31)*($T$2:$T$107&gt;$S$2:$S$107))</f>
        <v>2</v>
      </c>
      <c r="AW31" s="60">
        <f>COUNTIFS($M$2:$M$107,AI31,$E$2:$E$107,1)</f>
        <v>2</v>
      </c>
      <c r="AX31" s="60">
        <f>COUNTIFS($L$2:$L$107,AI31,$E$2:$E$107,1)</f>
        <v>2</v>
      </c>
      <c r="AY31" s="60">
        <f>SUMIFS($T$2:$T$107, $M$2:$M$107, AI31,$E$2:$E$107, 1)</f>
        <v>2</v>
      </c>
      <c r="AZ31" s="60">
        <f>SUMIFS($S$2:$S$107, $L$2:$L$107, AI31,$E$2:$E$107, 1)</f>
        <v>2</v>
      </c>
      <c r="BA31" s="60">
        <f>SUMIFS($S$2:$S$107, $M$2:$M$107, AI31,$E$2:$E$107, 1)</f>
        <v>4</v>
      </c>
      <c r="BB31" s="60">
        <f>SUMIFS($T$2:$T$107, $L$2:$L$107, AI31,$E$2:$E$107, 1)</f>
        <v>4</v>
      </c>
      <c r="BC31" s="60">
        <f t="shared" si="24"/>
        <v>-2</v>
      </c>
      <c r="BD31" s="60">
        <f t="shared" si="24"/>
        <v>-2</v>
      </c>
      <c r="BE31" s="60">
        <f t="shared" si="25"/>
        <v>4</v>
      </c>
      <c r="BF31" s="60">
        <f t="shared" si="26"/>
        <v>8</v>
      </c>
      <c r="BG31" s="60">
        <f t="shared" si="27"/>
        <v>-4</v>
      </c>
      <c r="BH31" s="60">
        <f t="shared" si="28"/>
        <v>1</v>
      </c>
      <c r="BI31" s="60">
        <f t="shared" si="28"/>
        <v>1</v>
      </c>
      <c r="BJ31" s="60">
        <f t="shared" si="29"/>
        <v>2</v>
      </c>
      <c r="BK31" s="60">
        <f t="shared" si="29"/>
        <v>2</v>
      </c>
      <c r="BL31" s="60">
        <f t="shared" si="11"/>
        <v>1</v>
      </c>
      <c r="BM31" s="60">
        <f t="shared" si="12"/>
        <v>2</v>
      </c>
      <c r="BN31" s="68"/>
      <c r="BO31" s="55" t="str">
        <f t="shared" si="13"/>
        <v>LAK</v>
      </c>
      <c r="BP31" s="58">
        <f t="shared" si="14"/>
        <v>4</v>
      </c>
      <c r="BQ31" s="58">
        <f t="shared" si="14"/>
        <v>2</v>
      </c>
      <c r="BR31" s="58">
        <f t="shared" si="14"/>
        <v>2</v>
      </c>
      <c r="BS31" s="58">
        <f t="shared" si="14"/>
        <v>0</v>
      </c>
      <c r="BT31" s="58">
        <f t="shared" si="14"/>
        <v>4</v>
      </c>
      <c r="BU31" s="58">
        <f t="shared" si="14"/>
        <v>0</v>
      </c>
      <c r="BV31" s="58">
        <f t="shared" si="14"/>
        <v>1</v>
      </c>
      <c r="BW31" s="58">
        <f t="shared" si="14"/>
        <v>0</v>
      </c>
      <c r="BX31" s="58">
        <f t="shared" si="14"/>
        <v>2</v>
      </c>
      <c r="BY31" s="58">
        <f>SUMIFS($T$2:$T$107,$M$2:$M$107,AI31,$E$2:$E$107,1)+SUMIFS($T$2:$T$107,$M$2:$M$107,AI31,$E$2:$E$107,2)+SUMIFS($T$2:$T$107,$M$2:$M$107,AI31,$E$2:$E$107,3)+SUMIFS($T$2:$T$107,$M$2:$M$107,AI31,$E$2:$E$107,4)</f>
        <v>2</v>
      </c>
      <c r="BZ31" s="58">
        <f>SUMIFS($S$2:$S$107,$L$2:$L$107,AI31,$E$2:$E$107,1) + SUMIFS($S$2:$S$107,$L$2:$L$107,AI31,$E$2:$E$107,2)+SUMIFS($S$2:$S$107,$L$2:$L$107,AI31,$E$2:$E$107,3)+SUMIFS($S$2:$S$107,$L$2:$L$107,AI31,$E$2:$E$107,4)</f>
        <v>2</v>
      </c>
      <c r="CA31" s="58">
        <f>SUMIFS($S$2:$S$107,$M$2:$M$107,AI31,$E$2:$E$107,1)+SUMIFS($S$2:$S$107,$M$2:$M$107,AI31,$E$2:$E$107,2)+SUMIFS($S$2:$S$107,$M$2:$M$107,AI31,$E$2:$E$107,3)+SUMIFS($S$2:$S$107,$M$2:$M$107,AI31,$E$2:$E$107,4)</f>
        <v>4</v>
      </c>
      <c r="CB31" s="58">
        <f>SUMIFS($T$2:$T$107,$L$2:$L$107,AI31,$E$2:$E$107,1)+(SUMIFS($T$2:$T$107,$L$2:$L$107,AI31,$E$2:$E$107,2)+SUMIFS($T$2:$T$107,$L$2:$L$107,AI31,$E$2:$E$107,3)+SUMIFS($T$2:$T$107,$L$2:$L$107,AI31,$E$2:$E$107,4))</f>
        <v>4</v>
      </c>
      <c r="CC31" s="58">
        <f t="shared" si="15"/>
        <v>-2</v>
      </c>
      <c r="CD31" s="58">
        <f t="shared" si="15"/>
        <v>-2</v>
      </c>
      <c r="CE31" s="58">
        <f t="shared" si="16"/>
        <v>4</v>
      </c>
      <c r="CF31" s="58">
        <f t="shared" si="17"/>
        <v>8</v>
      </c>
      <c r="CG31" s="58">
        <f t="shared" si="18"/>
        <v>-4</v>
      </c>
      <c r="CH31" s="59">
        <f t="shared" si="19"/>
        <v>1</v>
      </c>
      <c r="CI31" s="59">
        <f t="shared" si="19"/>
        <v>1</v>
      </c>
      <c r="CJ31" s="59">
        <f t="shared" si="20"/>
        <v>2</v>
      </c>
      <c r="CK31" s="59">
        <f t="shared" si="20"/>
        <v>2</v>
      </c>
      <c r="CL31" s="59">
        <f t="shared" si="21"/>
        <v>1</v>
      </c>
      <c r="CM31" s="59">
        <f t="shared" si="22"/>
        <v>2</v>
      </c>
    </row>
    <row r="32" spans="1:91" x14ac:dyDescent="0.25">
      <c r="A32" s="60" t="str">
        <f t="shared" si="32"/>
        <v>Sunday</v>
      </c>
      <c r="B32" s="62">
        <v>46138</v>
      </c>
      <c r="C32" s="63">
        <v>0.9375</v>
      </c>
      <c r="D32" s="62" t="s">
        <v>38</v>
      </c>
      <c r="E32" s="65">
        <v>1</v>
      </c>
      <c r="F32" s="66" t="s">
        <v>44</v>
      </c>
      <c r="G32" s="65">
        <v>4</v>
      </c>
      <c r="H32" s="89" t="s">
        <v>48</v>
      </c>
      <c r="I32" s="90" t="s">
        <v>175</v>
      </c>
      <c r="J32" s="65">
        <v>1</v>
      </c>
      <c r="K32" s="65">
        <v>1</v>
      </c>
      <c r="L32" s="70" t="s">
        <v>48</v>
      </c>
      <c r="M32" s="91" t="s">
        <v>175</v>
      </c>
      <c r="N32" s="66" t="str">
        <f t="shared" si="33"/>
        <v/>
      </c>
      <c r="O32" s="66"/>
      <c r="P32" s="66"/>
      <c r="Q32" s="66"/>
      <c r="R32" s="62"/>
      <c r="S32" s="66"/>
      <c r="T32" s="66"/>
      <c r="U32" s="66"/>
      <c r="V32" s="66" t="str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/>
      </c>
      <c r="W32" s="66" t="str">
        <f t="shared" si="2"/>
        <v/>
      </c>
      <c r="X32" s="79" t="str">
        <f>IF(ISBLANK(Table2[[#This Row],[OTROUNDNUM]]), "", Table2[[#This Row],[PAWAYSCORE]]-Table2[[#This Row],[AAWAYSCORE]])</f>
        <v/>
      </c>
      <c r="Y32" s="79" t="str">
        <f>IF(ISBLANK(Table2[[#This Row],[OTROUNDNUM]]), "", Table2[[#This Row],[PHOMESCORE]]-Table2[[#This Row],[AHOMESCORE]])</f>
        <v/>
      </c>
      <c r="Z32" s="79">
        <f>IF(ISBLANK(Table2[[#This Row],[GAMENUM]]), " ", IF((Table2[[#This Row],[TOPSEEDWINS]]+Table2[[#This Row],[LOWSEEDWINS]]) &lt;&gt; Table2[[#This Row],[GAMENUM]], 0, 1))</f>
        <v>0</v>
      </c>
      <c r="AA32" s="60"/>
      <c r="AB32" s="68"/>
      <c r="AC32" s="14"/>
      <c r="AD32" s="14"/>
      <c r="AE32" s="19"/>
      <c r="AF32" s="14"/>
      <c r="AG32" s="14"/>
      <c r="AH32" s="45"/>
      <c r="AI32" s="51" t="s">
        <v>46</v>
      </c>
      <c r="AJ32" s="60">
        <f>COUNTIFS($L$2:$L$107, AI32, $E$2:$E$107, 1) + COUNTIFS($M$2:$M$107, AI32, $E$2:$E$107, 1)</f>
        <v>4</v>
      </c>
      <c r="AK32" s="60">
        <f>COUNTIFS($L$2:$L$107, AI32, $E$2:$E$107, 2) + COUNTIFS($M$2:$M$107, AI32, $E$2:$E$107, 2)</f>
        <v>0</v>
      </c>
      <c r="AL32" s="60">
        <f>COUNTIFS($L$2:$L$107, AI32, $E$2:$E$107, 3) + COUNTIFS($M$2:$M$107, AI32, $E$2:$E$107, 3)</f>
        <v>0</v>
      </c>
      <c r="AM32" s="60">
        <f>COUNTIFS($L$2:$L$107, AI32, $E$2:$E$107, 4) + COUNTIFS($M$2:$M$107, AI32, $E$2:$E$107, 4)</f>
        <v>0</v>
      </c>
      <c r="AN32" s="60">
        <f t="shared" si="23"/>
        <v>4</v>
      </c>
      <c r="AO32" s="60">
        <f>COUNTIF($M$2:$M$107, AI32)</f>
        <v>2</v>
      </c>
      <c r="AP32" s="60">
        <f>COUNTIF($L$2:$L$107, AI32)</f>
        <v>2</v>
      </c>
      <c r="AQ32" s="60">
        <f t="shared" si="9"/>
        <v>2</v>
      </c>
      <c r="AR32" s="60">
        <f t="shared" si="10"/>
        <v>2</v>
      </c>
      <c r="AS32" s="60">
        <f>SUMPRODUCT(($M$2:$M$107=AI32)*($T$2:$T$107&gt;$S$2:$S$107))</f>
        <v>1</v>
      </c>
      <c r="AT32" s="60">
        <f>SUMPRODUCT(($M$2:$M$107=AI32)*($T$2:$T$107&lt;$S$2:$S$107))</f>
        <v>1</v>
      </c>
      <c r="AU32" s="60">
        <f>SUMPRODUCT(($L$2:$L$107=AI32)*($T$2:$T$107&lt;$S$2:$S$107))</f>
        <v>1</v>
      </c>
      <c r="AV32" s="60">
        <f>SUMPRODUCT(($L$2:$L$107=AI32)*($T$2:$T$107&gt;$S$2:$S$107))</f>
        <v>0</v>
      </c>
      <c r="AW32" s="60">
        <f>COUNTIFS($M$2:$M$107,AI32,$E$2:$E$107,1)</f>
        <v>2</v>
      </c>
      <c r="AX32" s="60">
        <f>COUNTIFS($L$2:$L$107,AI32,$E$2:$E$107,1)</f>
        <v>2</v>
      </c>
      <c r="AY32" s="60">
        <f>SUMIFS($T$2:$T$107, $M$2:$M$107, AI32,$E$2:$E$107, 1)</f>
        <v>5</v>
      </c>
      <c r="AZ32" s="60">
        <f>SUMIFS($S$2:$S$107, $L$2:$L$107, AI32,$E$2:$E$107, 1)</f>
        <v>4</v>
      </c>
      <c r="BA32" s="60">
        <f>SUMIFS($S$2:$S$107, $M$2:$M$107, AI32,$E$2:$E$107, 1)</f>
        <v>8</v>
      </c>
      <c r="BB32" s="60">
        <f>SUMIFS($T$2:$T$107, $L$2:$L$107, AI32,$E$2:$E$107, 1)</f>
        <v>3</v>
      </c>
      <c r="BC32" s="60">
        <f t="shared" si="24"/>
        <v>-3</v>
      </c>
      <c r="BD32" s="60">
        <f t="shared" si="24"/>
        <v>1</v>
      </c>
      <c r="BE32" s="60">
        <f t="shared" si="25"/>
        <v>9</v>
      </c>
      <c r="BF32" s="60">
        <f t="shared" si="26"/>
        <v>11</v>
      </c>
      <c r="BG32" s="60">
        <f t="shared" si="27"/>
        <v>-2</v>
      </c>
      <c r="BH32" s="60">
        <f t="shared" si="28"/>
        <v>2.5</v>
      </c>
      <c r="BI32" s="60">
        <f t="shared" si="28"/>
        <v>2</v>
      </c>
      <c r="BJ32" s="60">
        <f t="shared" si="29"/>
        <v>4</v>
      </c>
      <c r="BK32" s="60">
        <f t="shared" si="29"/>
        <v>1.5</v>
      </c>
      <c r="BL32" s="60">
        <f t="shared" si="11"/>
        <v>2.25</v>
      </c>
      <c r="BM32" s="60">
        <f t="shared" si="12"/>
        <v>2.75</v>
      </c>
      <c r="BN32" s="68"/>
      <c r="BO32" s="51" t="str">
        <f t="shared" si="13"/>
        <v>DAL</v>
      </c>
      <c r="BP32" s="58">
        <f t="shared" si="14"/>
        <v>4</v>
      </c>
      <c r="BQ32" s="58">
        <f t="shared" si="14"/>
        <v>2</v>
      </c>
      <c r="BR32" s="58">
        <f t="shared" si="14"/>
        <v>2</v>
      </c>
      <c r="BS32" s="58">
        <f t="shared" si="14"/>
        <v>2</v>
      </c>
      <c r="BT32" s="58">
        <f t="shared" si="14"/>
        <v>2</v>
      </c>
      <c r="BU32" s="58">
        <f t="shared" si="14"/>
        <v>1</v>
      </c>
      <c r="BV32" s="58">
        <f t="shared" si="14"/>
        <v>1</v>
      </c>
      <c r="BW32" s="58">
        <f t="shared" si="14"/>
        <v>1</v>
      </c>
      <c r="BX32" s="58">
        <f t="shared" si="14"/>
        <v>0</v>
      </c>
      <c r="BY32" s="58">
        <f>SUMIFS($T$2:$T$107,$M$2:$M$107,AI32,$E$2:$E$107,1)+SUMIFS($T$2:$T$107,$M$2:$M$107,AI32,$E$2:$E$107,2)+SUMIFS($T$2:$T$107,$M$2:$M$107,AI32,$E$2:$E$107,3)+SUMIFS($T$2:$T$107,$M$2:$M$107,AI32,$E$2:$E$107,4)</f>
        <v>5</v>
      </c>
      <c r="BZ32" s="58">
        <f>SUMIFS($S$2:$S$107,$L$2:$L$107,AI32,$E$2:$E$107,1) + SUMIFS($S$2:$S$107,$L$2:$L$107,AI32,$E$2:$E$107,2)+SUMIFS($S$2:$S$107,$L$2:$L$107,AI32,$E$2:$E$107,3)+SUMIFS($S$2:$S$107,$L$2:$L$107,AI32,$E$2:$E$107,4)</f>
        <v>4</v>
      </c>
      <c r="CA32" s="58">
        <f>SUMIFS($S$2:$S$107,$M$2:$M$107,AI32,$E$2:$E$107,1)+SUMIFS($S$2:$S$107,$M$2:$M$107,AI32,$E$2:$E$107,2)+SUMIFS($S$2:$S$107,$M$2:$M$107,AI32,$E$2:$E$107,3)+SUMIFS($S$2:$S$107,$M$2:$M$107,AI32,$E$2:$E$107,4)</f>
        <v>8</v>
      </c>
      <c r="CB32" s="58">
        <f>SUMIFS($T$2:$T$107,$L$2:$L$107,AI32,$E$2:$E$107,1)+(SUMIFS($T$2:$T$107,$L$2:$L$107,AI32,$E$2:$E$107,2)+SUMIFS($T$2:$T$107,$L$2:$L$107,AI32,$E$2:$E$107,3)+SUMIFS($T$2:$T$107,$L$2:$L$107,AI32,$E$2:$E$107,4))</f>
        <v>3</v>
      </c>
      <c r="CC32" s="58">
        <f t="shared" si="15"/>
        <v>-3</v>
      </c>
      <c r="CD32" s="58">
        <f t="shared" si="15"/>
        <v>1</v>
      </c>
      <c r="CE32" s="58">
        <f t="shared" si="16"/>
        <v>9</v>
      </c>
      <c r="CF32" s="58">
        <f t="shared" si="17"/>
        <v>11</v>
      </c>
      <c r="CG32" s="58">
        <f t="shared" si="18"/>
        <v>-2</v>
      </c>
      <c r="CH32" s="59">
        <f t="shared" si="19"/>
        <v>2.5</v>
      </c>
      <c r="CI32" s="59">
        <f t="shared" si="19"/>
        <v>2</v>
      </c>
      <c r="CJ32" s="59">
        <f t="shared" si="20"/>
        <v>4</v>
      </c>
      <c r="CK32" s="59">
        <f t="shared" si="20"/>
        <v>1.5</v>
      </c>
      <c r="CL32" s="59">
        <f t="shared" si="21"/>
        <v>2.25</v>
      </c>
      <c r="CM32" s="59">
        <f t="shared" si="22"/>
        <v>2.75</v>
      </c>
    </row>
    <row r="33" spans="1:91" x14ac:dyDescent="0.25">
      <c r="A33" s="60" t="str">
        <f t="shared" si="32"/>
        <v>Monday</v>
      </c>
      <c r="B33" s="62">
        <v>46139</v>
      </c>
      <c r="C33" s="63"/>
      <c r="D33" s="62"/>
      <c r="E33" s="65"/>
      <c r="F33" s="66"/>
      <c r="G33" s="65"/>
      <c r="H33" s="65"/>
      <c r="I33" s="65"/>
      <c r="J33" s="65"/>
      <c r="K33" s="65"/>
      <c r="L33" s="66"/>
      <c r="M33" s="66"/>
      <c r="N33" s="66" t="str">
        <f t="shared" si="33"/>
        <v/>
      </c>
      <c r="O33" s="66"/>
      <c r="P33" s="66"/>
      <c r="Q33" s="66"/>
      <c r="R33" s="62"/>
      <c r="S33" s="66"/>
      <c r="T33" s="66"/>
      <c r="U33" s="66"/>
      <c r="V33" s="66" t="str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/>
      </c>
      <c r="W33" s="66" t="str">
        <f t="shared" si="2"/>
        <v/>
      </c>
      <c r="X33" s="79" t="str">
        <f>IF(ISBLANK(Table2[[#This Row],[OTROUNDNUM]]), "", Table2[[#This Row],[PAWAYSCORE]]-Table2[[#This Row],[AAWAYSCORE]])</f>
        <v/>
      </c>
      <c r="Y33" s="79" t="str">
        <f>IF(ISBLANK(Table2[[#This Row],[OTROUNDNUM]]), "", Table2[[#This Row],[PHOMESCORE]]-Table2[[#This Row],[AHOMESCORE]])</f>
        <v/>
      </c>
      <c r="Z33" s="79" t="str">
        <f>IF(ISBLANK(Table2[[#This Row],[GAMENUM]]), " ", IF((Table2[[#This Row],[TOPSEEDWINS]]+Table2[[#This Row],[LOWSEEDWINS]]) &lt;&gt; Table2[[#This Row],[GAMENUM]], 0, 1))</f>
        <v xml:space="preserve"> </v>
      </c>
      <c r="AA33" s="60"/>
      <c r="AB33" s="68"/>
      <c r="AC33" s="14"/>
      <c r="AD33" s="14"/>
      <c r="AE33" s="19"/>
      <c r="AF33" s="14"/>
      <c r="AG33" s="14"/>
      <c r="AH33" s="45"/>
      <c r="AI33" s="54" t="s">
        <v>157</v>
      </c>
      <c r="AJ33" s="60">
        <f>COUNTIFS($L$2:$L$107, AI33, $E$2:$E$107, 1) + COUNTIFS($M$2:$M$107, AI33, $E$2:$E$107, 1)</f>
        <v>4</v>
      </c>
      <c r="AK33" s="60">
        <f>COUNTIFS($L$2:$L$107, AI33, $E$2:$E$107, 2) + COUNTIFS($M$2:$M$107, AI33, $E$2:$E$107, 2)</f>
        <v>0</v>
      </c>
      <c r="AL33" s="60">
        <f>COUNTIFS($L$2:$L$107, AI33, $E$2:$E$107, 3) + COUNTIFS($M$2:$M$107, AI33, $E$2:$E$107, 3)</f>
        <v>0</v>
      </c>
      <c r="AM33" s="60">
        <f>COUNTIFS($L$2:$L$107, AI33, $E$2:$E$107, 4) + COUNTIFS($M$2:$M$107, AI33, $E$2:$E$107, 4)</f>
        <v>0</v>
      </c>
      <c r="AN33" s="60">
        <f t="shared" si="23"/>
        <v>4</v>
      </c>
      <c r="AO33" s="60">
        <f>COUNTIF($M$2:$M$107, AI33)</f>
        <v>2</v>
      </c>
      <c r="AP33" s="60">
        <f>COUNTIF($L$2:$L$107, AI33)</f>
        <v>2</v>
      </c>
      <c r="AQ33" s="60">
        <f t="shared" si="9"/>
        <v>1</v>
      </c>
      <c r="AR33" s="60">
        <f t="shared" si="10"/>
        <v>3</v>
      </c>
      <c r="AS33" s="60">
        <f>SUMPRODUCT(($M$2:$M$107=AI33)*($T$2:$T$107&gt;$S$2:$S$107))</f>
        <v>0</v>
      </c>
      <c r="AT33" s="60">
        <f>SUMPRODUCT(($M$2:$M$107=AI33)*($T$2:$T$107&lt;$S$2:$S$107))</f>
        <v>1</v>
      </c>
      <c r="AU33" s="60">
        <f>SUMPRODUCT(($L$2:$L$107=AI33)*($T$2:$T$107&lt;$S$2:$S$107))</f>
        <v>1</v>
      </c>
      <c r="AV33" s="60">
        <f>SUMPRODUCT(($L$2:$L$107=AI33)*($T$2:$T$107&gt;$S$2:$S$107))</f>
        <v>1</v>
      </c>
      <c r="AW33" s="60">
        <f>COUNTIFS($M$2:$M$107,AI33,$E$2:$E$107,1)</f>
        <v>2</v>
      </c>
      <c r="AX33" s="60">
        <f>COUNTIFS($L$2:$L$107,AI33,$E$2:$E$107,1)</f>
        <v>2</v>
      </c>
      <c r="AY33" s="60">
        <f>SUMIFS($T$2:$T$107, $M$2:$M$107, AI33,$E$2:$E$107, 1)</f>
        <v>3</v>
      </c>
      <c r="AZ33" s="60">
        <f>SUMIFS($S$2:$S$107, $L$2:$L$107, AI33,$E$2:$E$107, 1)</f>
        <v>8</v>
      </c>
      <c r="BA33" s="60">
        <f>SUMIFS($S$2:$S$107, $M$2:$M$107, AI33,$E$2:$E$107, 1)</f>
        <v>4</v>
      </c>
      <c r="BB33" s="60">
        <f>SUMIFS($T$2:$T$107, $L$2:$L$107, AI33,$E$2:$E$107, 1)</f>
        <v>5</v>
      </c>
      <c r="BC33" s="60">
        <f t="shared" si="24"/>
        <v>-1</v>
      </c>
      <c r="BD33" s="60">
        <f t="shared" si="24"/>
        <v>3</v>
      </c>
      <c r="BE33" s="60">
        <f t="shared" si="25"/>
        <v>11</v>
      </c>
      <c r="BF33" s="60">
        <f t="shared" si="26"/>
        <v>9</v>
      </c>
      <c r="BG33" s="60">
        <f t="shared" si="27"/>
        <v>2</v>
      </c>
      <c r="BH33" s="60">
        <f t="shared" si="28"/>
        <v>1.5</v>
      </c>
      <c r="BI33" s="60">
        <f t="shared" si="28"/>
        <v>4</v>
      </c>
      <c r="BJ33" s="60">
        <f t="shared" si="29"/>
        <v>2</v>
      </c>
      <c r="BK33" s="60">
        <f t="shared" si="29"/>
        <v>2.5</v>
      </c>
      <c r="BL33" s="60">
        <f t="shared" si="11"/>
        <v>2.75</v>
      </c>
      <c r="BM33" s="60">
        <f t="shared" si="12"/>
        <v>2.25</v>
      </c>
      <c r="BN33" s="68"/>
      <c r="BO33" s="54" t="str">
        <f t="shared" si="13"/>
        <v>MIN</v>
      </c>
      <c r="BP33" s="58">
        <f t="shared" si="14"/>
        <v>4</v>
      </c>
      <c r="BQ33" s="58">
        <f t="shared" si="14"/>
        <v>2</v>
      </c>
      <c r="BR33" s="58">
        <f t="shared" si="14"/>
        <v>2</v>
      </c>
      <c r="BS33" s="58">
        <f t="shared" si="14"/>
        <v>1</v>
      </c>
      <c r="BT33" s="58">
        <f t="shared" si="14"/>
        <v>3</v>
      </c>
      <c r="BU33" s="58">
        <f t="shared" si="14"/>
        <v>0</v>
      </c>
      <c r="BV33" s="58">
        <f t="shared" si="14"/>
        <v>1</v>
      </c>
      <c r="BW33" s="58">
        <f t="shared" si="14"/>
        <v>1</v>
      </c>
      <c r="BX33" s="58">
        <f t="shared" si="14"/>
        <v>1</v>
      </c>
      <c r="BY33" s="58">
        <f>SUMIFS($T$2:$T$107,$M$2:$M$107,AI33,$E$2:$E$107,1)+SUMIFS($T$2:$T$107,$M$2:$M$107,AI33,$E$2:$E$107,2)+SUMIFS($T$2:$T$107,$M$2:$M$107,AI33,$E$2:$E$107,3)+SUMIFS($T$2:$T$107,$M$2:$M$107,AI33,$E$2:$E$107,4)</f>
        <v>3</v>
      </c>
      <c r="BZ33" s="58">
        <f>SUMIFS($S$2:$S$107,$L$2:$L$107,AI33,$E$2:$E$107,1) + SUMIFS($S$2:$S$107,$L$2:$L$107,AI33,$E$2:$E$107,2)+SUMIFS($S$2:$S$107,$L$2:$L$107,AI33,$E$2:$E$107,3)+SUMIFS($S$2:$S$107,$L$2:$L$107,AI33,$E$2:$E$107,4)</f>
        <v>8</v>
      </c>
      <c r="CA33" s="58">
        <f>SUMIFS($S$2:$S$107,$M$2:$M$107,AI33,$E$2:$E$107,1)+SUMIFS($S$2:$S$107,$M$2:$M$107,AI33,$E$2:$E$107,2)+SUMIFS($S$2:$S$107,$M$2:$M$107,AI33,$E$2:$E$107,3)+SUMIFS($S$2:$S$107,$M$2:$M$107,AI33,$E$2:$E$107,4)</f>
        <v>4</v>
      </c>
      <c r="CB33" s="58">
        <f>SUMIFS($T$2:$T$107,$L$2:$L$107,AI33,$E$2:$E$107,1)+(SUMIFS($T$2:$T$107,$L$2:$L$107,AI33,$E$2:$E$107,2)+SUMIFS($T$2:$T$107,$L$2:$L$107,AI33,$E$2:$E$107,3)+SUMIFS($T$2:$T$107,$L$2:$L$107,AI33,$E$2:$E$107,4))</f>
        <v>5</v>
      </c>
      <c r="CC33" s="58">
        <f t="shared" si="15"/>
        <v>-1</v>
      </c>
      <c r="CD33" s="58">
        <f t="shared" si="15"/>
        <v>3</v>
      </c>
      <c r="CE33" s="58">
        <f t="shared" si="16"/>
        <v>11</v>
      </c>
      <c r="CF33" s="58">
        <f t="shared" si="17"/>
        <v>9</v>
      </c>
      <c r="CG33" s="58">
        <f t="shared" si="18"/>
        <v>2</v>
      </c>
      <c r="CH33" s="59">
        <f t="shared" si="19"/>
        <v>1.5</v>
      </c>
      <c r="CI33" s="59">
        <f t="shared" si="19"/>
        <v>4</v>
      </c>
      <c r="CJ33" s="59">
        <f t="shared" si="20"/>
        <v>2</v>
      </c>
      <c r="CK33" s="59">
        <f t="shared" si="20"/>
        <v>2.5</v>
      </c>
      <c r="CL33" s="59">
        <f t="shared" si="21"/>
        <v>2.75</v>
      </c>
      <c r="CM33" s="59">
        <f t="shared" si="22"/>
        <v>2.25</v>
      </c>
    </row>
    <row r="34" spans="1:91" x14ac:dyDescent="0.25">
      <c r="A34" s="60" t="str">
        <f t="shared" si="32"/>
        <v>Monday</v>
      </c>
      <c r="B34" s="62">
        <v>46139</v>
      </c>
      <c r="C34" s="63"/>
      <c r="D34" s="62"/>
      <c r="E34" s="65"/>
      <c r="F34" s="66"/>
      <c r="G34" s="65"/>
      <c r="H34" s="65"/>
      <c r="I34" s="65"/>
      <c r="J34" s="65"/>
      <c r="K34" s="65"/>
      <c r="L34" s="66"/>
      <c r="M34" s="66"/>
      <c r="N34" s="66" t="str">
        <f t="shared" si="33"/>
        <v/>
      </c>
      <c r="O34" s="66"/>
      <c r="P34" s="66"/>
      <c r="Q34" s="66"/>
      <c r="R34" s="62"/>
      <c r="S34" s="66"/>
      <c r="T34" s="66"/>
      <c r="U34" s="66"/>
      <c r="V34" s="66" t="str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/>
      </c>
      <c r="W34" s="66" t="str">
        <f t="shared" si="2"/>
        <v/>
      </c>
      <c r="X34" s="79" t="str">
        <f>IF(ISBLANK(Table2[[#This Row],[OTROUNDNUM]]), "", Table2[[#This Row],[PAWAYSCORE]]-Table2[[#This Row],[AAWAYSCORE]])</f>
        <v/>
      </c>
      <c r="Y34" s="79" t="str">
        <f>IF(ISBLANK(Table2[[#This Row],[OTROUNDNUM]]), "", Table2[[#This Row],[PHOMESCORE]]-Table2[[#This Row],[AHOMESCORE]])</f>
        <v/>
      </c>
      <c r="Z34" s="79" t="str">
        <f>IF(ISBLANK(Table2[[#This Row],[GAMENUM]]), " ", IF((Table2[[#This Row],[TOPSEEDWINS]]+Table2[[#This Row],[LOWSEEDWINS]]) &lt;&gt; Table2[[#This Row],[GAMENUM]], 0, 1))</f>
        <v xml:space="preserve"> </v>
      </c>
      <c r="AA34" s="60"/>
      <c r="AB34" s="68"/>
      <c r="AC34" s="14"/>
      <c r="AD34" s="14"/>
      <c r="AE34" s="19"/>
      <c r="AF34" s="14"/>
      <c r="AG34" s="14"/>
      <c r="AH34" s="45"/>
      <c r="AI34" s="56" t="s">
        <v>48</v>
      </c>
      <c r="AJ34" s="60">
        <f>COUNTIFS($L$2:$L$107, AI34, $E$2:$E$107, 1) + COUNTIFS($M$2:$M$107, AI34, $E$2:$E$107, 1)</f>
        <v>4</v>
      </c>
      <c r="AK34" s="60">
        <f>COUNTIFS($L$2:$L$107, AI34, $E$2:$E$107, 2) + COUNTIFS($M$2:$M$107, AI34, $E$2:$E$107, 2)</f>
        <v>0</v>
      </c>
      <c r="AL34" s="60">
        <f>COUNTIFS($L$2:$L$107, AI34, $E$2:$E$107, 3) + COUNTIFS($M$2:$M$107, AI34, $E$2:$E$107, 3)</f>
        <v>0</v>
      </c>
      <c r="AM34" s="60">
        <f>COUNTIFS($L$2:$L$107, AI34, $E$2:$E$107, 4) + COUNTIFS($M$2:$M$107, AI34, $E$2:$E$107, 4)</f>
        <v>0</v>
      </c>
      <c r="AN34" s="60">
        <f t="shared" si="23"/>
        <v>4</v>
      </c>
      <c r="AO34" s="60">
        <f>COUNTIF($M$2:$M$107, AI34)</f>
        <v>2</v>
      </c>
      <c r="AP34" s="60">
        <f>COUNTIF($L$2:$L$107, AI34)</f>
        <v>2</v>
      </c>
      <c r="AQ34" s="60">
        <f t="shared" si="9"/>
        <v>1</v>
      </c>
      <c r="AR34" s="60">
        <f t="shared" si="10"/>
        <v>3</v>
      </c>
      <c r="AS34" s="60">
        <f>SUMPRODUCT(($M$2:$M$107=AI34)*($T$2:$T$107&gt;$S$2:$S$107))</f>
        <v>1</v>
      </c>
      <c r="AT34" s="60">
        <f>SUMPRODUCT(($M$2:$M$107=AI34)*($T$2:$T$107&lt;$S$2:$S$107))</f>
        <v>1</v>
      </c>
      <c r="AU34" s="60">
        <f>SUMPRODUCT(($L$2:$L$107=AI34)*($T$2:$T$107&lt;$S$2:$S$107))</f>
        <v>0</v>
      </c>
      <c r="AV34" s="60">
        <f>SUMPRODUCT(($L$2:$L$107=AI34)*($T$2:$T$107&gt;$S$2:$S$107))</f>
        <v>1</v>
      </c>
      <c r="AW34" s="60">
        <f>COUNTIFS($M$2:$M$107,AI34,$E$2:$E$107,1)</f>
        <v>2</v>
      </c>
      <c r="AX34" s="60">
        <f>COUNTIFS($L$2:$L$107,AI34,$E$2:$E$107,1)</f>
        <v>2</v>
      </c>
      <c r="AY34" s="60">
        <f>SUMIFS($T$2:$T$107, $M$2:$M$107, AI34,$E$2:$E$107, 1)</f>
        <v>8</v>
      </c>
      <c r="AZ34" s="60">
        <f>SUMIFS($S$2:$S$107, $L$2:$L$107, AI34,$E$2:$E$107, 1)</f>
        <v>4</v>
      </c>
      <c r="BA34" s="60">
        <f>SUMIFS($S$2:$S$107, $M$2:$M$107, AI34,$E$2:$E$107, 1)</f>
        <v>9</v>
      </c>
      <c r="BB34" s="60">
        <f>SUMIFS($T$2:$T$107, $L$2:$L$107, AI34,$E$2:$E$107, 1)</f>
        <v>7</v>
      </c>
      <c r="BC34" s="60">
        <f t="shared" si="24"/>
        <v>-1</v>
      </c>
      <c r="BD34" s="60">
        <f t="shared" si="24"/>
        <v>-3</v>
      </c>
      <c r="BE34" s="60">
        <f t="shared" si="25"/>
        <v>12</v>
      </c>
      <c r="BF34" s="60">
        <f t="shared" si="26"/>
        <v>16</v>
      </c>
      <c r="BG34" s="60">
        <f t="shared" si="27"/>
        <v>-4</v>
      </c>
      <c r="BH34" s="60">
        <f t="shared" si="28"/>
        <v>4</v>
      </c>
      <c r="BI34" s="60">
        <f t="shared" si="28"/>
        <v>2</v>
      </c>
      <c r="BJ34" s="60">
        <f t="shared" si="29"/>
        <v>4.5</v>
      </c>
      <c r="BK34" s="60">
        <f t="shared" si="29"/>
        <v>3.5</v>
      </c>
      <c r="BL34" s="60">
        <f t="shared" si="11"/>
        <v>3</v>
      </c>
      <c r="BM34" s="60">
        <f t="shared" si="12"/>
        <v>4</v>
      </c>
      <c r="BN34" s="68"/>
      <c r="BO34" s="56" t="str">
        <f t="shared" si="13"/>
        <v>EDM</v>
      </c>
      <c r="BP34" s="58">
        <f t="shared" si="14"/>
        <v>4</v>
      </c>
      <c r="BQ34" s="58">
        <f t="shared" si="14"/>
        <v>2</v>
      </c>
      <c r="BR34" s="58">
        <f t="shared" si="14"/>
        <v>2</v>
      </c>
      <c r="BS34" s="58">
        <f t="shared" si="14"/>
        <v>1</v>
      </c>
      <c r="BT34" s="58">
        <f t="shared" si="14"/>
        <v>3</v>
      </c>
      <c r="BU34" s="58">
        <f t="shared" si="14"/>
        <v>1</v>
      </c>
      <c r="BV34" s="58">
        <f t="shared" si="14"/>
        <v>1</v>
      </c>
      <c r="BW34" s="58">
        <f t="shared" si="14"/>
        <v>0</v>
      </c>
      <c r="BX34" s="58">
        <f t="shared" si="14"/>
        <v>1</v>
      </c>
      <c r="BY34" s="58">
        <f>SUMIFS($T$2:$T$107,$M$2:$M$107,AI34,$E$2:$E$107,1)+SUMIFS($T$2:$T$107,$M$2:$M$107,AI34,$E$2:$E$107,2)+SUMIFS($T$2:$T$107,$M$2:$M$107,AI34,$E$2:$E$107,3)+SUMIFS($T$2:$T$107,$M$2:$M$107,AI34,$E$2:$E$107,4)</f>
        <v>8</v>
      </c>
      <c r="BZ34" s="58">
        <f>SUMIFS($S$2:$S$107,$L$2:$L$107,AI34,$E$2:$E$107,1) + SUMIFS($S$2:$S$107,$L$2:$L$107,AI34,$E$2:$E$107,2)+SUMIFS($S$2:$S$107,$L$2:$L$107,AI34,$E$2:$E$107,3)+SUMIFS($S$2:$S$107,$L$2:$L$107,AI34,$E$2:$E$107,4)</f>
        <v>4</v>
      </c>
      <c r="CA34" s="58">
        <f>SUMIFS($S$2:$S$107,$M$2:$M$107,AI34,$E$2:$E$107,1)+SUMIFS($S$2:$S$107,$M$2:$M$107,AI34,$E$2:$E$107,2)+SUMIFS($S$2:$S$107,$M$2:$M$107,AI34,$E$2:$E$107,3)+SUMIFS($S$2:$S$107,$M$2:$M$107,AI34,$E$2:$E$107,4)</f>
        <v>9</v>
      </c>
      <c r="CB34" s="58">
        <f>SUMIFS($T$2:$T$107,$L$2:$L$107,AI34,$E$2:$E$107,1)+(SUMIFS($T$2:$T$107,$L$2:$L$107,AI34,$E$2:$E$107,2)+SUMIFS($T$2:$T$107,$L$2:$L$107,AI34,$E$2:$E$107,3)+SUMIFS($T$2:$T$107,$L$2:$L$107,AI34,$E$2:$E$107,4))</f>
        <v>7</v>
      </c>
      <c r="CC34" s="58">
        <f t="shared" si="15"/>
        <v>-1</v>
      </c>
      <c r="CD34" s="58">
        <f t="shared" si="15"/>
        <v>-3</v>
      </c>
      <c r="CE34" s="58">
        <f t="shared" si="16"/>
        <v>12</v>
      </c>
      <c r="CF34" s="58">
        <f t="shared" si="17"/>
        <v>16</v>
      </c>
      <c r="CG34" s="58">
        <f t="shared" si="18"/>
        <v>-4</v>
      </c>
      <c r="CH34" s="59">
        <f t="shared" si="19"/>
        <v>4</v>
      </c>
      <c r="CI34" s="59">
        <f t="shared" si="19"/>
        <v>2</v>
      </c>
      <c r="CJ34" s="59">
        <f t="shared" si="20"/>
        <v>4.5</v>
      </c>
      <c r="CK34" s="59">
        <f t="shared" si="20"/>
        <v>3.5</v>
      </c>
      <c r="CL34" s="59">
        <f t="shared" si="21"/>
        <v>3</v>
      </c>
      <c r="CM34" s="59">
        <f t="shared" si="22"/>
        <v>4</v>
      </c>
    </row>
    <row r="35" spans="1:91" x14ac:dyDescent="0.25">
      <c r="A35" s="60" t="str">
        <f t="shared" si="32"/>
        <v>Monday</v>
      </c>
      <c r="B35" s="62">
        <v>46139</v>
      </c>
      <c r="C35" s="63"/>
      <c r="D35" s="62"/>
      <c r="E35" s="65"/>
      <c r="F35" s="66"/>
      <c r="G35" s="65"/>
      <c r="H35" s="65"/>
      <c r="I35" s="65"/>
      <c r="J35" s="65"/>
      <c r="K35" s="65"/>
      <c r="L35" s="66"/>
      <c r="M35" s="66"/>
      <c r="N35" s="66" t="str">
        <f t="shared" si="33"/>
        <v/>
      </c>
      <c r="O35" s="66"/>
      <c r="P35" s="66"/>
      <c r="Q35" s="66"/>
      <c r="R35" s="62"/>
      <c r="S35" s="66"/>
      <c r="T35" s="66"/>
      <c r="U35" s="66"/>
      <c r="V35" s="66" t="str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/>
      </c>
      <c r="W35" s="66" t="str">
        <f t="shared" si="2"/>
        <v/>
      </c>
      <c r="X35" s="79" t="str">
        <f>IF(ISBLANK(Table2[[#This Row],[OTROUNDNUM]]), "", Table2[[#This Row],[PAWAYSCORE]]-Table2[[#This Row],[AAWAYSCORE]])</f>
        <v/>
      </c>
      <c r="Y35" s="79" t="str">
        <f>IF(ISBLANK(Table2[[#This Row],[OTROUNDNUM]]), "", Table2[[#This Row],[PHOMESCORE]]-Table2[[#This Row],[AHOMESCORE]])</f>
        <v/>
      </c>
      <c r="Z35" s="79" t="str">
        <f>IF(ISBLANK(Table2[[#This Row],[GAMENUM]]), " ", IF((Table2[[#This Row],[TOPSEEDWINS]]+Table2[[#This Row],[LOWSEEDWINS]]) &lt;&gt; Table2[[#This Row],[GAMENUM]], 0, 1))</f>
        <v xml:space="preserve"> </v>
      </c>
      <c r="AA35" s="60"/>
      <c r="AB35" s="68"/>
      <c r="AC35" s="14"/>
      <c r="AD35" s="14"/>
      <c r="AE35" s="19"/>
      <c r="AF35" s="14"/>
      <c r="AG35" s="14"/>
      <c r="AH35" s="45"/>
      <c r="AI35" s="121" t="s">
        <v>175</v>
      </c>
      <c r="AJ35" s="60">
        <f>COUNTIFS($L$2:$L$107, AI35, $E$2:$E$107, 1) + COUNTIFS($M$2:$M$107, AI35, $E$2:$E$107, 1)</f>
        <v>4</v>
      </c>
      <c r="AK35" s="60">
        <f>COUNTIFS($L$2:$L$107, AI35, $E$2:$E$107, 2) + COUNTIFS($M$2:$M$107, AI35, $E$2:$E$107, 2)</f>
        <v>0</v>
      </c>
      <c r="AL35" s="60">
        <f>COUNTIFS($L$2:$L$107, AI35, $E$2:$E$107, 3) + COUNTIFS($M$2:$M$107, AI35, $E$2:$E$107, 3)</f>
        <v>0</v>
      </c>
      <c r="AM35" s="60">
        <f>COUNTIFS($L$2:$L$107, AI35, $E$2:$E$107, 4) + COUNTIFS($M$2:$M$107, AI35, $E$2:$E$107, 4)</f>
        <v>0</v>
      </c>
      <c r="AN35" s="60">
        <f t="shared" si="23"/>
        <v>4</v>
      </c>
      <c r="AO35" s="60">
        <f>COUNTIF($M$2:$M$107, AI35)</f>
        <v>2</v>
      </c>
      <c r="AP35" s="60">
        <f>COUNTIF($L$2:$L$107, AI35)</f>
        <v>2</v>
      </c>
      <c r="AQ35" s="60">
        <f t="shared" si="9"/>
        <v>2</v>
      </c>
      <c r="AR35" s="60">
        <f t="shared" si="10"/>
        <v>2</v>
      </c>
      <c r="AS35" s="60">
        <f>SUMPRODUCT(($M$2:$M$107=AI35)*($T$2:$T$107&gt;$S$2:$S$107))</f>
        <v>1</v>
      </c>
      <c r="AT35" s="60">
        <f>SUMPRODUCT(($M$2:$M$107=AI35)*($T$2:$T$107&lt;$S$2:$S$107))</f>
        <v>0</v>
      </c>
      <c r="AU35" s="60">
        <f>SUMPRODUCT(($L$2:$L$107=AI35)*($T$2:$T$107&lt;$S$2:$S$107))</f>
        <v>1</v>
      </c>
      <c r="AV35" s="60">
        <f>SUMPRODUCT(($L$2:$L$107=AI35)*($T$2:$T$107&gt;$S$2:$S$107))</f>
        <v>1</v>
      </c>
      <c r="AW35" s="60">
        <f>COUNTIFS($M$2:$M$107,AI35,$E$2:$E$107,1)</f>
        <v>2</v>
      </c>
      <c r="AX35" s="60">
        <f>COUNTIFS($L$2:$L$107,AI35,$E$2:$E$107,1)</f>
        <v>2</v>
      </c>
      <c r="AY35" s="60">
        <f>SUMIFS($T$2:$T$107, $M$2:$M$107, AI35,$E$2:$E$107, 1)</f>
        <v>7</v>
      </c>
      <c r="AZ35" s="60">
        <f>SUMIFS($S$2:$S$107, $L$2:$L$107, AI35,$E$2:$E$107, 1)</f>
        <v>9</v>
      </c>
      <c r="BA35" s="60">
        <f>SUMIFS($S$2:$S$107, $M$2:$M$107, AI35,$E$2:$E$107, 1)</f>
        <v>4</v>
      </c>
      <c r="BB35" s="60">
        <f>SUMIFS($T$2:$T$107, $L$2:$L$107, AI35,$E$2:$E$107, 1)</f>
        <v>8</v>
      </c>
      <c r="BC35" s="60">
        <f t="shared" si="24"/>
        <v>3</v>
      </c>
      <c r="BD35" s="60">
        <f t="shared" si="24"/>
        <v>1</v>
      </c>
      <c r="BE35" s="60">
        <f t="shared" si="25"/>
        <v>16</v>
      </c>
      <c r="BF35" s="60">
        <f t="shared" si="26"/>
        <v>12</v>
      </c>
      <c r="BG35" s="60">
        <f t="shared" si="27"/>
        <v>4</v>
      </c>
      <c r="BH35" s="60">
        <f t="shared" si="28"/>
        <v>3.5</v>
      </c>
      <c r="BI35" s="60">
        <f t="shared" si="28"/>
        <v>4.5</v>
      </c>
      <c r="BJ35" s="60">
        <f t="shared" si="29"/>
        <v>2</v>
      </c>
      <c r="BK35" s="60">
        <f t="shared" si="29"/>
        <v>4</v>
      </c>
      <c r="BL35" s="60">
        <f t="shared" si="11"/>
        <v>4</v>
      </c>
      <c r="BM35" s="60">
        <f t="shared" si="12"/>
        <v>3</v>
      </c>
      <c r="BN35" s="68"/>
      <c r="BO35" s="121" t="str">
        <f t="shared" si="13"/>
        <v>ANA</v>
      </c>
      <c r="BP35" s="58">
        <f t="shared" si="14"/>
        <v>4</v>
      </c>
      <c r="BQ35" s="58">
        <f t="shared" si="14"/>
        <v>2</v>
      </c>
      <c r="BR35" s="58">
        <f t="shared" si="14"/>
        <v>2</v>
      </c>
      <c r="BS35" s="58">
        <f t="shared" si="14"/>
        <v>2</v>
      </c>
      <c r="BT35" s="58">
        <f t="shared" si="14"/>
        <v>2</v>
      </c>
      <c r="BU35" s="58">
        <f t="shared" si="14"/>
        <v>1</v>
      </c>
      <c r="BV35" s="58">
        <f t="shared" si="14"/>
        <v>0</v>
      </c>
      <c r="BW35" s="58">
        <f t="shared" si="14"/>
        <v>1</v>
      </c>
      <c r="BX35" s="58">
        <f t="shared" si="14"/>
        <v>1</v>
      </c>
      <c r="BY35" s="58">
        <f>SUMIFS($T$2:$T$107,$M$2:$M$107,AI35,$E$2:$E$107,1)+SUMIFS($T$2:$T$107,$M$2:$M$107,AI35,$E$2:$E$107,2)+SUMIFS($T$2:$T$107,$M$2:$M$107,AI35,$E$2:$E$107,3)+SUMIFS($T$2:$T$107,$M$2:$M$107,AI35,$E$2:$E$107,4)</f>
        <v>7</v>
      </c>
      <c r="BZ35" s="58">
        <f>SUMIFS($S$2:$S$107,$L$2:$L$107,AI35,$E$2:$E$107,1) + SUMIFS($S$2:$S$107,$L$2:$L$107,AI35,$E$2:$E$107,2)+SUMIFS($S$2:$S$107,$L$2:$L$107,AI35,$E$2:$E$107,3)+SUMIFS($S$2:$S$107,$L$2:$L$107,AI35,$E$2:$E$107,4)</f>
        <v>9</v>
      </c>
      <c r="CA35" s="58">
        <f>SUMIFS($S$2:$S$107,$M$2:$M$107,AI35,$E$2:$E$107,1)+SUMIFS($S$2:$S$107,$M$2:$M$107,AI35,$E$2:$E$107,2)+SUMIFS($S$2:$S$107,$M$2:$M$107,AI35,$E$2:$E$107,3)+SUMIFS($S$2:$S$107,$M$2:$M$107,AI35,$E$2:$E$107,4)</f>
        <v>4</v>
      </c>
      <c r="CB35" s="58">
        <f>SUMIFS($T$2:$T$107,$L$2:$L$107,AI35,$E$2:$E$107,1)+(SUMIFS($T$2:$T$107,$L$2:$L$107,AI35,$E$2:$E$107,2)+SUMIFS($T$2:$T$107,$L$2:$L$107,AI35,$E$2:$E$107,3)+SUMIFS($T$2:$T$107,$L$2:$L$107,AI35,$E$2:$E$107,4))</f>
        <v>8</v>
      </c>
      <c r="CC35" s="58">
        <f t="shared" si="15"/>
        <v>3</v>
      </c>
      <c r="CD35" s="58">
        <f t="shared" si="15"/>
        <v>1</v>
      </c>
      <c r="CE35" s="58">
        <f t="shared" si="16"/>
        <v>16</v>
      </c>
      <c r="CF35" s="58">
        <f t="shared" si="17"/>
        <v>12</v>
      </c>
      <c r="CG35" s="58">
        <f t="shared" si="18"/>
        <v>4</v>
      </c>
      <c r="CH35" s="59">
        <f t="shared" si="19"/>
        <v>3.5</v>
      </c>
      <c r="CI35" s="59">
        <f t="shared" si="19"/>
        <v>4.5</v>
      </c>
      <c r="CJ35" s="59">
        <f t="shared" si="20"/>
        <v>2</v>
      </c>
      <c r="CK35" s="59">
        <f t="shared" si="20"/>
        <v>4</v>
      </c>
      <c r="CL35" s="59">
        <f t="shared" si="21"/>
        <v>4</v>
      </c>
      <c r="CM35" s="59">
        <f t="shared" si="22"/>
        <v>3</v>
      </c>
    </row>
    <row r="36" spans="1:91" x14ac:dyDescent="0.25">
      <c r="A36" s="60" t="str">
        <f t="shared" si="32"/>
        <v>Saturday</v>
      </c>
      <c r="B36" s="62"/>
      <c r="C36" s="63"/>
      <c r="D36" s="62"/>
      <c r="E36" s="65"/>
      <c r="F36" s="66"/>
      <c r="G36" s="65"/>
      <c r="H36" s="65"/>
      <c r="I36" s="65"/>
      <c r="J36" s="65"/>
      <c r="K36" s="65"/>
      <c r="L36" s="66"/>
      <c r="M36" s="66"/>
      <c r="N36" s="66" t="str">
        <f t="shared" si="33"/>
        <v/>
      </c>
      <c r="O36" s="66"/>
      <c r="P36" s="66"/>
      <c r="Q36" s="66"/>
      <c r="R36" s="62"/>
      <c r="S36" s="66"/>
      <c r="T36" s="66"/>
      <c r="U36" s="66"/>
      <c r="V36" s="66" t="str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/>
      </c>
      <c r="W36" s="66" t="str">
        <f t="shared" si="2"/>
        <v/>
      </c>
      <c r="X36" s="79" t="str">
        <f>IF(ISBLANK(Table2[[#This Row],[OTROUNDNUM]]), "", Table2[[#This Row],[PAWAYSCORE]]-Table2[[#This Row],[AAWAYSCORE]])</f>
        <v/>
      </c>
      <c r="Y36" s="79" t="str">
        <f>IF(ISBLANK(Table2[[#This Row],[OTROUNDNUM]]), "", Table2[[#This Row],[PHOMESCORE]]-Table2[[#This Row],[AHOMESCORE]])</f>
        <v/>
      </c>
      <c r="Z36" s="79" t="str">
        <f>IF(ISBLANK(Table2[[#This Row],[GAMENUM]]), " ", IF((Table2[[#This Row],[TOPSEEDWINS]]+Table2[[#This Row],[LOWSEEDWINS]]) &lt;&gt; Table2[[#This Row],[GAMENUM]], 0, 1))</f>
        <v xml:space="preserve"> </v>
      </c>
      <c r="AA36" s="60"/>
      <c r="AB36" s="68"/>
      <c r="AC36" s="14"/>
      <c r="AD36" s="14"/>
      <c r="AE36" s="19"/>
      <c r="AF36" s="14"/>
      <c r="AG36" s="14"/>
      <c r="AH36" s="45"/>
      <c r="AI36" s="53" t="s">
        <v>47</v>
      </c>
      <c r="AJ36" s="60">
        <f>COUNTIFS($L$2:$L$107, AI36, $E$2:$E$107, 1) + COUNTIFS($M$2:$M$107, AI36, $E$2:$E$107, 1)</f>
        <v>3</v>
      </c>
      <c r="AK36" s="60">
        <f>COUNTIFS($L$2:$L$107, AI36, $E$2:$E$107, 2) + COUNTIFS($M$2:$M$107, AI36, $E$2:$E$107, 2)</f>
        <v>0</v>
      </c>
      <c r="AL36" s="60">
        <f>COUNTIFS($L$2:$L$107, AI36, $E$2:$E$107, 3) + COUNTIFS($M$2:$M$107, AI36, $E$2:$E$107, 3)</f>
        <v>0</v>
      </c>
      <c r="AM36" s="60">
        <f>COUNTIFS($L$2:$L$107, AI36, $E$2:$E$107, 4) + COUNTIFS($M$2:$M$107, AI36, $E$2:$E$107, 4)</f>
        <v>0</v>
      </c>
      <c r="AN36" s="60">
        <f t="shared" si="23"/>
        <v>3</v>
      </c>
      <c r="AO36" s="60">
        <f>COUNTIF($M$2:$M$107, AI36)</f>
        <v>2</v>
      </c>
      <c r="AP36" s="60">
        <f>COUNTIF($L$2:$L$107, AI36)</f>
        <v>1</v>
      </c>
      <c r="AQ36" s="60">
        <f t="shared" si="9"/>
        <v>1</v>
      </c>
      <c r="AR36" s="60">
        <f t="shared" si="10"/>
        <v>2</v>
      </c>
      <c r="AS36" s="60">
        <f>SUMPRODUCT(($M$2:$M$107=AI36)*($T$2:$T$107&gt;$S$2:$S$107))</f>
        <v>1</v>
      </c>
      <c r="AT36" s="60">
        <f>SUMPRODUCT(($M$2:$M$107=AI36)*($T$2:$T$107&lt;$S$2:$S$107))</f>
        <v>1</v>
      </c>
      <c r="AU36" s="60">
        <f>SUMPRODUCT(($L$2:$L$107=AI36)*($T$2:$T$107&lt;$S$2:$S$107))</f>
        <v>0</v>
      </c>
      <c r="AV36" s="60">
        <f>SUMPRODUCT(($L$2:$L$107=AI36)*($T$2:$T$107&gt;$S$2:$S$107))</f>
        <v>1</v>
      </c>
      <c r="AW36" s="60">
        <f>COUNTIFS($M$2:$M$107,AI36,$E$2:$E$107,1)</f>
        <v>2</v>
      </c>
      <c r="AX36" s="60">
        <f>COUNTIFS($L$2:$L$107,AI36,$E$2:$E$107,1)</f>
        <v>1</v>
      </c>
      <c r="AY36" s="60">
        <f>SUMIFS($T$2:$T$107, $M$2:$M$107, AI36,$E$2:$E$107, 1)</f>
        <v>6</v>
      </c>
      <c r="AZ36" s="60">
        <f>SUMIFS($S$2:$S$107, $L$2:$L$107, AI36,$E$2:$E$107, 1)</f>
        <v>2</v>
      </c>
      <c r="BA36" s="60">
        <f>SUMIFS($S$2:$S$107, $M$2:$M$107, AI36,$E$2:$E$107, 1)</f>
        <v>5</v>
      </c>
      <c r="BB36" s="60">
        <f>SUMIFS($T$2:$T$107, $L$2:$L$107, AI36,$E$2:$E$107, 1)</f>
        <v>4</v>
      </c>
      <c r="BC36" s="60">
        <f t="shared" si="24"/>
        <v>1</v>
      </c>
      <c r="BD36" s="60">
        <f t="shared" si="24"/>
        <v>-2</v>
      </c>
      <c r="BE36" s="60">
        <f t="shared" si="25"/>
        <v>8</v>
      </c>
      <c r="BF36" s="60">
        <f t="shared" si="26"/>
        <v>9</v>
      </c>
      <c r="BG36" s="60">
        <f t="shared" si="27"/>
        <v>-1</v>
      </c>
      <c r="BH36" s="60">
        <f t="shared" si="28"/>
        <v>3</v>
      </c>
      <c r="BI36" s="60">
        <f t="shared" si="28"/>
        <v>2</v>
      </c>
      <c r="BJ36" s="60">
        <f t="shared" si="29"/>
        <v>2.5</v>
      </c>
      <c r="BK36" s="60">
        <f t="shared" si="29"/>
        <v>4</v>
      </c>
      <c r="BL36" s="60">
        <f t="shared" si="11"/>
        <v>2.6666666666666665</v>
      </c>
      <c r="BM36" s="60">
        <f t="shared" si="12"/>
        <v>3</v>
      </c>
      <c r="BN36" s="68"/>
      <c r="BO36" s="53" t="str">
        <f t="shared" si="13"/>
        <v>VGK</v>
      </c>
      <c r="BP36" s="58">
        <f t="shared" si="14"/>
        <v>3</v>
      </c>
      <c r="BQ36" s="58">
        <f t="shared" si="14"/>
        <v>2</v>
      </c>
      <c r="BR36" s="58">
        <f t="shared" si="14"/>
        <v>1</v>
      </c>
      <c r="BS36" s="58">
        <f t="shared" si="14"/>
        <v>1</v>
      </c>
      <c r="BT36" s="58">
        <f t="shared" si="14"/>
        <v>2</v>
      </c>
      <c r="BU36" s="58">
        <f t="shared" si="14"/>
        <v>1</v>
      </c>
      <c r="BV36" s="58">
        <f t="shared" si="14"/>
        <v>1</v>
      </c>
      <c r="BW36" s="58">
        <f t="shared" si="14"/>
        <v>0</v>
      </c>
      <c r="BX36" s="58">
        <f t="shared" si="14"/>
        <v>1</v>
      </c>
      <c r="BY36" s="58">
        <f>SUMIFS($T$2:$T$107,$M$2:$M$107,AI36,$E$2:$E$107,1)+SUMIFS($T$2:$T$107,$M$2:$M$107,AI36,$E$2:$E$107,2)+SUMIFS($T$2:$T$107,$M$2:$M$107,AI36,$E$2:$E$107,3)+SUMIFS($T$2:$T$107,$M$2:$M$107,AI36,$E$2:$E$107,4)</f>
        <v>6</v>
      </c>
      <c r="BZ36" s="58">
        <f>SUMIFS($S$2:$S$107,$L$2:$L$107,AI36,$E$2:$E$107,1) + SUMIFS($S$2:$S$107,$L$2:$L$107,AI36,$E$2:$E$107,2)+SUMIFS($S$2:$S$107,$L$2:$L$107,AI36,$E$2:$E$107,3)+SUMIFS($S$2:$S$107,$L$2:$L$107,AI36,$E$2:$E$107,4)</f>
        <v>2</v>
      </c>
      <c r="CA36" s="58">
        <f>SUMIFS($S$2:$S$107,$M$2:$M$107,AI36,$E$2:$E$107,1)+SUMIFS($S$2:$S$107,$M$2:$M$107,AI36,$E$2:$E$107,2)+SUMIFS($S$2:$S$107,$M$2:$M$107,AI36,$E$2:$E$107,3)+SUMIFS($S$2:$S$107,$M$2:$M$107,AI36,$E$2:$E$107,4)</f>
        <v>5</v>
      </c>
      <c r="CB36" s="58">
        <f>SUMIFS($T$2:$T$107,$L$2:$L$107,AI36,$E$2:$E$107,1)+(SUMIFS($T$2:$T$107,$L$2:$L$107,AI36,$E$2:$E$107,2)+SUMIFS($T$2:$T$107,$L$2:$L$107,AI36,$E$2:$E$107,3)+SUMIFS($T$2:$T$107,$L$2:$L$107,AI36,$E$2:$E$107,4))</f>
        <v>4</v>
      </c>
      <c r="CC36" s="58">
        <f t="shared" si="15"/>
        <v>1</v>
      </c>
      <c r="CD36" s="58">
        <f t="shared" si="15"/>
        <v>-2</v>
      </c>
      <c r="CE36" s="58">
        <f t="shared" si="16"/>
        <v>8</v>
      </c>
      <c r="CF36" s="58">
        <f t="shared" si="17"/>
        <v>9</v>
      </c>
      <c r="CG36" s="58">
        <f t="shared" si="18"/>
        <v>-1</v>
      </c>
      <c r="CH36" s="59">
        <f t="shared" si="19"/>
        <v>3</v>
      </c>
      <c r="CI36" s="59">
        <f t="shared" si="19"/>
        <v>2</v>
      </c>
      <c r="CJ36" s="59">
        <f t="shared" si="20"/>
        <v>2.5</v>
      </c>
      <c r="CK36" s="59">
        <f t="shared" si="20"/>
        <v>4</v>
      </c>
      <c r="CL36" s="59">
        <f t="shared" si="21"/>
        <v>2.6666666666666665</v>
      </c>
      <c r="CM36" s="59">
        <f t="shared" si="22"/>
        <v>3</v>
      </c>
    </row>
    <row r="37" spans="1:91" x14ac:dyDescent="0.25">
      <c r="A37" s="60" t="str">
        <f t="shared" si="32"/>
        <v>Saturday</v>
      </c>
      <c r="B37" s="62"/>
      <c r="C37" s="63"/>
      <c r="D37" s="62"/>
      <c r="E37" s="65"/>
      <c r="F37" s="66"/>
      <c r="G37" s="65"/>
      <c r="H37" s="65"/>
      <c r="I37" s="65"/>
      <c r="J37" s="65"/>
      <c r="K37" s="65"/>
      <c r="L37" s="66"/>
      <c r="M37" s="66"/>
      <c r="N37" s="66" t="str">
        <f t="shared" si="33"/>
        <v/>
      </c>
      <c r="O37" s="66"/>
      <c r="P37" s="66"/>
      <c r="Q37" s="66"/>
      <c r="R37" s="62"/>
      <c r="S37" s="66"/>
      <c r="T37" s="66"/>
      <c r="U37" s="66"/>
      <c r="V37" s="66" t="str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/>
      </c>
      <c r="W37" s="66" t="str">
        <f t="shared" si="2"/>
        <v/>
      </c>
      <c r="X37" s="79" t="str">
        <f>IF(ISBLANK(Table2[[#This Row],[OTROUNDNUM]]), "", Table2[[#This Row],[PAWAYSCORE]]-Table2[[#This Row],[AAWAYSCORE]])</f>
        <v/>
      </c>
      <c r="Y37" s="79" t="str">
        <f>IF(ISBLANK(Table2[[#This Row],[OTROUNDNUM]]), "", Table2[[#This Row],[PHOMESCORE]]-Table2[[#This Row],[AHOMESCORE]])</f>
        <v/>
      </c>
      <c r="Z37" s="79" t="str">
        <f>IF(ISBLANK(Table2[[#This Row],[GAMENUM]]), " ", IF((Table2[[#This Row],[TOPSEEDWINS]]+Table2[[#This Row],[LOWSEEDWINS]]) &lt;&gt; Table2[[#This Row],[GAMENUM]], 0, 1))</f>
        <v xml:space="preserve"> </v>
      </c>
      <c r="AA37" s="60"/>
      <c r="AB37" s="68"/>
      <c r="AC37" s="14"/>
      <c r="AD37" s="14"/>
      <c r="AE37" s="19"/>
      <c r="AF37" s="14"/>
      <c r="AG37" s="14"/>
      <c r="AH37" s="45"/>
      <c r="AI37" s="122" t="s">
        <v>174</v>
      </c>
      <c r="AJ37" s="60">
        <f>COUNTIFS($L$2:$L$107, AI37, $E$2:$E$107, 1) + COUNTIFS($M$2:$M$107, AI37, $E$2:$E$107, 1)</f>
        <v>3</v>
      </c>
      <c r="AK37" s="60">
        <f>COUNTIFS($L$2:$L$107, AI37, $E$2:$E$107, 2) + COUNTIFS($M$2:$M$107, AI37, $E$2:$E$107, 2)</f>
        <v>0</v>
      </c>
      <c r="AL37" s="60">
        <f>COUNTIFS($L$2:$L$107, AI37, $E$2:$E$107, 3) + COUNTIFS($M$2:$M$107, AI37, $E$2:$E$107, 3)</f>
        <v>0</v>
      </c>
      <c r="AM37" s="60">
        <f>COUNTIFS($L$2:$L$107, AI37, $E$2:$E$107, 4) + COUNTIFS($M$2:$M$107, AI37, $E$2:$E$107, 4)</f>
        <v>0</v>
      </c>
      <c r="AN37" s="60">
        <f t="shared" si="23"/>
        <v>3</v>
      </c>
      <c r="AO37" s="60">
        <f>COUNTIF($M$2:$M$107, AI37)</f>
        <v>1</v>
      </c>
      <c r="AP37" s="60">
        <f>COUNTIF($L$2:$L$107, AI37)</f>
        <v>2</v>
      </c>
      <c r="AQ37" s="60">
        <f t="shared" si="9"/>
        <v>2</v>
      </c>
      <c r="AR37" s="60">
        <f t="shared" si="10"/>
        <v>1</v>
      </c>
      <c r="AS37" s="60">
        <f>SUMPRODUCT(($M$2:$M$107=AI37)*($T$2:$T$107&gt;$S$2:$S$107))</f>
        <v>1</v>
      </c>
      <c r="AT37" s="60">
        <f>SUMPRODUCT(($M$2:$M$107=AI37)*($T$2:$T$107&lt;$S$2:$S$107))</f>
        <v>0</v>
      </c>
      <c r="AU37" s="60">
        <f>SUMPRODUCT(($L$2:$L$107=AI37)*($T$2:$T$107&lt;$S$2:$S$107))</f>
        <v>1</v>
      </c>
      <c r="AV37" s="60">
        <f>SUMPRODUCT(($L$2:$L$107=AI37)*($T$2:$T$107&gt;$S$2:$S$107))</f>
        <v>1</v>
      </c>
      <c r="AW37" s="60">
        <f>COUNTIFS($M$2:$M$107,AI37,$E$2:$E$107,1)</f>
        <v>1</v>
      </c>
      <c r="AX37" s="60">
        <f>COUNTIFS($L$2:$L$107,AI37,$E$2:$E$107,1)</f>
        <v>2</v>
      </c>
      <c r="AY37" s="60">
        <f>SUMIFS($T$2:$T$107, $M$2:$M$107, AI37,$E$2:$E$107, 1)</f>
        <v>4</v>
      </c>
      <c r="AZ37" s="60">
        <f>SUMIFS($S$2:$S$107, $L$2:$L$107, AI37,$E$2:$E$107, 1)</f>
        <v>5</v>
      </c>
      <c r="BA37" s="60">
        <f>SUMIFS($S$2:$S$107, $M$2:$M$107, AI37,$E$2:$E$107, 1)</f>
        <v>2</v>
      </c>
      <c r="BB37" s="60">
        <f>SUMIFS($T$2:$T$107, $L$2:$L$107, AI37,$E$2:$E$107, 1)</f>
        <v>6</v>
      </c>
      <c r="BC37" s="60">
        <f t="shared" si="24"/>
        <v>2</v>
      </c>
      <c r="BD37" s="60">
        <f t="shared" si="24"/>
        <v>-1</v>
      </c>
      <c r="BE37" s="60">
        <f t="shared" si="25"/>
        <v>9</v>
      </c>
      <c r="BF37" s="60">
        <f t="shared" si="26"/>
        <v>8</v>
      </c>
      <c r="BG37" s="60">
        <f t="shared" si="27"/>
        <v>1</v>
      </c>
      <c r="BH37" s="60">
        <f t="shared" si="28"/>
        <v>4</v>
      </c>
      <c r="BI37" s="60">
        <f t="shared" si="28"/>
        <v>2.5</v>
      </c>
      <c r="BJ37" s="60">
        <f t="shared" si="29"/>
        <v>2</v>
      </c>
      <c r="BK37" s="60">
        <f t="shared" si="29"/>
        <v>3</v>
      </c>
      <c r="BL37" s="60">
        <f t="shared" si="11"/>
        <v>3</v>
      </c>
      <c r="BM37" s="60">
        <f t="shared" si="12"/>
        <v>2.6666666666666665</v>
      </c>
      <c r="BN37" s="68"/>
      <c r="BO37" s="122" t="str">
        <f t="shared" si="13"/>
        <v>UTA</v>
      </c>
      <c r="BP37" s="58">
        <f t="shared" si="14"/>
        <v>3</v>
      </c>
      <c r="BQ37" s="58">
        <f t="shared" si="14"/>
        <v>1</v>
      </c>
      <c r="BR37" s="58">
        <f t="shared" si="14"/>
        <v>2</v>
      </c>
      <c r="BS37" s="58">
        <f t="shared" si="14"/>
        <v>2</v>
      </c>
      <c r="BT37" s="58">
        <f t="shared" si="14"/>
        <v>1</v>
      </c>
      <c r="BU37" s="58">
        <f t="shared" si="14"/>
        <v>1</v>
      </c>
      <c r="BV37" s="58">
        <f t="shared" si="14"/>
        <v>0</v>
      </c>
      <c r="BW37" s="58">
        <f t="shared" si="14"/>
        <v>1</v>
      </c>
      <c r="BX37" s="58">
        <f t="shared" si="14"/>
        <v>1</v>
      </c>
      <c r="BY37" s="58">
        <f>SUMIFS($T$2:$T$107,$M$2:$M$107,AI37,$E$2:$E$107,1)+SUMIFS($T$2:$T$107,$M$2:$M$107,AI37,$E$2:$E$107,2)+SUMIFS($T$2:$T$107,$M$2:$M$107,AI37,$E$2:$E$107,3)+SUMIFS($T$2:$T$107,$M$2:$M$107,AI37,$E$2:$E$107,4)</f>
        <v>4</v>
      </c>
      <c r="BZ37" s="58">
        <f>SUMIFS($S$2:$S$107,$L$2:$L$107,AI37,$E$2:$E$107,1) + SUMIFS($S$2:$S$107,$L$2:$L$107,AI37,$E$2:$E$107,2)+SUMIFS($S$2:$S$107,$L$2:$L$107,AI37,$E$2:$E$107,3)+SUMIFS($S$2:$S$107,$L$2:$L$107,AI37,$E$2:$E$107,4)</f>
        <v>5</v>
      </c>
      <c r="CA37" s="58">
        <f>SUMIFS($S$2:$S$107,$M$2:$M$107,AI37,$E$2:$E$107,1)+SUMIFS($S$2:$S$107,$M$2:$M$107,AI37,$E$2:$E$107,2)+SUMIFS($S$2:$S$107,$M$2:$M$107,AI37,$E$2:$E$107,3)+SUMIFS($S$2:$S$107,$M$2:$M$107,AI37,$E$2:$E$107,4)</f>
        <v>2</v>
      </c>
      <c r="CB37" s="58">
        <f>SUMIFS($T$2:$T$107,$L$2:$L$107,AI37,$E$2:$E$107,1)+(SUMIFS($T$2:$T$107,$L$2:$L$107,AI37,$E$2:$E$107,2)+SUMIFS($T$2:$T$107,$L$2:$L$107,AI37,$E$2:$E$107,3)+SUMIFS($T$2:$T$107,$L$2:$L$107,AI37,$E$2:$E$107,4))</f>
        <v>6</v>
      </c>
      <c r="CC37" s="58">
        <f t="shared" si="15"/>
        <v>2</v>
      </c>
      <c r="CD37" s="58">
        <f t="shared" si="15"/>
        <v>-1</v>
      </c>
      <c r="CE37" s="58">
        <f t="shared" si="16"/>
        <v>9</v>
      </c>
      <c r="CF37" s="58">
        <f t="shared" si="17"/>
        <v>8</v>
      </c>
      <c r="CG37" s="58">
        <f t="shared" si="18"/>
        <v>1</v>
      </c>
      <c r="CH37" s="59">
        <f t="shared" si="19"/>
        <v>4</v>
      </c>
      <c r="CI37" s="59">
        <f t="shared" si="19"/>
        <v>2.5</v>
      </c>
      <c r="CJ37" s="59">
        <f t="shared" si="20"/>
        <v>2</v>
      </c>
      <c r="CK37" s="59">
        <f t="shared" si="20"/>
        <v>3</v>
      </c>
      <c r="CL37" s="59">
        <f t="shared" si="21"/>
        <v>3</v>
      </c>
      <c r="CM37" s="59">
        <f t="shared" si="22"/>
        <v>2.6666666666666665</v>
      </c>
    </row>
    <row r="38" spans="1:91" x14ac:dyDescent="0.25">
      <c r="A38" s="60" t="str">
        <f t="shared" si="32"/>
        <v>Saturday</v>
      </c>
      <c r="B38" s="62"/>
      <c r="C38" s="63"/>
      <c r="D38" s="62"/>
      <c r="E38" s="65"/>
      <c r="F38" s="66"/>
      <c r="G38" s="65"/>
      <c r="H38" s="65"/>
      <c r="I38" s="65"/>
      <c r="J38" s="65"/>
      <c r="K38" s="65"/>
      <c r="L38" s="66"/>
      <c r="M38" s="66"/>
      <c r="N38" s="66" t="str">
        <f t="shared" si="33"/>
        <v/>
      </c>
      <c r="O38" s="66"/>
      <c r="P38" s="66"/>
      <c r="Q38" s="66"/>
      <c r="R38" s="62"/>
      <c r="S38" s="66"/>
      <c r="T38" s="66"/>
      <c r="U38" s="66"/>
      <c r="V38" s="66" t="str">
        <f>IF(ISBLANK(Table2[[#This Row],[OTROUNDNUM]]),"",IF(Table2[[#This Row],[AAWAYSCORE]]=Table2[[#This Row],[AHOMESCORE]],0,IF(Table2[[#This Row],[AWAYTEAM]]=Table2[[#This Row],[MYCHOICE]],IF(Table2[[#This Row],[AAWAYSCORE]]&gt;Table2[[#This Row],[AHOMESCORE]],1,0),IF(Table2[[#This Row],[AHOMESCORE]]&gt;Table2[[#This Row],[AAWAYSCORE]],1,0))))</f>
        <v/>
      </c>
      <c r="W38" s="66" t="str">
        <f t="shared" si="2"/>
        <v/>
      </c>
      <c r="X38" s="79" t="str">
        <f>IF(ISBLANK(Table2[[#This Row],[OTROUNDNUM]]), "", Table2[[#This Row],[PAWAYSCORE]]-Table2[[#This Row],[AAWAYSCORE]])</f>
        <v/>
      </c>
      <c r="Y38" s="79" t="str">
        <f>IF(ISBLANK(Table2[[#This Row],[OTROUNDNUM]]), "", Table2[[#This Row],[PHOMESCORE]]-Table2[[#This Row],[AHOMESCORE]])</f>
        <v/>
      </c>
      <c r="Z38" s="79" t="str">
        <f>IF(ISBLANK(Table2[[#This Row],[GAMENUM]]), " ", IF((Table2[[#This Row],[TOPSEEDWINS]]+Table2[[#This Row],[LOWSEEDWINS]]) &lt;&gt; Table2[[#This Row],[GAMENUM]], 0, 1))</f>
        <v xml:space="preserve"> </v>
      </c>
      <c r="AA38" s="60"/>
      <c r="AB38" s="68"/>
      <c r="AC38" s="14"/>
      <c r="AD38" s="14"/>
      <c r="AE38" s="19"/>
      <c r="AF38" s="14"/>
      <c r="AG38" s="14"/>
      <c r="AH38" s="45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14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80"/>
    </row>
    <row r="39" spans="1:91" x14ac:dyDescent="0.25">
      <c r="A39" s="60"/>
      <c r="B39" s="62"/>
      <c r="C39" s="63"/>
      <c r="D39" s="62"/>
      <c r="E39" s="65"/>
      <c r="F39" s="66"/>
      <c r="G39" s="65"/>
      <c r="H39" s="65"/>
      <c r="I39" s="65"/>
      <c r="J39" s="65"/>
      <c r="K39" s="65"/>
      <c r="L39" s="66"/>
      <c r="M39" s="66"/>
      <c r="N39" s="66"/>
      <c r="O39" s="66"/>
      <c r="P39" s="66"/>
      <c r="Q39" s="66"/>
      <c r="R39" s="62"/>
      <c r="S39" s="66"/>
      <c r="T39" s="66"/>
      <c r="U39" s="66"/>
      <c r="V39" s="66"/>
      <c r="W39" s="66" t="str">
        <f t="shared" si="2"/>
        <v/>
      </c>
      <c r="X39" s="66"/>
      <c r="Y39" s="66"/>
      <c r="Z39" s="66"/>
      <c r="AA39" s="60"/>
      <c r="AB39" s="68"/>
      <c r="AC39" s="14"/>
      <c r="AD39" s="14"/>
      <c r="AE39" s="19"/>
      <c r="AF39" s="14"/>
      <c r="AG39" s="14"/>
      <c r="AH39" s="45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33"/>
    </row>
    <row r="40" spans="1:91" x14ac:dyDescent="0.25">
      <c r="A40" s="60"/>
      <c r="B40" s="62"/>
      <c r="C40" s="63"/>
      <c r="D40" s="62"/>
      <c r="E40" s="65"/>
      <c r="F40" s="66"/>
      <c r="G40" s="65"/>
      <c r="H40" s="65"/>
      <c r="I40" s="65"/>
      <c r="J40" s="65"/>
      <c r="K40" s="65"/>
      <c r="L40" s="66"/>
      <c r="M40" s="66"/>
      <c r="N40" s="66"/>
      <c r="O40" s="66"/>
      <c r="P40" s="66"/>
      <c r="Q40" s="66"/>
      <c r="R40" s="62"/>
      <c r="S40" s="66"/>
      <c r="T40" s="66"/>
      <c r="U40" s="66"/>
      <c r="V40" s="66"/>
      <c r="W40" s="66" t="str">
        <f t="shared" si="2"/>
        <v/>
      </c>
      <c r="X40" s="66"/>
      <c r="Y40" s="66"/>
      <c r="Z40" s="66"/>
      <c r="AA40" s="60"/>
      <c r="AB40" s="68"/>
      <c r="AC40" s="14"/>
      <c r="AD40" s="14"/>
      <c r="AE40" s="19"/>
      <c r="AF40" s="14"/>
      <c r="AG40" s="14"/>
      <c r="AH40" s="45"/>
      <c r="AI40" s="39" t="s">
        <v>164</v>
      </c>
      <c r="AJ40" s="39" t="s">
        <v>57</v>
      </c>
      <c r="AK40" s="39" t="s">
        <v>58</v>
      </c>
      <c r="AL40" s="39" t="s">
        <v>59</v>
      </c>
      <c r="AM40" s="39" t="s">
        <v>60</v>
      </c>
      <c r="AN40" s="39" t="s">
        <v>61</v>
      </c>
      <c r="AO40" s="39" t="s">
        <v>62</v>
      </c>
      <c r="AP40" s="39" t="s">
        <v>63</v>
      </c>
      <c r="AQ40" s="39" t="s">
        <v>64</v>
      </c>
      <c r="AR40" s="39" t="s">
        <v>65</v>
      </c>
      <c r="AS40" s="39" t="s">
        <v>66</v>
      </c>
      <c r="AT40" s="39" t="s">
        <v>67</v>
      </c>
      <c r="AU40" s="39" t="s">
        <v>68</v>
      </c>
      <c r="AV40" s="39" t="s">
        <v>69</v>
      </c>
      <c r="AW40" s="39" t="s">
        <v>103</v>
      </c>
      <c r="AX40" s="39" t="s">
        <v>104</v>
      </c>
      <c r="AY40" s="39" t="s">
        <v>105</v>
      </c>
      <c r="AZ40" s="39" t="s">
        <v>106</v>
      </c>
      <c r="BA40" s="39" t="s">
        <v>107</v>
      </c>
      <c r="BB40" s="39" t="s">
        <v>108</v>
      </c>
      <c r="BC40" s="39" t="s">
        <v>109</v>
      </c>
      <c r="BD40" s="39" t="s">
        <v>110</v>
      </c>
      <c r="BE40" s="39" t="s">
        <v>111</v>
      </c>
      <c r="BF40" s="39" t="s">
        <v>112</v>
      </c>
      <c r="BG40" s="39" t="s">
        <v>113</v>
      </c>
      <c r="BH40" s="106" t="s">
        <v>114</v>
      </c>
      <c r="BI40" s="106" t="s">
        <v>115</v>
      </c>
      <c r="BJ40" s="106" t="s">
        <v>116</v>
      </c>
      <c r="BK40" s="106" t="s">
        <v>117</v>
      </c>
      <c r="BL40" s="106" t="s">
        <v>118</v>
      </c>
      <c r="BM40" s="106" t="s">
        <v>119</v>
      </c>
      <c r="BN40" s="68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33"/>
    </row>
    <row r="41" spans="1:91" x14ac:dyDescent="0.25">
      <c r="A41" s="60"/>
      <c r="B41" s="62"/>
      <c r="C41" s="63"/>
      <c r="D41" s="62"/>
      <c r="E41" s="65"/>
      <c r="F41" s="66"/>
      <c r="G41" s="65"/>
      <c r="H41" s="65"/>
      <c r="I41" s="65"/>
      <c r="J41" s="65"/>
      <c r="K41" s="65"/>
      <c r="L41" s="66"/>
      <c r="M41" s="66"/>
      <c r="N41" s="66"/>
      <c r="O41" s="66"/>
      <c r="P41" s="66"/>
      <c r="Q41" s="66"/>
      <c r="R41" s="62"/>
      <c r="S41" s="66"/>
      <c r="T41" s="66"/>
      <c r="U41" s="66"/>
      <c r="V41" s="66"/>
      <c r="W41" s="66" t="str">
        <f t="shared" si="2"/>
        <v/>
      </c>
      <c r="X41" s="66"/>
      <c r="Y41" s="66"/>
      <c r="Z41" s="66"/>
      <c r="AA41" s="60"/>
      <c r="AB41" s="68"/>
      <c r="AC41" s="14"/>
      <c r="AD41" s="14"/>
      <c r="AE41" s="19"/>
      <c r="AF41" s="14"/>
      <c r="AG41" s="14"/>
      <c r="AH41" s="45"/>
      <c r="AI41" s="60"/>
      <c r="AJ41" s="60">
        <f>COUNTIFS($L$2:$L$107, AI41, $E$2:$E$107, 1) + COUNTIFS($M$2:$M$107, AI41, $E$2:$E$107, 1)</f>
        <v>0</v>
      </c>
      <c r="AK41" s="60">
        <f>COUNTIFS($L$2:$L$107, AI41, $E$2:$E$107, 2) + COUNTIFS($M$2:$M$107, AI41, $E$2:$E$107, 2)</f>
        <v>0</v>
      </c>
      <c r="AL41" s="60">
        <f>COUNTIFS($L$2:$L$107, AI41, $E$2:$E$107, 3) + COUNTIFS($M$2:$M$107, AI41, $E$2:$E$107, 3)</f>
        <v>0</v>
      </c>
      <c r="AM41" s="60">
        <f>COUNTIFS($L$2:$L$107, AI41, $E$2:$E$107, 4) + COUNTIFS($M$2:$M$107, AI41, $E$2:$E$107, 4)</f>
        <v>0</v>
      </c>
      <c r="AN41" s="60">
        <f>AJ41+AK41+AL41+AM41</f>
        <v>0</v>
      </c>
      <c r="AO41" s="60">
        <f>COUNTIF($M$2:$M$107, AI41)</f>
        <v>0</v>
      </c>
      <c r="AP41" s="60">
        <f>COUNTIF($L$2:$L$107, AI41)</f>
        <v>0</v>
      </c>
      <c r="AQ41" s="60">
        <f>AS41+AU41</f>
        <v>0</v>
      </c>
      <c r="AR41" s="60">
        <f>AN41-AQ41</f>
        <v>0</v>
      </c>
      <c r="AS41" s="60">
        <f>SUMPRODUCT(($M$2:$M$107=AI41)*($T$2:$T$107&gt;$S$2:$S$107))</f>
        <v>0</v>
      </c>
      <c r="AT41" s="60">
        <f>SUMPRODUCT(($M$2:$M$107=AI22)*($T$2:$T$107&lt;$S$2:$S$107))</f>
        <v>0</v>
      </c>
      <c r="AU41" s="60">
        <f>SUMPRODUCT(($L$2:$L$107=AI41)*($T$2:$T$107&lt;$S$2:$S$107))</f>
        <v>0</v>
      </c>
      <c r="AV41" s="60">
        <f>SUMPRODUCT(($L$2:$L$107=AI41)*($T$2:$T$107&gt;$S$2:$S$107))</f>
        <v>0</v>
      </c>
      <c r="AW41" s="60">
        <f>COUNTIFS($M$2:$M$107,AI41,$E$2:$E$107,2)</f>
        <v>0</v>
      </c>
      <c r="AX41" s="60">
        <f>COUNTIFS($L$2:$L$107,AI41,$E$2:$E$107,2)</f>
        <v>0</v>
      </c>
      <c r="AY41" s="60">
        <f>SUMIFS($T$2:$T$107, $M$2:$M$107, AI41,$E$2:$E$107, 2)</f>
        <v>0</v>
      </c>
      <c r="AZ41" s="60">
        <f>SUMIFS($S$2:$S$107, $L$2:$L$107, AI41,$E$2:$E$107, 2)</f>
        <v>0</v>
      </c>
      <c r="BA41" s="60">
        <f>SUMIFS($S$2:$S$107, $M$2:$M$107, AI41,$E$2:$E$107, 2)</f>
        <v>0</v>
      </c>
      <c r="BB41" s="60">
        <f>SUMIFS($T$2:$T$107, $L$2:$L$107, AI41,$E$2:$E$107, 2)</f>
        <v>0</v>
      </c>
      <c r="BC41" s="60">
        <f>AY41-BA41</f>
        <v>0</v>
      </c>
      <c r="BD41" s="60">
        <f>AZ41-BB41</f>
        <v>0</v>
      </c>
      <c r="BE41" s="60">
        <f>AY41+AZ41</f>
        <v>0</v>
      </c>
      <c r="BF41" s="60">
        <f>BA41+BB41</f>
        <v>0</v>
      </c>
      <c r="BG41" s="60">
        <f>(AY41+AZ41)-(BA41+BB41)</f>
        <v>0</v>
      </c>
      <c r="BH41" t="e">
        <f>AY41/AW41</f>
        <v>#DIV/0!</v>
      </c>
      <c r="BI41" t="e">
        <f>AZ41/AX41</f>
        <v>#DIV/0!</v>
      </c>
      <c r="BJ41" t="e">
        <f>BA41/AW41</f>
        <v>#DIV/0!</v>
      </c>
      <c r="BK41" t="e">
        <f>BB41/AX41</f>
        <v>#DIV/0!</v>
      </c>
      <c r="BL41" t="e">
        <f>BE41/AJ41</f>
        <v>#DIV/0!</v>
      </c>
      <c r="BM41" t="e">
        <f>BF41/AJ41</f>
        <v>#DIV/0!</v>
      </c>
      <c r="BN41" s="68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33"/>
    </row>
    <row r="42" spans="1:91" x14ac:dyDescent="0.25">
      <c r="A42" s="60"/>
      <c r="B42" s="62"/>
      <c r="C42" s="63"/>
      <c r="D42" s="62"/>
      <c r="E42" s="65"/>
      <c r="F42" s="66"/>
      <c r="G42" s="65"/>
      <c r="H42" s="65"/>
      <c r="I42" s="65"/>
      <c r="J42" s="65"/>
      <c r="K42" s="65"/>
      <c r="L42" s="66"/>
      <c r="M42" s="66"/>
      <c r="N42" s="66"/>
      <c r="O42" s="66"/>
      <c r="P42" s="66"/>
      <c r="Q42" s="66"/>
      <c r="R42" s="62"/>
      <c r="S42" s="66"/>
      <c r="T42" s="66"/>
      <c r="U42" s="66"/>
      <c r="V42" s="66"/>
      <c r="W42" s="66" t="str">
        <f t="shared" si="2"/>
        <v/>
      </c>
      <c r="X42" s="66"/>
      <c r="Y42" s="66"/>
      <c r="Z42" s="66"/>
      <c r="AA42" s="60"/>
      <c r="AB42" s="68"/>
      <c r="AC42" s="14"/>
      <c r="AD42" s="14"/>
      <c r="AE42" s="14"/>
      <c r="AF42" s="14"/>
      <c r="AG42" s="14"/>
      <c r="AH42" s="45"/>
      <c r="AI42" s="60"/>
      <c r="AJ42" s="60">
        <f>COUNTIFS($L$2:$L$107, AI42, $E$2:$E$107, 1) + COUNTIFS($M$2:$M$107, AI42, $E$2:$E$107, 1)</f>
        <v>0</v>
      </c>
      <c r="AK42" s="60">
        <f>COUNTIFS($L$2:$L$107, AI42, $E$2:$E$107, 2) + COUNTIFS($M$2:$M$107, AI42, $E$2:$E$107, 2)</f>
        <v>0</v>
      </c>
      <c r="AL42" s="60">
        <f>COUNTIFS($L$2:$L$107, AI42, $E$2:$E$107, 3) + COUNTIFS($M$2:$M$107, AI42, $E$2:$E$107, 3)</f>
        <v>0</v>
      </c>
      <c r="AM42" s="60">
        <f>COUNTIFS($L$2:$L$107, AI42, $E$2:$E$107, 4) + COUNTIFS($M$2:$M$107, AI42, $E$2:$E$107, 4)</f>
        <v>0</v>
      </c>
      <c r="AN42" s="60">
        <f t="shared" ref="AN42:AN48" si="34">AJ42+AK42+AL42+AM42</f>
        <v>0</v>
      </c>
      <c r="AO42" s="60">
        <f>COUNTIF($M$2:$M$107, AI42)</f>
        <v>0</v>
      </c>
      <c r="AP42" s="60">
        <f>COUNTIF($L$2:$L$107, AI42)</f>
        <v>0</v>
      </c>
      <c r="AQ42" s="60">
        <f t="shared" ref="AQ42:AQ48" si="35">AS42+AU42</f>
        <v>0</v>
      </c>
      <c r="AR42" s="60">
        <f t="shared" ref="AR42:AR48" si="36">AN42-AQ42</f>
        <v>0</v>
      </c>
      <c r="AS42" s="60">
        <f>SUMPRODUCT(($M$2:$M$107=AI42)*($T$2:$T$107&gt;$S$2:$S$107))</f>
        <v>0</v>
      </c>
      <c r="AT42" s="60">
        <f>SUMPRODUCT(($M$2:$M$107=AI23)*($T$2:$T$107&lt;$S$2:$S$107))</f>
        <v>1</v>
      </c>
      <c r="AU42" s="60">
        <f>SUMPRODUCT(($L$2:$L$107=AI42)*($T$2:$T$107&lt;$S$2:$S$107))</f>
        <v>0</v>
      </c>
      <c r="AV42" s="60">
        <f>SUMPRODUCT(($L$2:$L$107=AI42)*($T$2:$T$107&gt;$S$2:$S$107))</f>
        <v>0</v>
      </c>
      <c r="AW42" s="60">
        <f>COUNTIFS($M$2:$M$107,AI42,$E$2:$E$107,2)</f>
        <v>0</v>
      </c>
      <c r="AX42" s="60">
        <f>COUNTIFS($L$2:$L$107,AI42,$E$2:$E$107,2)</f>
        <v>0</v>
      </c>
      <c r="AY42" s="60">
        <f>SUMIFS($T$2:$T$107, $M$2:$M$107, AI42,$E$2:$E$107, 2)</f>
        <v>0</v>
      </c>
      <c r="AZ42" s="60">
        <f>SUMIFS($S$2:$S$107, $L$2:$L$107, AI42,$E$2:$E$107, 2)</f>
        <v>0</v>
      </c>
      <c r="BA42" s="60">
        <f>SUMIFS($S$2:$S$107, $M$2:$M$107, AI42,$E$2:$E$107, 2)</f>
        <v>0</v>
      </c>
      <c r="BB42" s="60">
        <f>SUMIFS($T$2:$T$107, $L$2:$L$107, AI42,$E$2:$E$107, 2)</f>
        <v>0</v>
      </c>
      <c r="BC42" s="60">
        <f t="shared" ref="BC42:BD48" si="37">AY42-BA42</f>
        <v>0</v>
      </c>
      <c r="BD42" s="60">
        <f t="shared" si="37"/>
        <v>0</v>
      </c>
      <c r="BE42" s="60">
        <f t="shared" ref="BE42:BE48" si="38">AY42+AZ42</f>
        <v>0</v>
      </c>
      <c r="BF42" s="60">
        <f t="shared" ref="BF42:BF48" si="39">BA42+BB42</f>
        <v>0</v>
      </c>
      <c r="BG42" s="60">
        <f t="shared" ref="BG42:BG48" si="40">(AY42+AZ42)-(BA42+BB42)</f>
        <v>0</v>
      </c>
      <c r="BH42" t="e">
        <f t="shared" ref="BH42:BI48" si="41">AY42/AW42</f>
        <v>#DIV/0!</v>
      </c>
      <c r="BI42" t="e">
        <f t="shared" si="41"/>
        <v>#DIV/0!</v>
      </c>
      <c r="BJ42" t="e">
        <f t="shared" ref="BJ42:BK48" si="42">BA42/AW42</f>
        <v>#DIV/0!</v>
      </c>
      <c r="BK42" t="e">
        <f t="shared" si="42"/>
        <v>#DIV/0!</v>
      </c>
      <c r="BL42" s="60" t="e">
        <f t="shared" ref="BL42:BL48" si="43">BE42/AJ42</f>
        <v>#DIV/0!</v>
      </c>
      <c r="BM42" s="60" t="e">
        <f t="shared" ref="BM42:BM48" si="44">BF42/AJ42</f>
        <v>#DIV/0!</v>
      </c>
      <c r="BN42" s="68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33"/>
    </row>
    <row r="43" spans="1:91" x14ac:dyDescent="0.25">
      <c r="A43" s="60"/>
      <c r="B43" s="62"/>
      <c r="C43" s="63"/>
      <c r="D43" s="62"/>
      <c r="E43" s="65"/>
      <c r="F43" s="66"/>
      <c r="G43" s="65"/>
      <c r="H43" s="65"/>
      <c r="I43" s="65"/>
      <c r="J43" s="65"/>
      <c r="K43" s="65"/>
      <c r="L43" s="66"/>
      <c r="M43" s="66"/>
      <c r="N43" s="66"/>
      <c r="O43" s="66"/>
      <c r="P43" s="66"/>
      <c r="Q43" s="66"/>
      <c r="R43" s="62"/>
      <c r="S43" s="66"/>
      <c r="T43" s="66"/>
      <c r="U43" s="66"/>
      <c r="V43" s="66"/>
      <c r="W43" s="66" t="str">
        <f t="shared" si="2"/>
        <v/>
      </c>
      <c r="X43" s="66"/>
      <c r="Y43" s="66"/>
      <c r="Z43" s="66"/>
      <c r="AA43" s="60"/>
      <c r="AB43" s="68"/>
      <c r="AC43" s="14"/>
      <c r="AD43" s="14"/>
      <c r="AE43" s="14"/>
      <c r="AF43" s="14"/>
      <c r="AG43" s="14"/>
      <c r="AH43" s="45"/>
      <c r="AI43" s="60"/>
      <c r="AJ43" s="60">
        <f>COUNTIFS($L$2:$L$107, AI43, $E$2:$E$107, 1) + COUNTIFS($M$2:$M$107, AI43, $E$2:$E$107, 1)</f>
        <v>0</v>
      </c>
      <c r="AK43" s="60">
        <f>COUNTIFS($L$2:$L$107, AI43, $E$2:$E$107, 2) + COUNTIFS($M$2:$M$107, AI43, $E$2:$E$107, 2)</f>
        <v>0</v>
      </c>
      <c r="AL43" s="60">
        <f>COUNTIFS($L$2:$L$107, AI43, $E$2:$E$107, 3) + COUNTIFS($M$2:$M$107, AI43, $E$2:$E$107, 3)</f>
        <v>0</v>
      </c>
      <c r="AM43" s="60">
        <f>COUNTIFS($L$2:$L$107, AI43, $E$2:$E$107, 4) + COUNTIFS($M$2:$M$107, AI43, $E$2:$E$107, 4)</f>
        <v>0</v>
      </c>
      <c r="AN43" s="60">
        <f t="shared" si="34"/>
        <v>0</v>
      </c>
      <c r="AO43" s="60">
        <f>COUNTIF($M$2:$M$107, AI43)</f>
        <v>0</v>
      </c>
      <c r="AP43" s="60">
        <f>COUNTIF($L$2:$L$107, AI43)</f>
        <v>0</v>
      </c>
      <c r="AQ43" s="60">
        <f t="shared" si="35"/>
        <v>0</v>
      </c>
      <c r="AR43" s="60">
        <f t="shared" si="36"/>
        <v>0</v>
      </c>
      <c r="AS43" s="60">
        <f>SUMPRODUCT(($M$2:$M$107=AI43)*($T$2:$T$107&gt;$S$2:$S$107))</f>
        <v>0</v>
      </c>
      <c r="AT43" s="60">
        <f>SUMPRODUCT(($M$2:$M$107=AI24)*($T$2:$T$107&lt;$S$2:$S$107))</f>
        <v>1</v>
      </c>
      <c r="AU43" s="60">
        <f>SUMPRODUCT(($L$2:$L$107=AI43)*($T$2:$T$107&lt;$S$2:$S$107))</f>
        <v>0</v>
      </c>
      <c r="AV43" s="60">
        <f>SUMPRODUCT(($L$2:$L$107=AI43)*($T$2:$T$107&gt;$S$2:$S$107))</f>
        <v>0</v>
      </c>
      <c r="AW43" s="60">
        <f>COUNTIFS($M$2:$M$107,AI43,$E$2:$E$107,2)</f>
        <v>0</v>
      </c>
      <c r="AX43" s="60">
        <f>COUNTIFS($L$2:$L$107,AI43,$E$2:$E$107,2)</f>
        <v>0</v>
      </c>
      <c r="AY43" s="60">
        <f>SUMIFS($T$2:$T$107, $M$2:$M$107, AI43,$E$2:$E$107, 2)</f>
        <v>0</v>
      </c>
      <c r="AZ43" s="60">
        <f>SUMIFS($S$2:$S$107, $L$2:$L$107, AI43,$E$2:$E$107, 2)</f>
        <v>0</v>
      </c>
      <c r="BA43" s="60">
        <f>SUMIFS($S$2:$S$107, $M$2:$M$107, AI43,$E$2:$E$107, 2)</f>
        <v>0</v>
      </c>
      <c r="BB43" s="60">
        <f>SUMIFS($T$2:$T$107, $L$2:$L$107, AI43,$E$2:$E$107, 2)</f>
        <v>0</v>
      </c>
      <c r="BC43" s="60">
        <f t="shared" si="37"/>
        <v>0</v>
      </c>
      <c r="BD43" s="60">
        <f t="shared" si="37"/>
        <v>0</v>
      </c>
      <c r="BE43" s="60">
        <f t="shared" si="38"/>
        <v>0</v>
      </c>
      <c r="BF43" s="60">
        <f t="shared" si="39"/>
        <v>0</v>
      </c>
      <c r="BG43" s="60">
        <f t="shared" si="40"/>
        <v>0</v>
      </c>
      <c r="BH43" t="e">
        <f t="shared" si="41"/>
        <v>#DIV/0!</v>
      </c>
      <c r="BI43" t="e">
        <f t="shared" si="41"/>
        <v>#DIV/0!</v>
      </c>
      <c r="BJ43" t="e">
        <f t="shared" si="42"/>
        <v>#DIV/0!</v>
      </c>
      <c r="BK43" t="e">
        <f t="shared" si="42"/>
        <v>#DIV/0!</v>
      </c>
      <c r="BL43" t="e">
        <f t="shared" si="43"/>
        <v>#DIV/0!</v>
      </c>
      <c r="BM43" t="e">
        <f t="shared" si="44"/>
        <v>#DIV/0!</v>
      </c>
      <c r="BN43" s="68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33"/>
    </row>
    <row r="44" spans="1:91" x14ac:dyDescent="0.25">
      <c r="A44" s="60"/>
      <c r="B44" s="62"/>
      <c r="C44" s="63"/>
      <c r="D44" s="62"/>
      <c r="E44" s="65"/>
      <c r="F44" s="66"/>
      <c r="G44" s="65"/>
      <c r="H44" s="65"/>
      <c r="I44" s="65"/>
      <c r="J44" s="65"/>
      <c r="K44" s="65"/>
      <c r="L44" s="66"/>
      <c r="M44" s="66"/>
      <c r="N44" s="66"/>
      <c r="O44" s="66"/>
      <c r="P44" s="66"/>
      <c r="Q44" s="66"/>
      <c r="R44" s="62"/>
      <c r="S44" s="66"/>
      <c r="T44" s="66"/>
      <c r="U44" s="66"/>
      <c r="V44" s="66"/>
      <c r="W44" s="66" t="str">
        <f t="shared" si="2"/>
        <v/>
      </c>
      <c r="X44" s="66"/>
      <c r="Y44" s="66"/>
      <c r="Z44" s="66"/>
      <c r="AA44" s="60"/>
      <c r="AB44" s="68"/>
      <c r="AC44" s="14"/>
      <c r="AD44" s="14"/>
      <c r="AE44" s="14"/>
      <c r="AF44" s="14"/>
      <c r="AG44" s="14"/>
      <c r="AH44" s="45"/>
      <c r="AI44" s="60"/>
      <c r="AJ44" s="60">
        <f>COUNTIFS($L$2:$L$107, AI44, $E$2:$E$107, 1) + COUNTIFS($M$2:$M$107, AI44, $E$2:$E$107, 1)</f>
        <v>0</v>
      </c>
      <c r="AK44" s="60">
        <f>COUNTIFS($L$2:$L$107, AI44, $E$2:$E$107, 2) + COUNTIFS($M$2:$M$107, AI44, $E$2:$E$107, 2)</f>
        <v>0</v>
      </c>
      <c r="AL44" s="60">
        <f>COUNTIFS($L$2:$L$107, AI44, $E$2:$E$107, 3) + COUNTIFS($M$2:$M$107, AI44, $E$2:$E$107, 3)</f>
        <v>0</v>
      </c>
      <c r="AM44" s="60">
        <f>COUNTIFS($L$2:$L$107, AI44, $E$2:$E$107, 4) + COUNTIFS($M$2:$M$107, AI44, $E$2:$E$107, 4)</f>
        <v>0</v>
      </c>
      <c r="AN44" s="60">
        <f t="shared" si="34"/>
        <v>0</v>
      </c>
      <c r="AO44" s="60">
        <f>COUNTIF($M$2:$M$107, AI44)</f>
        <v>0</v>
      </c>
      <c r="AP44" s="60">
        <f>COUNTIF($L$2:$L$107, AI44)</f>
        <v>0</v>
      </c>
      <c r="AQ44" s="60">
        <f t="shared" si="35"/>
        <v>0</v>
      </c>
      <c r="AR44" s="60">
        <f t="shared" si="36"/>
        <v>0</v>
      </c>
      <c r="AS44" s="60">
        <f>SUMPRODUCT(($M$2:$M$107=AI44)*($T$2:$T$107&gt;$S$2:$S$107))</f>
        <v>0</v>
      </c>
      <c r="AT44" s="60">
        <f>SUMPRODUCT(($M$2:$M$107=AI25)*($T$2:$T$107&lt;$S$2:$S$107))</f>
        <v>0</v>
      </c>
      <c r="AU44" s="60">
        <f>SUMPRODUCT(($L$2:$L$107=AI44)*($T$2:$T$107&lt;$S$2:$S$107))</f>
        <v>0</v>
      </c>
      <c r="AV44" s="60">
        <f>SUMPRODUCT(($L$2:$L$107=AI44)*($T$2:$T$107&gt;$S$2:$S$107))</f>
        <v>0</v>
      </c>
      <c r="AW44" s="60">
        <f>COUNTIFS($M$2:$M$107,AI44,$E$2:$E$107,2)</f>
        <v>0</v>
      </c>
      <c r="AX44" s="60">
        <f>COUNTIFS($L$2:$L$107,AI44,$E$2:$E$107,2)</f>
        <v>0</v>
      </c>
      <c r="AY44" s="60">
        <f>SUMIFS($T$2:$T$107, $M$2:$M$107, AI44,$E$2:$E$107, 2)</f>
        <v>0</v>
      </c>
      <c r="AZ44" s="60">
        <f>SUMIFS($S$2:$S$107, $L$2:$L$107, AI44,$E$2:$E$107, 2)</f>
        <v>0</v>
      </c>
      <c r="BA44" s="60">
        <f>SUMIFS($S$2:$S$107, $M$2:$M$107, AI44,$E$2:$E$107, 2)</f>
        <v>0</v>
      </c>
      <c r="BB44" s="60">
        <f>SUMIFS($T$2:$T$107, $L$2:$L$107, AI44,$E$2:$E$107, 2)</f>
        <v>0</v>
      </c>
      <c r="BC44" s="60">
        <f t="shared" si="37"/>
        <v>0</v>
      </c>
      <c r="BD44" s="60">
        <f t="shared" si="37"/>
        <v>0</v>
      </c>
      <c r="BE44" s="60">
        <f t="shared" si="38"/>
        <v>0</v>
      </c>
      <c r="BF44" s="60">
        <f t="shared" si="39"/>
        <v>0</v>
      </c>
      <c r="BG44" s="60">
        <f t="shared" si="40"/>
        <v>0</v>
      </c>
      <c r="BH44" t="e">
        <f t="shared" si="41"/>
        <v>#DIV/0!</v>
      </c>
      <c r="BI44" t="e">
        <f t="shared" si="41"/>
        <v>#DIV/0!</v>
      </c>
      <c r="BJ44" t="e">
        <f t="shared" si="42"/>
        <v>#DIV/0!</v>
      </c>
      <c r="BK44" t="e">
        <f t="shared" si="42"/>
        <v>#DIV/0!</v>
      </c>
      <c r="BL44" t="e">
        <f t="shared" si="43"/>
        <v>#DIV/0!</v>
      </c>
      <c r="BM44" t="e">
        <f t="shared" si="44"/>
        <v>#DIV/0!</v>
      </c>
      <c r="BN44" s="68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33"/>
    </row>
    <row r="45" spans="1:91" x14ac:dyDescent="0.25">
      <c r="A45" s="60"/>
      <c r="B45" s="62"/>
      <c r="C45" s="63"/>
      <c r="D45" s="62"/>
      <c r="E45" s="65"/>
      <c r="F45" s="66"/>
      <c r="G45" s="65"/>
      <c r="H45" s="65"/>
      <c r="I45" s="65"/>
      <c r="J45" s="65"/>
      <c r="K45" s="65"/>
      <c r="L45" s="66"/>
      <c r="M45" s="66"/>
      <c r="N45" s="66"/>
      <c r="O45" s="66"/>
      <c r="P45" s="66"/>
      <c r="Q45" s="66"/>
      <c r="R45" s="62"/>
      <c r="S45" s="66"/>
      <c r="T45" s="66"/>
      <c r="U45" s="66"/>
      <c r="V45" s="66"/>
      <c r="W45" s="66" t="str">
        <f t="shared" si="2"/>
        <v/>
      </c>
      <c r="X45" s="66"/>
      <c r="Y45" s="66"/>
      <c r="Z45" s="66"/>
      <c r="AA45" s="60"/>
      <c r="AB45" s="68"/>
      <c r="AC45" s="14"/>
      <c r="AD45" s="14"/>
      <c r="AE45" s="14"/>
      <c r="AF45" s="14"/>
      <c r="AG45" s="14"/>
      <c r="AH45" s="45"/>
      <c r="AI45" s="60"/>
      <c r="AJ45" s="60">
        <f>COUNTIFS($L$2:$L$107, AI45, $E$2:$E$107, 1) + COUNTIFS($M$2:$M$107, AI45, $E$2:$E$107, 1)</f>
        <v>0</v>
      </c>
      <c r="AK45" s="60">
        <f>COUNTIFS($L$2:$L$107, AI45, $E$2:$E$107, 2) + COUNTIFS($M$2:$M$107, AI45, $E$2:$E$107, 2)</f>
        <v>0</v>
      </c>
      <c r="AL45" s="60">
        <f>COUNTIFS($L$2:$L$107, AI45, $E$2:$E$107, 3) + COUNTIFS($M$2:$M$107, AI45, $E$2:$E$107, 3)</f>
        <v>0</v>
      </c>
      <c r="AM45" s="60">
        <f>COUNTIFS($L$2:$L$107, AI45, $E$2:$E$107, 4) + COUNTIFS($M$2:$M$107, AI45, $E$2:$E$107, 4)</f>
        <v>0</v>
      </c>
      <c r="AN45" s="60">
        <f t="shared" si="34"/>
        <v>0</v>
      </c>
      <c r="AO45" s="60">
        <f>COUNTIF($M$2:$M$107, AI45)</f>
        <v>0</v>
      </c>
      <c r="AP45" s="60">
        <f>COUNTIF($L$2:$L$107, AI45)</f>
        <v>0</v>
      </c>
      <c r="AQ45" s="60">
        <f t="shared" si="35"/>
        <v>0</v>
      </c>
      <c r="AR45" s="60">
        <f t="shared" si="36"/>
        <v>0</v>
      </c>
      <c r="AS45" s="60">
        <f>SUMPRODUCT(($M$2:$M$107=AI45)*($T$2:$T$107&gt;$S$2:$S$107))</f>
        <v>0</v>
      </c>
      <c r="AT45" s="60">
        <f>SUMPRODUCT(($M$2:$M$107=AI26)*($T$2:$T$107&lt;$S$2:$S$107))</f>
        <v>1</v>
      </c>
      <c r="AU45" s="60">
        <f>SUMPRODUCT(($L$2:$L$107=AI45)*($T$2:$T$107&lt;$S$2:$S$107))</f>
        <v>0</v>
      </c>
      <c r="AV45" s="60">
        <f>SUMPRODUCT(($L$2:$L$107=AI45)*($T$2:$T$107&gt;$S$2:$S$107))</f>
        <v>0</v>
      </c>
      <c r="AW45" s="60">
        <f>COUNTIFS($M$2:$M$107,AI45,$E$2:$E$107,2)</f>
        <v>0</v>
      </c>
      <c r="AX45" s="60">
        <f>COUNTIFS($L$2:$L$107,AI45,$E$2:$E$107,2)</f>
        <v>0</v>
      </c>
      <c r="AY45" s="60">
        <f>SUMIFS($T$2:$T$107, $M$2:$M$107, AI45,$E$2:$E$107, 2)</f>
        <v>0</v>
      </c>
      <c r="AZ45" s="60">
        <f>SUMIFS($S$2:$S$107, $L$2:$L$107, AI45,$E$2:$E$107, 2)</f>
        <v>0</v>
      </c>
      <c r="BA45" s="60">
        <f>SUMIFS($S$2:$S$107, $M$2:$M$107, AI45,$E$2:$E$107, 2)</f>
        <v>0</v>
      </c>
      <c r="BB45" s="60">
        <f>SUMIFS($T$2:$T$107, $L$2:$L$107, AI45,$E$2:$E$107, 2)</f>
        <v>0</v>
      </c>
      <c r="BC45" s="60">
        <f t="shared" si="37"/>
        <v>0</v>
      </c>
      <c r="BD45" s="60">
        <f t="shared" si="37"/>
        <v>0</v>
      </c>
      <c r="BE45" s="60">
        <f t="shared" si="38"/>
        <v>0</v>
      </c>
      <c r="BF45" s="60">
        <f t="shared" si="39"/>
        <v>0</v>
      </c>
      <c r="BG45" s="60">
        <f t="shared" si="40"/>
        <v>0</v>
      </c>
      <c r="BH45" t="e">
        <f t="shared" si="41"/>
        <v>#DIV/0!</v>
      </c>
      <c r="BI45" t="e">
        <f t="shared" si="41"/>
        <v>#DIV/0!</v>
      </c>
      <c r="BJ45" t="e">
        <f t="shared" si="42"/>
        <v>#DIV/0!</v>
      </c>
      <c r="BK45" t="e">
        <f t="shared" si="42"/>
        <v>#DIV/0!</v>
      </c>
      <c r="BL45" t="e">
        <f t="shared" si="43"/>
        <v>#DIV/0!</v>
      </c>
      <c r="BM45" t="e">
        <f t="shared" si="44"/>
        <v>#DIV/0!</v>
      </c>
      <c r="BN45" s="68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33"/>
    </row>
    <row r="46" spans="1:91" x14ac:dyDescent="0.25">
      <c r="A46" s="60"/>
      <c r="B46" s="62"/>
      <c r="C46" s="63"/>
      <c r="D46" s="62"/>
      <c r="E46" s="65"/>
      <c r="F46" s="66"/>
      <c r="G46" s="65"/>
      <c r="H46" s="65"/>
      <c r="I46" s="65"/>
      <c r="J46" s="65"/>
      <c r="K46" s="65"/>
      <c r="L46" s="66"/>
      <c r="M46" s="66"/>
      <c r="N46" s="66"/>
      <c r="O46" s="66"/>
      <c r="P46" s="66"/>
      <c r="Q46" s="66"/>
      <c r="R46" s="62"/>
      <c r="S46" s="66"/>
      <c r="T46" s="66"/>
      <c r="U46" s="66"/>
      <c r="V46" s="66"/>
      <c r="W46" s="66" t="str">
        <f t="shared" si="2"/>
        <v/>
      </c>
      <c r="X46" s="66"/>
      <c r="Y46" s="66"/>
      <c r="Z46" s="66"/>
      <c r="AA46" s="60"/>
      <c r="AB46" s="68"/>
      <c r="AC46" s="14"/>
      <c r="AD46" s="14"/>
      <c r="AE46" s="14"/>
      <c r="AF46" s="14"/>
      <c r="AG46" s="14"/>
      <c r="AH46" s="45"/>
      <c r="AI46" s="60"/>
      <c r="AJ46" s="60">
        <f>COUNTIFS($L$2:$L$107, AI46, $E$2:$E$107, 1) + COUNTIFS($M$2:$M$107, AI46, $E$2:$E$107, 1)</f>
        <v>0</v>
      </c>
      <c r="AK46" s="60">
        <f>COUNTIFS($L$2:$L$107, AI46, $E$2:$E$107, 2) + COUNTIFS($M$2:$M$107, AI46, $E$2:$E$107, 2)</f>
        <v>0</v>
      </c>
      <c r="AL46" s="60">
        <f>COUNTIFS($L$2:$L$107, AI46, $E$2:$E$107, 3) + COUNTIFS($M$2:$M$107, AI46, $E$2:$E$107, 3)</f>
        <v>0</v>
      </c>
      <c r="AM46" s="60">
        <f>COUNTIFS($L$2:$L$107, AI46, $E$2:$E$107, 4) + COUNTIFS($M$2:$M$107, AI46, $E$2:$E$107, 4)</f>
        <v>0</v>
      </c>
      <c r="AN46" s="60">
        <f t="shared" si="34"/>
        <v>0</v>
      </c>
      <c r="AO46" s="60">
        <f>COUNTIF($M$2:$M$107, AI46)</f>
        <v>0</v>
      </c>
      <c r="AP46" s="60">
        <f>COUNTIF($L$2:$L$107, AI46)</f>
        <v>0</v>
      </c>
      <c r="AQ46" s="60">
        <f t="shared" si="35"/>
        <v>0</v>
      </c>
      <c r="AR46" s="60">
        <f t="shared" si="36"/>
        <v>0</v>
      </c>
      <c r="AS46" s="60">
        <f>SUMPRODUCT(($M$2:$M$107=AI46)*($T$2:$T$107&gt;$S$2:$S$107))</f>
        <v>0</v>
      </c>
      <c r="AT46" s="60">
        <f>SUMPRODUCT(($M$2:$M$107=AI27)*($T$2:$T$107&lt;$S$2:$S$107))</f>
        <v>0</v>
      </c>
      <c r="AU46" s="60">
        <f>SUMPRODUCT(($L$2:$L$107=AI46)*($T$2:$T$107&lt;$S$2:$S$107))</f>
        <v>0</v>
      </c>
      <c r="AV46" s="60">
        <f>SUMPRODUCT(($L$2:$L$107=AI46)*($T$2:$T$107&gt;$S$2:$S$107))</f>
        <v>0</v>
      </c>
      <c r="AW46" s="60">
        <f>COUNTIFS($M$2:$M$107,AI46,$E$2:$E$107,2)</f>
        <v>0</v>
      </c>
      <c r="AX46" s="60">
        <f>COUNTIFS($L$2:$L$107,AI46,$E$2:$E$107,2)</f>
        <v>0</v>
      </c>
      <c r="AY46" s="60">
        <f>SUMIFS($T$2:$T$107, $M$2:$M$107, AI46,$E$2:$E$107, 2)</f>
        <v>0</v>
      </c>
      <c r="AZ46" s="60">
        <f>SUMIFS($S$2:$S$107, $L$2:$L$107, AI46,$E$2:$E$107, 2)</f>
        <v>0</v>
      </c>
      <c r="BA46" s="60">
        <f>SUMIFS($S$2:$S$107, $M$2:$M$107, AI46,$E$2:$E$107, 2)</f>
        <v>0</v>
      </c>
      <c r="BB46" s="60">
        <f>SUMIFS($T$2:$T$107, $L$2:$L$107, AI46,$E$2:$E$107, 2)</f>
        <v>0</v>
      </c>
      <c r="BC46" s="60">
        <f t="shared" si="37"/>
        <v>0</v>
      </c>
      <c r="BD46" s="60">
        <f t="shared" si="37"/>
        <v>0</v>
      </c>
      <c r="BE46" s="60">
        <f t="shared" si="38"/>
        <v>0</v>
      </c>
      <c r="BF46" s="60">
        <f t="shared" si="39"/>
        <v>0</v>
      </c>
      <c r="BG46" s="60">
        <f t="shared" si="40"/>
        <v>0</v>
      </c>
      <c r="BH46" t="e">
        <f t="shared" si="41"/>
        <v>#DIV/0!</v>
      </c>
      <c r="BI46" t="e">
        <f t="shared" si="41"/>
        <v>#DIV/0!</v>
      </c>
      <c r="BJ46" t="e">
        <f t="shared" si="42"/>
        <v>#DIV/0!</v>
      </c>
      <c r="BK46" t="e">
        <f t="shared" si="42"/>
        <v>#DIV/0!</v>
      </c>
      <c r="BL46" s="60" t="e">
        <f t="shared" si="43"/>
        <v>#DIV/0!</v>
      </c>
      <c r="BM46" s="60" t="e">
        <f t="shared" si="44"/>
        <v>#DIV/0!</v>
      </c>
      <c r="BN46" s="68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33"/>
    </row>
    <row r="47" spans="1:91" x14ac:dyDescent="0.25">
      <c r="A47" s="60"/>
      <c r="B47" s="62"/>
      <c r="C47" s="63"/>
      <c r="D47" s="62"/>
      <c r="E47" s="65"/>
      <c r="F47" s="69"/>
      <c r="G47" s="65"/>
      <c r="H47" s="65"/>
      <c r="I47" s="65"/>
      <c r="J47" s="65"/>
      <c r="K47" s="65"/>
      <c r="L47" s="66"/>
      <c r="M47" s="66"/>
      <c r="N47" s="66"/>
      <c r="O47" s="66"/>
      <c r="P47" s="66"/>
      <c r="Q47" s="66"/>
      <c r="R47" s="62"/>
      <c r="S47" s="66"/>
      <c r="T47" s="66"/>
      <c r="U47" s="66"/>
      <c r="V47" s="66"/>
      <c r="W47" s="66" t="str">
        <f t="shared" si="2"/>
        <v/>
      </c>
      <c r="X47" s="66"/>
      <c r="Y47" s="66"/>
      <c r="Z47" s="66"/>
      <c r="AA47" s="60"/>
      <c r="AB47" s="68"/>
      <c r="AC47" s="14"/>
      <c r="AD47" s="14"/>
      <c r="AE47" s="14"/>
      <c r="AF47" s="14"/>
      <c r="AG47" s="14"/>
      <c r="AH47" s="45"/>
      <c r="AI47" s="60"/>
      <c r="AJ47" s="60">
        <f>COUNTIFS($L$2:$L$107, AI47, $E$2:$E$107, 1) + COUNTIFS($M$2:$M$107, AI47, $E$2:$E$107, 1)</f>
        <v>0</v>
      </c>
      <c r="AK47" s="60">
        <f>COUNTIFS($L$2:$L$107, AI47, $E$2:$E$107, 2) + COUNTIFS($M$2:$M$107, AI47, $E$2:$E$107, 2)</f>
        <v>0</v>
      </c>
      <c r="AL47" s="60">
        <f>COUNTIFS($L$2:$L$107, AI47, $E$2:$E$107, 3) + COUNTIFS($M$2:$M$107, AI47, $E$2:$E$107, 3)</f>
        <v>0</v>
      </c>
      <c r="AM47" s="60">
        <f>COUNTIFS($L$2:$L$107, AI47, $E$2:$E$107, 4) + COUNTIFS($M$2:$M$107, AI47, $E$2:$E$107, 4)</f>
        <v>0</v>
      </c>
      <c r="AN47" s="60">
        <f t="shared" si="34"/>
        <v>0</v>
      </c>
      <c r="AO47" s="60">
        <f>COUNTIF($M$2:$M$107, AI47)</f>
        <v>0</v>
      </c>
      <c r="AP47" s="60">
        <f>COUNTIF($L$2:$L$107, AI47)</f>
        <v>0</v>
      </c>
      <c r="AQ47" s="60">
        <f t="shared" si="35"/>
        <v>0</v>
      </c>
      <c r="AR47" s="60">
        <f t="shared" si="36"/>
        <v>0</v>
      </c>
      <c r="AS47" s="60">
        <f>SUMPRODUCT(($M$2:$M$107=AI47)*($T$2:$T$107&gt;$S$2:$S$107))</f>
        <v>0</v>
      </c>
      <c r="AT47" s="60">
        <f>SUMPRODUCT(($M$2:$M$107=AI28)*($T$2:$T$107&lt;$S$2:$S$107))</f>
        <v>1</v>
      </c>
      <c r="AU47" s="60">
        <f>SUMPRODUCT(($L$2:$L$107=AI47)*($T$2:$T$107&lt;$S$2:$S$107))</f>
        <v>0</v>
      </c>
      <c r="AV47" s="60">
        <f>SUMPRODUCT(($L$2:$L$107=AI47)*($T$2:$T$107&gt;$S$2:$S$107))</f>
        <v>0</v>
      </c>
      <c r="AW47" s="60">
        <f>COUNTIFS($M$2:$M$107,AI47,$E$2:$E$107,2)</f>
        <v>0</v>
      </c>
      <c r="AX47" s="60">
        <f>COUNTIFS($L$2:$L$107,AI47,$E$2:$E$107,2)</f>
        <v>0</v>
      </c>
      <c r="AY47" s="60">
        <f>SUMIFS($T$2:$T$107, $M$2:$M$107, AI47,$E$2:$E$107, 2)</f>
        <v>0</v>
      </c>
      <c r="AZ47" s="60">
        <f>SUMIFS($S$2:$S$107, $L$2:$L$107, AI47,$E$2:$E$107, 2)</f>
        <v>0</v>
      </c>
      <c r="BA47" s="60">
        <f>SUMIFS($S$2:$S$107, $M$2:$M$107, AI47,$E$2:$E$107, 2)</f>
        <v>0</v>
      </c>
      <c r="BB47" s="60">
        <f>SUMIFS($T$2:$T$107, $L$2:$L$107, AI47,$E$2:$E$107, 2)</f>
        <v>0</v>
      </c>
      <c r="BC47" s="60">
        <f t="shared" si="37"/>
        <v>0</v>
      </c>
      <c r="BD47" s="60">
        <f t="shared" si="37"/>
        <v>0</v>
      </c>
      <c r="BE47" s="60">
        <f t="shared" si="38"/>
        <v>0</v>
      </c>
      <c r="BF47" s="60">
        <f t="shared" si="39"/>
        <v>0</v>
      </c>
      <c r="BG47" s="60">
        <f t="shared" si="40"/>
        <v>0</v>
      </c>
      <c r="BH47" t="e">
        <f t="shared" si="41"/>
        <v>#DIV/0!</v>
      </c>
      <c r="BI47" t="e">
        <f t="shared" si="41"/>
        <v>#DIV/0!</v>
      </c>
      <c r="BJ47" t="e">
        <f t="shared" si="42"/>
        <v>#DIV/0!</v>
      </c>
      <c r="BK47" t="e">
        <f t="shared" si="42"/>
        <v>#DIV/0!</v>
      </c>
      <c r="BL47" s="60" t="e">
        <f t="shared" si="43"/>
        <v>#DIV/0!</v>
      </c>
      <c r="BM47" s="60" t="e">
        <f t="shared" si="44"/>
        <v>#DIV/0!</v>
      </c>
      <c r="BN47" s="68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33"/>
    </row>
    <row r="48" spans="1:91" x14ac:dyDescent="0.25">
      <c r="A48" s="60"/>
      <c r="B48" s="62"/>
      <c r="C48" s="63"/>
      <c r="D48" s="62"/>
      <c r="E48" s="65"/>
      <c r="F48" s="69"/>
      <c r="G48" s="65"/>
      <c r="H48" s="65"/>
      <c r="I48" s="65"/>
      <c r="J48" s="65"/>
      <c r="K48" s="65"/>
      <c r="L48" s="66"/>
      <c r="M48" s="66"/>
      <c r="N48" s="66"/>
      <c r="O48" s="66"/>
      <c r="P48" s="66"/>
      <c r="Q48" s="66"/>
      <c r="R48" s="62"/>
      <c r="S48" s="66"/>
      <c r="T48" s="66"/>
      <c r="U48" s="66"/>
      <c r="V48" s="66"/>
      <c r="W48" s="66" t="str">
        <f t="shared" si="2"/>
        <v/>
      </c>
      <c r="X48" s="66"/>
      <c r="Y48" s="66"/>
      <c r="Z48" s="66"/>
      <c r="AA48" s="60"/>
      <c r="AB48" s="68"/>
      <c r="AC48" s="14"/>
      <c r="AD48" s="14"/>
      <c r="AE48" s="14"/>
      <c r="AF48" s="14"/>
      <c r="AG48" s="14"/>
      <c r="AH48" s="45"/>
      <c r="AI48" s="60"/>
      <c r="AJ48" s="60">
        <f>COUNTIFS($L$2:$L$107, AI48, $E$2:$E$107, 1) + COUNTIFS($M$2:$M$107, AI48, $E$2:$E$107, 1)</f>
        <v>0</v>
      </c>
      <c r="AK48" s="60">
        <f>COUNTIFS($L$2:$L$107, AI48, $E$2:$E$107, 2) + COUNTIFS($M$2:$M$107, AI48, $E$2:$E$107, 2)</f>
        <v>0</v>
      </c>
      <c r="AL48" s="60">
        <f>COUNTIFS($L$2:$L$107, AI48, $E$2:$E$107, 3) + COUNTIFS($M$2:$M$107, AI48, $E$2:$E$107, 3)</f>
        <v>0</v>
      </c>
      <c r="AM48" s="60">
        <f>COUNTIFS($L$2:$L$107, AI48, $E$2:$E$107, 4) + COUNTIFS($M$2:$M$107, AI48, $E$2:$E$107, 4)</f>
        <v>0</v>
      </c>
      <c r="AN48" s="60">
        <f t="shared" si="34"/>
        <v>0</v>
      </c>
      <c r="AO48" s="60">
        <f>COUNTIF($M$2:$M$107, AI48)</f>
        <v>0</v>
      </c>
      <c r="AP48" s="60">
        <f>COUNTIF($L$2:$L$107, AI48)</f>
        <v>0</v>
      </c>
      <c r="AQ48" s="60">
        <f t="shared" si="35"/>
        <v>0</v>
      </c>
      <c r="AR48" s="60">
        <f t="shared" si="36"/>
        <v>0</v>
      </c>
      <c r="AS48" s="60">
        <f>SUMPRODUCT(($M$2:$M$107=AI48)*($T$2:$T$107&gt;$S$2:$S$107))</f>
        <v>0</v>
      </c>
      <c r="AT48" s="60">
        <f>SUMPRODUCT(($M$2:$M$107=AI29)*($T$2:$T$107&lt;$S$2:$S$107))</f>
        <v>1</v>
      </c>
      <c r="AU48" s="60">
        <f>SUMPRODUCT(($L$2:$L$107=AI48)*($T$2:$T$107&lt;$S$2:$S$107))</f>
        <v>0</v>
      </c>
      <c r="AV48" s="60">
        <f>SUMPRODUCT(($L$2:$L$107=AI48)*($T$2:$T$107&gt;$S$2:$S$107))</f>
        <v>0</v>
      </c>
      <c r="AW48" s="60">
        <f>COUNTIFS($M$2:$M$107,AI48,$E$2:$E$107,2)</f>
        <v>0</v>
      </c>
      <c r="AX48" s="60">
        <f>COUNTIFS($L$2:$L$107,AI48,$E$2:$E$107,2)</f>
        <v>0</v>
      </c>
      <c r="AY48" s="60">
        <f>SUMIFS($T$2:$T$107, $M$2:$M$107, AI48,$E$2:$E$107, 2)</f>
        <v>0</v>
      </c>
      <c r="AZ48" s="60">
        <f>SUMIFS($S$2:$S$107, $L$2:$L$107, AI48,$E$2:$E$107, 2)</f>
        <v>0</v>
      </c>
      <c r="BA48" s="60">
        <f>SUMIFS($S$2:$S$107, $M$2:$M$107, AI48,$E$2:$E$107, 2)</f>
        <v>0</v>
      </c>
      <c r="BB48" s="60">
        <f>SUMIFS($T$2:$T$107, $L$2:$L$107, AI48,$E$2:$E$107, 2)</f>
        <v>0</v>
      </c>
      <c r="BC48" s="60">
        <f t="shared" si="37"/>
        <v>0</v>
      </c>
      <c r="BD48" s="60">
        <f t="shared" si="37"/>
        <v>0</v>
      </c>
      <c r="BE48" s="60">
        <f t="shared" si="38"/>
        <v>0</v>
      </c>
      <c r="BF48" s="60">
        <f t="shared" si="39"/>
        <v>0</v>
      </c>
      <c r="BG48" s="60">
        <f t="shared" si="40"/>
        <v>0</v>
      </c>
      <c r="BH48" t="e">
        <f t="shared" si="41"/>
        <v>#DIV/0!</v>
      </c>
      <c r="BI48" t="e">
        <f t="shared" si="41"/>
        <v>#DIV/0!</v>
      </c>
      <c r="BJ48" t="e">
        <f t="shared" si="42"/>
        <v>#DIV/0!</v>
      </c>
      <c r="BK48" t="e">
        <f t="shared" si="42"/>
        <v>#DIV/0!</v>
      </c>
      <c r="BL48" s="60" t="e">
        <f t="shared" si="43"/>
        <v>#DIV/0!</v>
      </c>
      <c r="BM48" s="60" t="e">
        <f t="shared" si="44"/>
        <v>#DIV/0!</v>
      </c>
      <c r="BN48" s="68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33"/>
    </row>
    <row r="49" spans="1:91" x14ac:dyDescent="0.25">
      <c r="A49" s="60"/>
      <c r="B49" s="62"/>
      <c r="C49" s="63"/>
      <c r="D49" s="62"/>
      <c r="E49" s="65"/>
      <c r="F49" s="69"/>
      <c r="G49" s="65"/>
      <c r="H49" s="65"/>
      <c r="I49" s="65"/>
      <c r="J49" s="65"/>
      <c r="K49" s="65"/>
      <c r="L49" s="66"/>
      <c r="M49" s="66"/>
      <c r="N49" s="66"/>
      <c r="O49" s="66"/>
      <c r="P49" s="66"/>
      <c r="Q49" s="66"/>
      <c r="R49" s="62"/>
      <c r="S49" s="66"/>
      <c r="T49" s="66"/>
      <c r="U49" s="66"/>
      <c r="V49" s="66"/>
      <c r="W49" s="66" t="str">
        <f t="shared" si="2"/>
        <v/>
      </c>
      <c r="X49" s="66"/>
      <c r="Y49" s="66"/>
      <c r="Z49" s="66"/>
      <c r="AA49" s="60"/>
      <c r="AB49" s="68"/>
      <c r="AC49" s="14"/>
      <c r="AD49" s="14"/>
      <c r="AE49" s="14"/>
      <c r="AF49" s="14"/>
      <c r="AG49" s="14"/>
      <c r="AH49" s="45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33"/>
    </row>
    <row r="50" spans="1:91" x14ac:dyDescent="0.25">
      <c r="A50" s="60"/>
      <c r="B50" s="62"/>
      <c r="C50" s="63"/>
      <c r="D50" s="62"/>
      <c r="E50" s="65"/>
      <c r="F50" s="69"/>
      <c r="G50" s="65"/>
      <c r="H50" s="65"/>
      <c r="I50" s="65"/>
      <c r="J50" s="65"/>
      <c r="K50" s="65"/>
      <c r="L50" s="66"/>
      <c r="M50" s="66"/>
      <c r="N50" s="66"/>
      <c r="O50" s="66"/>
      <c r="P50" s="66"/>
      <c r="Q50" s="66"/>
      <c r="R50" s="62"/>
      <c r="S50" s="66"/>
      <c r="T50" s="66"/>
      <c r="U50" s="66"/>
      <c r="V50" s="66"/>
      <c r="W50" s="66" t="str">
        <f t="shared" si="2"/>
        <v/>
      </c>
      <c r="X50" s="66"/>
      <c r="Y50" s="66"/>
      <c r="Z50" s="66"/>
      <c r="AA50" s="60"/>
      <c r="AB50" s="68"/>
      <c r="AC50" s="14"/>
      <c r="AD50" s="14"/>
      <c r="AE50" s="14"/>
      <c r="AF50" s="14"/>
      <c r="AG50" s="14"/>
      <c r="AH50" s="45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33"/>
    </row>
    <row r="51" spans="1:91" x14ac:dyDescent="0.25">
      <c r="A51" s="60"/>
      <c r="B51" s="62"/>
      <c r="C51" s="63"/>
      <c r="D51" s="62"/>
      <c r="E51" s="65"/>
      <c r="F51" s="69"/>
      <c r="G51" s="65"/>
      <c r="H51" s="65"/>
      <c r="I51" s="65"/>
      <c r="J51" s="65"/>
      <c r="K51" s="65"/>
      <c r="L51" s="66"/>
      <c r="M51" s="66"/>
      <c r="N51" s="66"/>
      <c r="O51" s="66"/>
      <c r="P51" s="66"/>
      <c r="Q51" s="66"/>
      <c r="R51" s="62"/>
      <c r="S51" s="66"/>
      <c r="T51" s="66"/>
      <c r="U51" s="66"/>
      <c r="V51" s="66"/>
      <c r="W51" s="66" t="str">
        <f t="shared" si="2"/>
        <v/>
      </c>
      <c r="X51" s="66"/>
      <c r="Y51" s="66"/>
      <c r="Z51" s="66"/>
      <c r="AA51" s="60"/>
      <c r="AB51" s="68"/>
      <c r="AC51" s="14"/>
      <c r="AD51" s="14"/>
      <c r="AE51" s="14"/>
      <c r="AF51" s="14"/>
      <c r="AG51" s="14"/>
      <c r="AH51" s="45"/>
      <c r="AI51" s="39" t="s">
        <v>164</v>
      </c>
      <c r="AJ51" s="39" t="s">
        <v>57</v>
      </c>
      <c r="AK51" s="39" t="s">
        <v>58</v>
      </c>
      <c r="AL51" s="39" t="s">
        <v>59</v>
      </c>
      <c r="AM51" s="39" t="s">
        <v>60</v>
      </c>
      <c r="AN51" s="39" t="s">
        <v>61</v>
      </c>
      <c r="AO51" s="39" t="s">
        <v>62</v>
      </c>
      <c r="AP51" s="39" t="s">
        <v>63</v>
      </c>
      <c r="AQ51" s="39" t="s">
        <v>64</v>
      </c>
      <c r="AR51" s="39" t="s">
        <v>65</v>
      </c>
      <c r="AS51" s="39" t="s">
        <v>66</v>
      </c>
      <c r="AT51" s="39" t="s">
        <v>67</v>
      </c>
      <c r="AU51" s="39" t="s">
        <v>68</v>
      </c>
      <c r="AV51" s="39" t="s">
        <v>69</v>
      </c>
      <c r="AW51" s="39" t="s">
        <v>120</v>
      </c>
      <c r="AX51" s="39" t="s">
        <v>121</v>
      </c>
      <c r="AY51" s="39" t="s">
        <v>122</v>
      </c>
      <c r="AZ51" s="39" t="s">
        <v>123</v>
      </c>
      <c r="BA51" s="39" t="s">
        <v>124</v>
      </c>
      <c r="BB51" s="39" t="s">
        <v>125</v>
      </c>
      <c r="BC51" s="39" t="s">
        <v>126</v>
      </c>
      <c r="BD51" s="39" t="s">
        <v>127</v>
      </c>
      <c r="BE51" s="39" t="s">
        <v>128</v>
      </c>
      <c r="BF51" s="39" t="s">
        <v>129</v>
      </c>
      <c r="BG51" s="39" t="s">
        <v>130</v>
      </c>
      <c r="BH51" s="106" t="s">
        <v>131</v>
      </c>
      <c r="BI51" s="106" t="s">
        <v>132</v>
      </c>
      <c r="BJ51" s="106" t="s">
        <v>133</v>
      </c>
      <c r="BK51" s="106" t="s">
        <v>134</v>
      </c>
      <c r="BL51" s="39" t="s">
        <v>135</v>
      </c>
      <c r="BM51" s="39" t="s">
        <v>136</v>
      </c>
      <c r="BN51" s="68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33"/>
    </row>
    <row r="52" spans="1:91" x14ac:dyDescent="0.25">
      <c r="A52" s="60"/>
      <c r="B52" s="62"/>
      <c r="C52" s="63"/>
      <c r="D52" s="62"/>
      <c r="E52" s="65"/>
      <c r="F52" s="69"/>
      <c r="G52" s="65"/>
      <c r="H52" s="65"/>
      <c r="I52" s="65"/>
      <c r="J52" s="65"/>
      <c r="K52" s="65"/>
      <c r="L52" s="65"/>
      <c r="M52" s="65"/>
      <c r="N52" s="66"/>
      <c r="O52" s="66"/>
      <c r="P52" s="66"/>
      <c r="Q52" s="66"/>
      <c r="R52" s="62"/>
      <c r="S52" s="66"/>
      <c r="T52" s="66"/>
      <c r="U52" s="66"/>
      <c r="V52" s="66"/>
      <c r="W52" s="66" t="str">
        <f t="shared" si="2"/>
        <v/>
      </c>
      <c r="X52" s="66"/>
      <c r="Y52" s="66"/>
      <c r="Z52" s="66"/>
      <c r="AA52" s="60"/>
      <c r="AB52" s="68"/>
      <c r="AC52" s="14"/>
      <c r="AD52" s="14"/>
      <c r="AE52" s="14"/>
      <c r="AF52" s="14"/>
      <c r="AG52" s="14"/>
      <c r="AH52" s="45"/>
      <c r="AI52" s="60"/>
      <c r="AJ52" s="60">
        <f>COUNTIFS($L$2:$L$107, AI52, $E$2:$E$107, 1) + COUNTIFS($M$2:$M$107, AI52, $E$2:$E$107, 1)</f>
        <v>0</v>
      </c>
      <c r="AK52" s="60">
        <f>COUNTIFS($L$2:$L$107, AI52, $E$2:$E$107, 2) + COUNTIFS($M$2:$M$107, AI52, $E$2:$E$107, 2)</f>
        <v>0</v>
      </c>
      <c r="AL52" s="60">
        <f>COUNTIFS($L$2:$L$107, AI52, $E$2:$E$107, 3) + COUNTIFS($M$2:$M$107, AI52, $E$2:$E$107, 3)</f>
        <v>0</v>
      </c>
      <c r="AM52" s="60">
        <f>COUNTIFS($L$2:$L$107, AI52, $E$2:$E$107, 4) + COUNTIFS($M$2:$M$107, AI52, $E$2:$E$107, 4)</f>
        <v>0</v>
      </c>
      <c r="AN52" s="60">
        <f>AJ52+AK52+AL52+AM52</f>
        <v>0</v>
      </c>
      <c r="AO52" s="60">
        <f>COUNTIF($M$2:$M$107, AI52)</f>
        <v>0</v>
      </c>
      <c r="AP52" s="60">
        <f>COUNTIF($L$2:$L$107, AI52)</f>
        <v>0</v>
      </c>
      <c r="AQ52" s="60">
        <f>AS52+AU52</f>
        <v>0</v>
      </c>
      <c r="AR52" s="60">
        <f>AN52-AQ52</f>
        <v>0</v>
      </c>
      <c r="AS52" s="60">
        <f>SUMPRODUCT(($M$2:$M$107=AI52)*($T$2:$T$107&gt;$S$2:$S$107))</f>
        <v>0</v>
      </c>
      <c r="AT52" s="60">
        <f>SUMPRODUCT(($M$2:$M$107=AI52)*($T$2:$T$107&lt;$S$2:$S$107))</f>
        <v>0</v>
      </c>
      <c r="AU52" s="60">
        <f>SUMPRODUCT(($L$2:$L$107=AI52)*($T$2:$T$107&lt;$S$2:$S$107))</f>
        <v>0</v>
      </c>
      <c r="AV52" s="60">
        <f>SUMPRODUCT(($L$2:$L$107=AI52)*($T$2:$T$107&gt;$S$2:$S$107))</f>
        <v>0</v>
      </c>
      <c r="AW52" s="60">
        <f>COUNTIFS($M$2:$M$107,AI52,$E$2:$E$107,3)</f>
        <v>0</v>
      </c>
      <c r="AX52" s="60">
        <f>COUNTIFS($L$2:$L$107,AI52,$E$2:$E$107,3)</f>
        <v>0</v>
      </c>
      <c r="AY52" s="60">
        <f>SUMIFS($T$2:$T$107, $M$2:$M$107, AI52,$E$2:$E$107, 3)</f>
        <v>0</v>
      </c>
      <c r="AZ52" s="60">
        <f>SUMIFS($S$2:$S$107, $L$2:$L$107, AI52,$E$2:$E$107, 3)</f>
        <v>0</v>
      </c>
      <c r="BA52" s="60">
        <f>SUMIFS($S$2:$S$107, $M$2:$M$107, AI52,$E$2:$E$107, 3)</f>
        <v>0</v>
      </c>
      <c r="BB52" s="60">
        <f>SUMIFS($T$2:$T$107, $L$2:$L$107, AI52,$E$2:$E$107, 3)</f>
        <v>0</v>
      </c>
      <c r="BC52" s="60">
        <f t="shared" ref="BC52:BD55" si="45">AY52-BA52</f>
        <v>0</v>
      </c>
      <c r="BD52" s="60">
        <f t="shared" si="45"/>
        <v>0</v>
      </c>
      <c r="BE52" s="60">
        <f>AY52+AZ52</f>
        <v>0</v>
      </c>
      <c r="BF52" s="60">
        <f>BA52+BB52</f>
        <v>0</v>
      </c>
      <c r="BG52" s="60">
        <f>(AY52+AZ52)-(BA52+BB52)</f>
        <v>0</v>
      </c>
      <c r="BH52" t="e">
        <f t="shared" ref="BH52:BI55" si="46">AY52/AW52</f>
        <v>#DIV/0!</v>
      </c>
      <c r="BI52" t="e">
        <f t="shared" si="46"/>
        <v>#DIV/0!</v>
      </c>
      <c r="BJ52" t="e">
        <f t="shared" ref="BJ52:BK55" si="47">BA52/AW52</f>
        <v>#DIV/0!</v>
      </c>
      <c r="BK52" t="e">
        <f t="shared" si="47"/>
        <v>#DIV/0!</v>
      </c>
      <c r="BL52" s="60" t="e">
        <f>BE52/AJ52</f>
        <v>#DIV/0!</v>
      </c>
      <c r="BM52" s="60" t="e">
        <f>BF52/AJ52</f>
        <v>#DIV/0!</v>
      </c>
      <c r="BN52" s="68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33"/>
    </row>
    <row r="53" spans="1:91" x14ac:dyDescent="0.25">
      <c r="A53" s="60"/>
      <c r="B53" s="62"/>
      <c r="C53" s="63"/>
      <c r="D53" s="62"/>
      <c r="E53" s="65"/>
      <c r="F53" s="69"/>
      <c r="G53" s="65"/>
      <c r="H53" s="65"/>
      <c r="I53" s="65"/>
      <c r="J53" s="65"/>
      <c r="K53" s="65"/>
      <c r="L53" s="66"/>
      <c r="M53" s="66"/>
      <c r="N53" s="66"/>
      <c r="O53" s="66"/>
      <c r="P53" s="66"/>
      <c r="Q53" s="66"/>
      <c r="R53" s="62"/>
      <c r="S53" s="66"/>
      <c r="T53" s="66"/>
      <c r="U53" s="66"/>
      <c r="V53" s="66"/>
      <c r="W53" s="66" t="str">
        <f t="shared" si="2"/>
        <v/>
      </c>
      <c r="X53" s="66"/>
      <c r="Y53" s="66"/>
      <c r="Z53" s="66"/>
      <c r="AA53" s="60"/>
      <c r="AB53" s="68"/>
      <c r="AC53" s="14"/>
      <c r="AD53" s="14"/>
      <c r="AE53" s="14"/>
      <c r="AF53" s="14"/>
      <c r="AG53" s="14"/>
      <c r="AH53" s="45"/>
      <c r="AI53" s="60"/>
      <c r="AJ53" s="60">
        <f>COUNTIFS($L$2:$L$107, AI53, $E$2:$E$107, 1) + COUNTIFS($M$2:$M$107, AI53, $E$2:$E$107, 1)</f>
        <v>0</v>
      </c>
      <c r="AK53" s="60">
        <f>COUNTIFS($L$2:$L$107, AI53, $E$2:$E$107, 2) + COUNTIFS($M$2:$M$107, AI53, $E$2:$E$107, 2)</f>
        <v>0</v>
      </c>
      <c r="AL53" s="60">
        <f>COUNTIFS($L$2:$L$107, AI53, $E$2:$E$107, 3) + COUNTIFS($M$2:$M$107, AI53, $E$2:$E$107, 3)</f>
        <v>0</v>
      </c>
      <c r="AM53" s="60">
        <f>COUNTIFS($L$2:$L$107, AI53, $E$2:$E$107, 4) + COUNTIFS($M$2:$M$107, AI53, $E$2:$E$107, 4)</f>
        <v>0</v>
      </c>
      <c r="AN53" s="60">
        <f t="shared" ref="AN53:AN55" si="48">AJ53+AK53+AL53+AM53</f>
        <v>0</v>
      </c>
      <c r="AO53" s="60">
        <f>COUNTIF($M$2:$M$107, AI53)</f>
        <v>0</v>
      </c>
      <c r="AP53" s="60">
        <f>COUNTIF($L$2:$L$107, AI53)</f>
        <v>0</v>
      </c>
      <c r="AQ53" s="60">
        <f t="shared" ref="AQ53:AQ55" si="49">AS53+AU53</f>
        <v>0</v>
      </c>
      <c r="AR53" s="60">
        <f t="shared" ref="AR53:AR55" si="50">AN53-AQ53</f>
        <v>0</v>
      </c>
      <c r="AS53" s="60">
        <f>SUMPRODUCT(($M$2:$M$107=AI53)*($T$2:$T$107&gt;$S$2:$S$107))</f>
        <v>0</v>
      </c>
      <c r="AT53" s="60">
        <f>SUMPRODUCT(($M$2:$M$107=AI53)*($T$2:$T$107&lt;$S$2:$S$107))</f>
        <v>0</v>
      </c>
      <c r="AU53" s="60">
        <f>SUMPRODUCT(($L$2:$L$107=AI53)*($T$2:$T$107&lt;$S$2:$S$107))</f>
        <v>0</v>
      </c>
      <c r="AV53" s="60">
        <f>SUMPRODUCT(($L$2:$L$107=AI53)*($T$2:$T$107&gt;$S$2:$S$107))</f>
        <v>0</v>
      </c>
      <c r="AW53" s="60">
        <f>COUNTIFS($M$2:$M$107,AI53,$E$2:$E$107,3)</f>
        <v>0</v>
      </c>
      <c r="AX53" s="60">
        <f>COUNTIFS($L$2:$L$107,AI53,$E$2:$E$107,3)</f>
        <v>0</v>
      </c>
      <c r="AY53" s="60">
        <f>SUMIFS($T$2:$T$107, $M$2:$M$107, AI53,$E$2:$E$107, 3)</f>
        <v>0</v>
      </c>
      <c r="AZ53" s="60">
        <f>SUMIFS($S$2:$S$107, $L$2:$L$107, AI53,$E$2:$E$107, 3)</f>
        <v>0</v>
      </c>
      <c r="BA53" s="60">
        <f>SUMIFS($S$2:$S$107, $M$2:$M$107, AI53,$E$2:$E$107, 3)</f>
        <v>0</v>
      </c>
      <c r="BB53" s="60">
        <f>SUMIFS($T$2:$T$107, $L$2:$L$107, AI53,$E$2:$E$107, 3)</f>
        <v>0</v>
      </c>
      <c r="BC53" s="60">
        <f t="shared" si="45"/>
        <v>0</v>
      </c>
      <c r="BD53" s="60">
        <f t="shared" si="45"/>
        <v>0</v>
      </c>
      <c r="BE53" s="60">
        <f t="shared" ref="BE53:BE55" si="51">AY53+AZ53</f>
        <v>0</v>
      </c>
      <c r="BF53" s="60">
        <f t="shared" ref="BF53:BF55" si="52">BA53+BB53</f>
        <v>0</v>
      </c>
      <c r="BG53" s="60">
        <f t="shared" ref="BG53:BG55" si="53">(AY53+AZ53)-(BA53+BB53)</f>
        <v>0</v>
      </c>
      <c r="BH53" t="e">
        <f t="shared" si="46"/>
        <v>#DIV/0!</v>
      </c>
      <c r="BI53" t="e">
        <f t="shared" si="46"/>
        <v>#DIV/0!</v>
      </c>
      <c r="BJ53" t="e">
        <f t="shared" si="47"/>
        <v>#DIV/0!</v>
      </c>
      <c r="BK53" t="e">
        <f t="shared" si="47"/>
        <v>#DIV/0!</v>
      </c>
      <c r="BL53" t="e">
        <f t="shared" ref="BL53:BL55" si="54">BE53/AJ53</f>
        <v>#DIV/0!</v>
      </c>
      <c r="BM53" t="e">
        <f t="shared" ref="BM53:BM55" si="55">BF53/AJ53</f>
        <v>#DIV/0!</v>
      </c>
      <c r="BN53" s="68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33"/>
    </row>
    <row r="54" spans="1:91" x14ac:dyDescent="0.25">
      <c r="A54" s="60"/>
      <c r="B54" s="62"/>
      <c r="C54" s="63"/>
      <c r="D54" s="62"/>
      <c r="E54" s="65"/>
      <c r="F54" s="69"/>
      <c r="G54" s="65"/>
      <c r="H54" s="65"/>
      <c r="I54" s="65"/>
      <c r="J54" s="65"/>
      <c r="K54" s="65"/>
      <c r="L54" s="65"/>
      <c r="M54" s="65"/>
      <c r="N54" s="66"/>
      <c r="O54" s="66"/>
      <c r="P54" s="66"/>
      <c r="Q54" s="66"/>
      <c r="R54" s="62"/>
      <c r="S54" s="66"/>
      <c r="T54" s="66"/>
      <c r="U54" s="66"/>
      <c r="V54" s="66"/>
      <c r="W54" s="66" t="str">
        <f t="shared" si="2"/>
        <v/>
      </c>
      <c r="X54" s="66"/>
      <c r="Y54" s="66"/>
      <c r="Z54" s="66"/>
      <c r="AA54" s="60"/>
      <c r="AB54" s="68"/>
      <c r="AC54" s="14"/>
      <c r="AD54" s="14"/>
      <c r="AE54" s="14"/>
      <c r="AF54" s="14"/>
      <c r="AG54" s="14"/>
      <c r="AH54" s="45"/>
      <c r="AI54" s="60"/>
      <c r="AJ54" s="60">
        <f>COUNTIFS($L$2:$L$107, AI54, $E$2:$E$107, 1) + COUNTIFS($M$2:$M$107, AI54, $E$2:$E$107, 1)</f>
        <v>0</v>
      </c>
      <c r="AK54" s="60">
        <f>COUNTIFS($L$2:$L$107, AI54, $E$2:$E$107, 2) + COUNTIFS($M$2:$M$107, AI54, $E$2:$E$107, 2)</f>
        <v>0</v>
      </c>
      <c r="AL54" s="60">
        <f>COUNTIFS($L$2:$L$107, AI54, $E$2:$E$107, 3) + COUNTIFS($M$2:$M$107, AI54, $E$2:$E$107, 3)</f>
        <v>0</v>
      </c>
      <c r="AM54" s="60">
        <f>COUNTIFS($L$2:$L$107, AI54, $E$2:$E$107, 4) + COUNTIFS($M$2:$M$107, AI54, $E$2:$E$107, 4)</f>
        <v>0</v>
      </c>
      <c r="AN54" s="60">
        <f t="shared" si="48"/>
        <v>0</v>
      </c>
      <c r="AO54" s="60">
        <f>COUNTIF($M$2:$M$107, AI54)</f>
        <v>0</v>
      </c>
      <c r="AP54" s="60">
        <f>COUNTIF($L$2:$L$107, AI54)</f>
        <v>0</v>
      </c>
      <c r="AQ54" s="60">
        <f t="shared" si="49"/>
        <v>0</v>
      </c>
      <c r="AR54" s="60">
        <f t="shared" si="50"/>
        <v>0</v>
      </c>
      <c r="AS54" s="60">
        <f>SUMPRODUCT(($M$2:$M$107=AI54)*($T$2:$T$107&gt;$S$2:$S$107))</f>
        <v>0</v>
      </c>
      <c r="AT54" s="60">
        <f>SUMPRODUCT(($M$2:$M$107=AI54)*($T$2:$T$107&lt;$S$2:$S$107))</f>
        <v>0</v>
      </c>
      <c r="AU54" s="60">
        <f>SUMPRODUCT(($L$2:$L$107=AI54)*($T$2:$T$107&lt;$S$2:$S$107))</f>
        <v>0</v>
      </c>
      <c r="AV54" s="60">
        <f>SUMPRODUCT(($L$2:$L$107=AI54)*($T$2:$T$107&gt;$S$2:$S$107))</f>
        <v>0</v>
      </c>
      <c r="AW54" s="60">
        <f>COUNTIFS($M$2:$M$107,AI54,$E$2:$E$107,3)</f>
        <v>0</v>
      </c>
      <c r="AX54" s="60">
        <f>COUNTIFS($L$2:$L$107,AI54,$E$2:$E$107,3)</f>
        <v>0</v>
      </c>
      <c r="AY54" s="60">
        <f>SUMIFS($T$2:$T$107, $M$2:$M$107, AI54,$E$2:$E$107, 3)</f>
        <v>0</v>
      </c>
      <c r="AZ54" s="60">
        <f>SUMIFS($S$2:$S$107, $L$2:$L$107, AI54,$E$2:$E$107, 3)</f>
        <v>0</v>
      </c>
      <c r="BA54" s="60">
        <f>SUMIFS($S$2:$S$107, $M$2:$M$107, AI54,$E$2:$E$107, 3)</f>
        <v>0</v>
      </c>
      <c r="BB54" s="60">
        <f>SUMIFS($T$2:$T$107, $L$2:$L$107, AI54,$E$2:$E$107, 3)</f>
        <v>0</v>
      </c>
      <c r="BC54" s="60">
        <f t="shared" si="45"/>
        <v>0</v>
      </c>
      <c r="BD54" s="60">
        <f t="shared" si="45"/>
        <v>0</v>
      </c>
      <c r="BE54" s="60">
        <f t="shared" si="51"/>
        <v>0</v>
      </c>
      <c r="BF54" s="60">
        <f t="shared" si="52"/>
        <v>0</v>
      </c>
      <c r="BG54" s="60">
        <f t="shared" si="53"/>
        <v>0</v>
      </c>
      <c r="BH54" t="e">
        <f t="shared" si="46"/>
        <v>#DIV/0!</v>
      </c>
      <c r="BI54" t="e">
        <f t="shared" si="46"/>
        <v>#DIV/0!</v>
      </c>
      <c r="BJ54" t="e">
        <f t="shared" si="47"/>
        <v>#DIV/0!</v>
      </c>
      <c r="BK54" t="e">
        <f t="shared" si="47"/>
        <v>#DIV/0!</v>
      </c>
      <c r="BL54" s="60" t="e">
        <f t="shared" si="54"/>
        <v>#DIV/0!</v>
      </c>
      <c r="BM54" s="60" t="e">
        <f t="shared" si="55"/>
        <v>#DIV/0!</v>
      </c>
      <c r="BN54" s="68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33"/>
    </row>
    <row r="55" spans="1:91" x14ac:dyDescent="0.25">
      <c r="A55" s="60"/>
      <c r="B55" s="62"/>
      <c r="C55" s="63"/>
      <c r="D55" s="62"/>
      <c r="E55" s="65"/>
      <c r="F55" s="69"/>
      <c r="G55" s="65"/>
      <c r="H55" s="65"/>
      <c r="I55" s="65"/>
      <c r="J55" s="65"/>
      <c r="K55" s="65"/>
      <c r="L55" s="66"/>
      <c r="M55" s="66"/>
      <c r="N55" s="66"/>
      <c r="O55" s="66"/>
      <c r="P55" s="66"/>
      <c r="Q55" s="66"/>
      <c r="R55" s="62"/>
      <c r="S55" s="66"/>
      <c r="T55" s="66"/>
      <c r="U55" s="66"/>
      <c r="V55" s="66"/>
      <c r="W55" s="66" t="str">
        <f t="shared" si="2"/>
        <v/>
      </c>
      <c r="X55" s="66"/>
      <c r="Y55" s="66"/>
      <c r="Z55" s="66"/>
      <c r="AA55" s="60"/>
      <c r="AB55" s="68"/>
      <c r="AC55" s="14"/>
      <c r="AD55" s="14"/>
      <c r="AE55" s="14"/>
      <c r="AF55" s="14"/>
      <c r="AG55" s="14"/>
      <c r="AH55" s="45"/>
      <c r="AI55" s="60"/>
      <c r="AJ55" s="60">
        <f>COUNTIFS($L$2:$L$107, AI55, $E$2:$E$107, 1) + COUNTIFS($M$2:$M$107, AI55, $E$2:$E$107, 1)</f>
        <v>0</v>
      </c>
      <c r="AK55" s="60">
        <f>COUNTIFS($L$2:$L$107, AI55, $E$2:$E$107, 2) + COUNTIFS($M$2:$M$107, AI55, $E$2:$E$107, 2)</f>
        <v>0</v>
      </c>
      <c r="AL55" s="60">
        <f>COUNTIFS($L$2:$L$107, AI55, $E$2:$E$107, 3) + COUNTIFS($M$2:$M$107, AI55, $E$2:$E$107, 3)</f>
        <v>0</v>
      </c>
      <c r="AM55" s="60">
        <f>COUNTIFS($L$2:$L$107, AI55, $E$2:$E$107, 4) + COUNTIFS($M$2:$M$107, AI55, $E$2:$E$107, 4)</f>
        <v>0</v>
      </c>
      <c r="AN55" s="60">
        <f t="shared" si="48"/>
        <v>0</v>
      </c>
      <c r="AO55" s="60">
        <f>COUNTIF($M$2:$M$107, AI55)</f>
        <v>0</v>
      </c>
      <c r="AP55" s="60">
        <f>COUNTIF($L$2:$L$107, AI55)</f>
        <v>0</v>
      </c>
      <c r="AQ55" s="60">
        <f t="shared" si="49"/>
        <v>0</v>
      </c>
      <c r="AR55" s="60">
        <f t="shared" si="50"/>
        <v>0</v>
      </c>
      <c r="AS55" s="60">
        <f>SUMPRODUCT(($M$2:$M$107=AI55)*($T$2:$T$107&gt;$S$2:$S$107))</f>
        <v>0</v>
      </c>
      <c r="AT55" s="60">
        <f>SUMPRODUCT(($M$2:$M$107=AI55)*($T$2:$T$107&lt;$S$2:$S$107))</f>
        <v>0</v>
      </c>
      <c r="AU55" s="60">
        <f>SUMPRODUCT(($L$2:$L$107=AI55)*($T$2:$T$107&lt;$S$2:$S$107))</f>
        <v>0</v>
      </c>
      <c r="AV55" s="60">
        <f>SUMPRODUCT(($L$2:$L$107=AI55)*($T$2:$T$107&gt;$S$2:$S$107))</f>
        <v>0</v>
      </c>
      <c r="AW55" s="60">
        <f>COUNTIFS($M$2:$M$107,AI55,$E$2:$E$107,3)</f>
        <v>0</v>
      </c>
      <c r="AX55" s="60">
        <f>COUNTIFS($L$2:$L$107,AI55,$E$2:$E$107,3)</f>
        <v>0</v>
      </c>
      <c r="AY55" s="60">
        <f>SUMIFS($T$2:$T$107, $M$2:$M$107, AI55,$E$2:$E$107, 3)</f>
        <v>0</v>
      </c>
      <c r="AZ55" s="60">
        <f>SUMIFS($S$2:$S$107, $L$2:$L$107, AI55,$E$2:$E$107, 3)</f>
        <v>0</v>
      </c>
      <c r="BA55" s="60">
        <f>SUMIFS($S$2:$S$107, $M$2:$M$107, AI55,$E$2:$E$107, 3)</f>
        <v>0</v>
      </c>
      <c r="BB55" s="60">
        <f>SUMIFS($T$2:$T$107, $L$2:$L$107, AI55,$E$2:$E$107, 3)</f>
        <v>0</v>
      </c>
      <c r="BC55" s="60">
        <f t="shared" si="45"/>
        <v>0</v>
      </c>
      <c r="BD55" s="60">
        <f t="shared" si="45"/>
        <v>0</v>
      </c>
      <c r="BE55" s="60">
        <f t="shared" si="51"/>
        <v>0</v>
      </c>
      <c r="BF55" s="60">
        <f t="shared" si="52"/>
        <v>0</v>
      </c>
      <c r="BG55" s="60">
        <f t="shared" si="53"/>
        <v>0</v>
      </c>
      <c r="BH55" t="e">
        <f t="shared" si="46"/>
        <v>#DIV/0!</v>
      </c>
      <c r="BI55" t="e">
        <f t="shared" si="46"/>
        <v>#DIV/0!</v>
      </c>
      <c r="BJ55" t="e">
        <f t="shared" si="47"/>
        <v>#DIV/0!</v>
      </c>
      <c r="BK55" t="e">
        <f t="shared" si="47"/>
        <v>#DIV/0!</v>
      </c>
      <c r="BL55" s="60" t="e">
        <f t="shared" si="54"/>
        <v>#DIV/0!</v>
      </c>
      <c r="BM55" s="60" t="e">
        <f t="shared" si="55"/>
        <v>#DIV/0!</v>
      </c>
      <c r="BN55" s="68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33"/>
    </row>
    <row r="56" spans="1:91" x14ac:dyDescent="0.25">
      <c r="A56" s="60"/>
      <c r="B56" s="62"/>
      <c r="C56" s="63"/>
      <c r="D56" s="62"/>
      <c r="E56" s="65"/>
      <c r="F56" s="69"/>
      <c r="G56" s="65"/>
      <c r="H56" s="65"/>
      <c r="I56" s="65"/>
      <c r="J56" s="65"/>
      <c r="K56" s="65"/>
      <c r="L56" s="65"/>
      <c r="M56" s="65"/>
      <c r="N56" s="66"/>
      <c r="O56" s="66"/>
      <c r="P56" s="66"/>
      <c r="Q56" s="66"/>
      <c r="R56" s="62"/>
      <c r="S56" s="66"/>
      <c r="T56" s="66"/>
      <c r="U56" s="66"/>
      <c r="V56" s="66"/>
      <c r="W56" s="66" t="str">
        <f t="shared" si="2"/>
        <v/>
      </c>
      <c r="X56" s="66"/>
      <c r="Y56" s="66"/>
      <c r="Z56" s="66"/>
      <c r="AA56" s="60"/>
      <c r="AB56" s="68"/>
      <c r="AC56" s="14"/>
      <c r="AD56" s="14"/>
      <c r="AE56" s="14"/>
      <c r="AF56" s="14"/>
      <c r="AG56" s="14"/>
      <c r="AH56" s="45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33"/>
    </row>
    <row r="57" spans="1:91" x14ac:dyDescent="0.25">
      <c r="A57" s="60"/>
      <c r="B57" s="62"/>
      <c r="C57" s="63"/>
      <c r="D57" s="62"/>
      <c r="E57" s="65"/>
      <c r="F57" s="69"/>
      <c r="G57" s="65"/>
      <c r="H57" s="65"/>
      <c r="I57" s="65"/>
      <c r="J57" s="65"/>
      <c r="K57" s="65"/>
      <c r="L57" s="65"/>
      <c r="M57" s="65"/>
      <c r="N57" s="66"/>
      <c r="O57" s="66"/>
      <c r="P57" s="66"/>
      <c r="Q57" s="66"/>
      <c r="R57" s="62"/>
      <c r="S57" s="66"/>
      <c r="T57" s="66"/>
      <c r="U57" s="66"/>
      <c r="V57" s="66"/>
      <c r="W57" s="66" t="str">
        <f t="shared" si="2"/>
        <v/>
      </c>
      <c r="X57" s="66"/>
      <c r="Y57" s="66"/>
      <c r="Z57" s="66"/>
      <c r="AA57" s="60"/>
      <c r="AB57" s="68"/>
      <c r="AC57" s="14"/>
      <c r="AD57" s="14"/>
      <c r="AE57" s="14"/>
      <c r="AF57" s="14"/>
      <c r="AG57" s="14"/>
      <c r="AH57" s="45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33"/>
    </row>
    <row r="58" spans="1:91" x14ac:dyDescent="0.25">
      <c r="A58" s="60"/>
      <c r="B58" s="62"/>
      <c r="C58" s="63"/>
      <c r="D58" s="62"/>
      <c r="E58" s="65"/>
      <c r="F58" s="69"/>
      <c r="G58" s="65"/>
      <c r="H58" s="65"/>
      <c r="I58" s="65"/>
      <c r="J58" s="65"/>
      <c r="K58" s="65"/>
      <c r="L58" s="65"/>
      <c r="M58" s="65"/>
      <c r="N58" s="66"/>
      <c r="O58" s="66"/>
      <c r="P58" s="66"/>
      <c r="Q58" s="66"/>
      <c r="R58" s="62"/>
      <c r="S58" s="66"/>
      <c r="T58" s="66"/>
      <c r="U58" s="66"/>
      <c r="V58" s="66"/>
      <c r="W58" s="66" t="str">
        <f t="shared" si="2"/>
        <v/>
      </c>
      <c r="X58" s="66"/>
      <c r="Y58" s="66"/>
      <c r="Z58" s="66"/>
      <c r="AA58" s="60"/>
      <c r="AB58" s="68"/>
      <c r="AC58" s="14"/>
      <c r="AD58" s="14"/>
      <c r="AE58" s="14"/>
      <c r="AF58" s="14"/>
      <c r="AG58" s="14"/>
      <c r="AH58" s="45"/>
      <c r="AI58" s="28" t="s">
        <v>164</v>
      </c>
      <c r="AJ58" s="39" t="s">
        <v>57</v>
      </c>
      <c r="AK58" s="39" t="s">
        <v>58</v>
      </c>
      <c r="AL58" s="39" t="s">
        <v>59</v>
      </c>
      <c r="AM58" s="39" t="s">
        <v>60</v>
      </c>
      <c r="AN58" s="39" t="s">
        <v>61</v>
      </c>
      <c r="AO58" s="39" t="s">
        <v>62</v>
      </c>
      <c r="AP58" s="39" t="s">
        <v>63</v>
      </c>
      <c r="AQ58" s="39" t="s">
        <v>64</v>
      </c>
      <c r="AR58" s="39" t="s">
        <v>65</v>
      </c>
      <c r="AS58" s="39" t="s">
        <v>66</v>
      </c>
      <c r="AT58" s="39" t="s">
        <v>67</v>
      </c>
      <c r="AU58" s="39" t="s">
        <v>68</v>
      </c>
      <c r="AV58" s="39" t="s">
        <v>69</v>
      </c>
      <c r="AW58" s="39" t="s">
        <v>137</v>
      </c>
      <c r="AX58" s="39" t="s">
        <v>138</v>
      </c>
      <c r="AY58" s="39" t="s">
        <v>139</v>
      </c>
      <c r="AZ58" s="39" t="s">
        <v>140</v>
      </c>
      <c r="BA58" s="39" t="s">
        <v>141</v>
      </c>
      <c r="BB58" s="39" t="s">
        <v>142</v>
      </c>
      <c r="BC58" s="39" t="s">
        <v>143</v>
      </c>
      <c r="BD58" s="39" t="s">
        <v>144</v>
      </c>
      <c r="BE58" s="39" t="s">
        <v>145</v>
      </c>
      <c r="BF58" s="39" t="s">
        <v>146</v>
      </c>
      <c r="BG58" s="39" t="s">
        <v>147</v>
      </c>
      <c r="BH58" s="106" t="s">
        <v>148</v>
      </c>
      <c r="BI58" s="106" t="s">
        <v>149</v>
      </c>
      <c r="BJ58" s="106" t="s">
        <v>150</v>
      </c>
      <c r="BK58" s="106" t="s">
        <v>151</v>
      </c>
      <c r="BL58" s="106" t="s">
        <v>152</v>
      </c>
      <c r="BM58" s="106" t="s">
        <v>153</v>
      </c>
      <c r="BN58" s="68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33"/>
    </row>
    <row r="59" spans="1:91" x14ac:dyDescent="0.25">
      <c r="A59" s="60"/>
      <c r="B59" s="62"/>
      <c r="C59" s="63"/>
      <c r="D59" s="62"/>
      <c r="E59" s="65"/>
      <c r="F59" s="69"/>
      <c r="G59" s="65"/>
      <c r="H59" s="65"/>
      <c r="I59" s="65"/>
      <c r="J59" s="65"/>
      <c r="K59" s="65"/>
      <c r="L59" s="65"/>
      <c r="M59" s="65"/>
      <c r="N59" s="66"/>
      <c r="O59" s="66"/>
      <c r="P59" s="66"/>
      <c r="Q59" s="66"/>
      <c r="R59" s="62"/>
      <c r="S59" s="66"/>
      <c r="T59" s="66"/>
      <c r="U59" s="66"/>
      <c r="V59" s="66"/>
      <c r="W59" s="66" t="str">
        <f t="shared" si="2"/>
        <v/>
      </c>
      <c r="X59" s="66"/>
      <c r="Y59" s="66"/>
      <c r="Z59" s="66"/>
      <c r="AA59" s="60"/>
      <c r="AB59" s="68"/>
      <c r="AC59" s="14"/>
      <c r="AD59" s="14"/>
      <c r="AE59" s="14"/>
      <c r="AF59" s="14"/>
      <c r="AG59" s="14"/>
      <c r="AH59" s="45"/>
      <c r="AI59" s="60"/>
      <c r="AJ59" s="60">
        <f>COUNTIFS($L$2:$L$107, AI59, $E$2:$E$107, 1) + COUNTIFS($M$2:$M$107, AI59, $E$2:$E$107, 1)</f>
        <v>0</v>
      </c>
      <c r="AK59" s="60">
        <f>COUNTIFS($L$2:$L$107, AI59, $E$2:$E$107, 2) + COUNTIFS($M$2:$M$107, AI59, $E$2:$E$107, 2)</f>
        <v>0</v>
      </c>
      <c r="AL59" s="60">
        <f>COUNTIFS($L$2:$L$107, AI59, $E$2:$E$107, 3) + COUNTIFS($M$2:$M$107, AI59, $E$2:$E$107, 3)</f>
        <v>0</v>
      </c>
      <c r="AM59" s="60">
        <f>COUNTIFS($L$2:$L$107, AI59, $E$2:$E$107, 4) + COUNTIFS($M$2:$M$107, AI59, $E$2:$E$107, 4)</f>
        <v>0</v>
      </c>
      <c r="AN59" s="60">
        <f>AJ59+AK59+AL59+AM59</f>
        <v>0</v>
      </c>
      <c r="AO59" s="60">
        <f>COUNTIF($M$2:$M$107, AI59)</f>
        <v>0</v>
      </c>
      <c r="AP59" s="60">
        <f>COUNTIF($L$2:$L$107, AI59)</f>
        <v>0</v>
      </c>
      <c r="AQ59" s="60">
        <f>AS59+AU59</f>
        <v>0</v>
      </c>
      <c r="AR59" s="60">
        <f>AN59-AQ59</f>
        <v>0</v>
      </c>
      <c r="AS59" s="60">
        <f>SUMPRODUCT(($M$2:$M$107=AI59)*($T$2:$T$107&gt;$S$2:$S$107))</f>
        <v>0</v>
      </c>
      <c r="AT59" s="60">
        <f>SUMPRODUCT(($M$2:$M$107=AI59)*($T$2:$T$107&lt;$S$2:$S$107))</f>
        <v>0</v>
      </c>
      <c r="AU59" s="60">
        <f>SUMPRODUCT(($L$2:$L$107=AI59)*($T$2:$T$107&lt;$S$2:$S$107))</f>
        <v>0</v>
      </c>
      <c r="AV59" s="60">
        <f>SUMPRODUCT(($L$2:$L$107=AI59)*($T$2:$T$107&gt;$S$2:$S$107))</f>
        <v>0</v>
      </c>
      <c r="AW59" s="60">
        <f>COUNTIFS($M$2:$M$107,AI59,$E$2:$E$107,4)</f>
        <v>0</v>
      </c>
      <c r="AX59" s="60">
        <f>COUNTIFS($L$2:$L$107,AI59,$E$2:$E$107,4)</f>
        <v>0</v>
      </c>
      <c r="AY59" s="60">
        <f>SUMIFS($T$2:$T$107, $M$2:$M$107, AI59,$E$2:$E$107, 4)</f>
        <v>0</v>
      </c>
      <c r="AZ59" s="60">
        <f>SUMIFS($S$2:$S$107, $L$2:$L$107, AI59,$E$2:$E$107, 4)</f>
        <v>0</v>
      </c>
      <c r="BA59" s="60">
        <f>SUMIFS($S$2:$S$107, $M$2:$M$107, AI59,$E$2:$E$107, 4)</f>
        <v>0</v>
      </c>
      <c r="BB59" s="60">
        <f>SUMIFS($T$2:$T$107, $L$2:$L$107, AI59,$E$2:$E$107, 4)</f>
        <v>0</v>
      </c>
      <c r="BC59" s="60">
        <f t="shared" ref="BC59:BD60" si="56">AY59-BA59</f>
        <v>0</v>
      </c>
      <c r="BD59" s="60">
        <f t="shared" si="56"/>
        <v>0</v>
      </c>
      <c r="BE59" s="60">
        <f>AY59+AZ59</f>
        <v>0</v>
      </c>
      <c r="BF59" s="60">
        <f>BA59+BB59</f>
        <v>0</v>
      </c>
      <c r="BG59" s="60">
        <f>(AY59+AZ59)-(BA59+BB59)</f>
        <v>0</v>
      </c>
      <c r="BH59" t="e">
        <f t="shared" ref="BH59:BI60" si="57">AY59/AW59</f>
        <v>#DIV/0!</v>
      </c>
      <c r="BI59" t="e">
        <f t="shared" si="57"/>
        <v>#DIV/0!</v>
      </c>
      <c r="BJ59" t="e">
        <f t="shared" ref="BJ59:BK60" si="58">BA59/AW59</f>
        <v>#DIV/0!</v>
      </c>
      <c r="BK59" t="e">
        <f t="shared" si="58"/>
        <v>#DIV/0!</v>
      </c>
      <c r="BL59" t="e">
        <f>BE59/AJ59</f>
        <v>#DIV/0!</v>
      </c>
      <c r="BM59" t="e">
        <f>BF59/AJ59</f>
        <v>#DIV/0!</v>
      </c>
      <c r="BN59" s="68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33"/>
    </row>
    <row r="60" spans="1:91" x14ac:dyDescent="0.25">
      <c r="A60" s="60"/>
      <c r="B60" s="62"/>
      <c r="C60" s="63"/>
      <c r="D60" s="62"/>
      <c r="E60" s="65"/>
      <c r="F60" s="69"/>
      <c r="G60" s="65"/>
      <c r="H60" s="65"/>
      <c r="I60" s="65"/>
      <c r="J60" s="65"/>
      <c r="K60" s="65"/>
      <c r="L60" s="65"/>
      <c r="M60" s="65"/>
      <c r="N60" s="66"/>
      <c r="O60" s="66"/>
      <c r="P60" s="66"/>
      <c r="Q60" s="66"/>
      <c r="R60" s="62"/>
      <c r="S60" s="66"/>
      <c r="T60" s="66"/>
      <c r="U60" s="66"/>
      <c r="V60" s="66"/>
      <c r="W60" s="66" t="str">
        <f t="shared" si="2"/>
        <v/>
      </c>
      <c r="X60" s="66"/>
      <c r="Y60" s="66"/>
      <c r="Z60" s="66"/>
      <c r="AA60" s="60"/>
      <c r="AB60" s="68"/>
      <c r="AC60" s="14"/>
      <c r="AD60" s="14"/>
      <c r="AE60" s="14"/>
      <c r="AF60" s="14"/>
      <c r="AG60" s="14"/>
      <c r="AH60" s="45"/>
      <c r="AI60" s="60"/>
      <c r="AJ60" s="60">
        <f>COUNTIFS($L$2:$L$107, AI60, $E$2:$E$107, 1) + COUNTIFS($M$2:$M$107, AI60, $E$2:$E$107, 1)</f>
        <v>0</v>
      </c>
      <c r="AK60" s="60">
        <f>COUNTIFS($L$2:$L$107, AI60, $E$2:$E$107, 2) + COUNTIFS($M$2:$M$107, AI60, $E$2:$E$107, 2)</f>
        <v>0</v>
      </c>
      <c r="AL60" s="60">
        <f>COUNTIFS($L$2:$L$107, AI60, $E$2:$E$107, 3) + COUNTIFS($M$2:$M$107, AI60, $E$2:$E$107, 3)</f>
        <v>0</v>
      </c>
      <c r="AM60" s="60">
        <f>COUNTIFS($L$2:$L$107, AI60, $E$2:$E$107, 4) + COUNTIFS($M$2:$M$107, AI60, $E$2:$E$107, 4)</f>
        <v>0</v>
      </c>
      <c r="AN60" s="60">
        <f t="shared" ref="AN60" si="59">AJ60+AK60+AL60+AM60</f>
        <v>0</v>
      </c>
      <c r="AO60" s="60">
        <f>COUNTIF($M$2:$M$107, AI60)</f>
        <v>0</v>
      </c>
      <c r="AP60" s="60">
        <f>COUNTIF($L$2:$L$107, AI60)</f>
        <v>0</v>
      </c>
      <c r="AQ60" s="60">
        <f>AS60+AU60</f>
        <v>0</v>
      </c>
      <c r="AR60" s="60">
        <f>AN60-AQ60</f>
        <v>0</v>
      </c>
      <c r="AS60" s="60">
        <f>SUMPRODUCT(($M$2:$M$107=AI60)*($T$2:$T$107&gt;$S$2:$S$107))</f>
        <v>0</v>
      </c>
      <c r="AT60" s="60">
        <f>SUMPRODUCT(($M$2:$M$107=AI60)*($T$2:$T$107&lt;$S$2:$S$107))</f>
        <v>0</v>
      </c>
      <c r="AU60" s="60">
        <f>SUMPRODUCT(($L$2:$L$107=AI60)*($T$2:$T$107&lt;$S$2:$S$107))</f>
        <v>0</v>
      </c>
      <c r="AV60" s="60">
        <f>SUMPRODUCT(($L$2:$L$107=AI60)*($T$2:$T$107&gt;$S$2:$S$107))</f>
        <v>0</v>
      </c>
      <c r="AW60" s="60">
        <f>COUNTIFS($M$2:$M$107,AI60,$E$2:$E$107,4)</f>
        <v>0</v>
      </c>
      <c r="AX60" s="60">
        <f>COUNTIFS($L$2:$L$107,AI60,$E$2:$E$107,4)</f>
        <v>0</v>
      </c>
      <c r="AY60" s="60">
        <f>SUMIFS($T$2:$T$107, $M$2:$M$107, AI60,$E$2:$E$107, 4)</f>
        <v>0</v>
      </c>
      <c r="AZ60" s="60">
        <f>SUMIFS($S$2:$S$107, $L$2:$L$107, AI60,$E$2:$E$107, 4)</f>
        <v>0</v>
      </c>
      <c r="BA60" s="60">
        <f>SUMIFS($S$2:$S$107, $M$2:$M$107, AI60,$E$2:$E$107, 4)</f>
        <v>0</v>
      </c>
      <c r="BB60" s="60">
        <f>SUMIFS($T$2:$T$107, $L$2:$L$107, AI60,$E$2:$E$107, 4)</f>
        <v>0</v>
      </c>
      <c r="BC60" s="60">
        <f t="shared" si="56"/>
        <v>0</v>
      </c>
      <c r="BD60" s="60">
        <f t="shared" si="56"/>
        <v>0</v>
      </c>
      <c r="BE60" s="60">
        <f t="shared" ref="BE60" si="60">AY60+AZ60</f>
        <v>0</v>
      </c>
      <c r="BF60" s="60">
        <f t="shared" ref="BF60" si="61">BA60+BB60</f>
        <v>0</v>
      </c>
      <c r="BG60" s="60">
        <f t="shared" ref="BG60" si="62">(AY60+AZ60)-(BA60+BB60)</f>
        <v>0</v>
      </c>
      <c r="BH60" t="e">
        <f t="shared" si="57"/>
        <v>#DIV/0!</v>
      </c>
      <c r="BI60" t="e">
        <f t="shared" si="57"/>
        <v>#DIV/0!</v>
      </c>
      <c r="BJ60" t="e">
        <f t="shared" si="58"/>
        <v>#DIV/0!</v>
      </c>
      <c r="BK60" t="e">
        <f t="shared" si="58"/>
        <v>#DIV/0!</v>
      </c>
      <c r="BL60" t="e">
        <f t="shared" ref="BL60" si="63">BE60/AJ60</f>
        <v>#DIV/0!</v>
      </c>
      <c r="BM60" t="e">
        <f t="shared" ref="BM60" si="64">BF60/AJ60</f>
        <v>#DIV/0!</v>
      </c>
      <c r="BN60" s="68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33"/>
    </row>
    <row r="61" spans="1:91" x14ac:dyDescent="0.25">
      <c r="A61" s="60"/>
      <c r="B61" s="62"/>
      <c r="C61" s="63"/>
      <c r="D61" s="62"/>
      <c r="E61" s="65"/>
      <c r="F61" s="69"/>
      <c r="G61" s="65"/>
      <c r="H61" s="65"/>
      <c r="I61" s="65"/>
      <c r="J61" s="65"/>
      <c r="K61" s="65"/>
      <c r="L61" s="65"/>
      <c r="M61" s="65"/>
      <c r="N61" s="66"/>
      <c r="O61" s="66"/>
      <c r="P61" s="66"/>
      <c r="Q61" s="66"/>
      <c r="R61" s="62"/>
      <c r="S61" s="66"/>
      <c r="T61" s="66"/>
      <c r="U61" s="66"/>
      <c r="V61" s="66"/>
      <c r="W61" s="66" t="str">
        <f t="shared" si="2"/>
        <v/>
      </c>
      <c r="X61" s="66"/>
      <c r="Y61" s="66"/>
      <c r="Z61" s="66"/>
      <c r="AA61" s="60"/>
      <c r="AB61" s="68"/>
      <c r="AC61" s="14"/>
      <c r="AD61" s="14"/>
      <c r="AE61" s="14"/>
      <c r="AF61" s="14"/>
      <c r="AG61" s="14"/>
      <c r="AH61" s="45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33"/>
    </row>
    <row r="62" spans="1:91" x14ac:dyDescent="0.25">
      <c r="A62" s="60"/>
      <c r="B62" s="62"/>
      <c r="C62" s="63"/>
      <c r="D62" s="62"/>
      <c r="E62" s="65"/>
      <c r="F62" s="69"/>
      <c r="G62" s="65"/>
      <c r="H62" s="65"/>
      <c r="I62" s="65"/>
      <c r="J62" s="65"/>
      <c r="K62" s="65"/>
      <c r="L62" s="65"/>
      <c r="M62" s="65"/>
      <c r="N62" s="66"/>
      <c r="O62" s="66"/>
      <c r="P62" s="66"/>
      <c r="Q62" s="66"/>
      <c r="R62" s="62"/>
      <c r="S62" s="66"/>
      <c r="T62" s="66"/>
      <c r="U62" s="66"/>
      <c r="V62" s="66"/>
      <c r="W62" s="66" t="str">
        <f t="shared" si="2"/>
        <v/>
      </c>
      <c r="X62" s="66"/>
      <c r="Y62" s="66"/>
      <c r="Z62" s="66"/>
      <c r="AA62" s="60"/>
      <c r="AB62" s="68"/>
      <c r="AC62" s="14"/>
      <c r="AD62" s="14"/>
      <c r="AE62" s="14"/>
      <c r="AF62" s="14"/>
      <c r="AG62" s="14"/>
      <c r="AH62" s="45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33"/>
    </row>
    <row r="63" spans="1:91" x14ac:dyDescent="0.25">
      <c r="A63" s="60"/>
      <c r="B63" s="62"/>
      <c r="C63" s="63"/>
      <c r="D63" s="62"/>
      <c r="E63" s="65"/>
      <c r="F63" s="69"/>
      <c r="G63" s="65"/>
      <c r="H63" s="65"/>
      <c r="I63" s="65"/>
      <c r="J63" s="65"/>
      <c r="K63" s="65"/>
      <c r="L63" s="65"/>
      <c r="M63" s="65"/>
      <c r="N63" s="66"/>
      <c r="O63" s="66"/>
      <c r="P63" s="66"/>
      <c r="Q63" s="66"/>
      <c r="R63" s="62"/>
      <c r="S63" s="66"/>
      <c r="T63" s="66"/>
      <c r="U63" s="66"/>
      <c r="V63" s="66"/>
      <c r="W63" s="66" t="str">
        <f t="shared" si="2"/>
        <v/>
      </c>
      <c r="X63" s="66"/>
      <c r="Y63" s="66"/>
      <c r="Z63" s="66"/>
      <c r="AA63" s="60"/>
      <c r="AB63" s="68"/>
      <c r="AC63" s="14"/>
      <c r="AD63" s="14"/>
      <c r="AE63" s="14"/>
      <c r="AF63" s="14"/>
      <c r="AG63" s="14"/>
      <c r="AH63" s="45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33"/>
    </row>
    <row r="64" spans="1:91" x14ac:dyDescent="0.25">
      <c r="A64" s="60"/>
      <c r="B64" s="62"/>
      <c r="C64" s="63"/>
      <c r="D64" s="62"/>
      <c r="E64" s="65"/>
      <c r="F64" s="69"/>
      <c r="G64" s="65"/>
      <c r="H64" s="65"/>
      <c r="I64" s="65"/>
      <c r="J64" s="65"/>
      <c r="K64" s="65"/>
      <c r="L64" s="65"/>
      <c r="M64" s="65"/>
      <c r="N64" s="66"/>
      <c r="O64" s="66"/>
      <c r="P64" s="66"/>
      <c r="Q64" s="66"/>
      <c r="R64" s="62"/>
      <c r="S64" s="66"/>
      <c r="T64" s="66"/>
      <c r="U64" s="66"/>
      <c r="V64" s="66"/>
      <c r="W64" s="66" t="str">
        <f t="shared" si="2"/>
        <v/>
      </c>
      <c r="X64" s="66"/>
      <c r="Y64" s="66"/>
      <c r="Z64" s="66"/>
      <c r="AA64" s="60"/>
      <c r="AB64" s="68"/>
      <c r="AC64" s="14"/>
      <c r="AD64" s="14"/>
      <c r="AE64" s="14"/>
      <c r="AF64" s="14"/>
      <c r="AG64" s="14"/>
      <c r="AH64" s="45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33"/>
    </row>
    <row r="65" spans="1:91" x14ac:dyDescent="0.25">
      <c r="A65" s="60"/>
      <c r="B65" s="62"/>
      <c r="C65" s="63"/>
      <c r="D65" s="62"/>
      <c r="E65" s="65"/>
      <c r="F65" s="69"/>
      <c r="G65" s="65"/>
      <c r="H65" s="65"/>
      <c r="I65" s="65"/>
      <c r="J65" s="65"/>
      <c r="K65" s="65"/>
      <c r="L65" s="65"/>
      <c r="M65" s="65"/>
      <c r="N65" s="66"/>
      <c r="O65" s="66"/>
      <c r="P65" s="66"/>
      <c r="Q65" s="66"/>
      <c r="R65" s="62"/>
      <c r="S65" s="66"/>
      <c r="T65" s="66"/>
      <c r="U65" s="66"/>
      <c r="V65" s="66"/>
      <c r="W65" s="66" t="str">
        <f t="shared" si="2"/>
        <v/>
      </c>
      <c r="X65" s="66"/>
      <c r="Y65" s="66"/>
      <c r="Z65" s="66"/>
      <c r="AA65" s="60"/>
      <c r="AB65" s="68"/>
      <c r="AC65" s="14"/>
      <c r="AD65" s="14"/>
      <c r="AE65" s="14"/>
      <c r="AF65" s="14"/>
      <c r="AG65" s="14"/>
      <c r="AH65" s="45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33"/>
    </row>
    <row r="66" spans="1:91" x14ac:dyDescent="0.25">
      <c r="A66" s="60"/>
      <c r="B66" s="62"/>
      <c r="C66" s="63"/>
      <c r="D66" s="62"/>
      <c r="E66" s="65"/>
      <c r="F66" s="69"/>
      <c r="G66" s="65"/>
      <c r="H66" s="65"/>
      <c r="I66" s="65"/>
      <c r="J66" s="65"/>
      <c r="K66" s="65"/>
      <c r="L66" s="66"/>
      <c r="M66" s="66"/>
      <c r="N66" s="66"/>
      <c r="O66" s="66"/>
      <c r="P66" s="66"/>
      <c r="Q66" s="66"/>
      <c r="R66" s="62"/>
      <c r="S66" s="66"/>
      <c r="T66" s="66"/>
      <c r="U66" s="66"/>
      <c r="V66" s="66"/>
      <c r="W66" s="66" t="str">
        <f t="shared" si="2"/>
        <v/>
      </c>
      <c r="X66" s="66"/>
      <c r="Y66" s="66"/>
      <c r="Z66" s="66"/>
      <c r="AA66" s="60"/>
      <c r="AB66" s="68"/>
      <c r="AC66" s="14"/>
      <c r="AD66" s="14"/>
      <c r="AE66" s="14"/>
      <c r="AF66" s="14"/>
      <c r="AG66" s="14"/>
      <c r="AH66" s="45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33"/>
    </row>
    <row r="67" spans="1:91" x14ac:dyDescent="0.25">
      <c r="A67" s="60"/>
      <c r="B67" s="62"/>
      <c r="C67" s="63"/>
      <c r="D67" s="62"/>
      <c r="E67" s="65"/>
      <c r="F67" s="69"/>
      <c r="G67" s="65"/>
      <c r="H67" s="65"/>
      <c r="I67" s="65"/>
      <c r="J67" s="65"/>
      <c r="K67" s="65"/>
      <c r="L67" s="66"/>
      <c r="M67" s="66"/>
      <c r="N67" s="66"/>
      <c r="O67" s="66"/>
      <c r="P67" s="66"/>
      <c r="Q67" s="66"/>
      <c r="R67" s="62"/>
      <c r="S67" s="66"/>
      <c r="T67" s="66"/>
      <c r="U67" s="66"/>
      <c r="V67" s="66"/>
      <c r="W67" s="66" t="str">
        <f t="shared" si="2"/>
        <v/>
      </c>
      <c r="X67" s="66"/>
      <c r="Y67" s="66"/>
      <c r="Z67" s="66"/>
      <c r="AA67" s="60"/>
      <c r="AB67" s="68"/>
      <c r="AC67" s="14"/>
      <c r="AD67" s="14"/>
      <c r="AE67" s="14"/>
      <c r="AF67" s="14"/>
      <c r="AG67" s="14"/>
      <c r="AH67" s="45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33"/>
    </row>
    <row r="68" spans="1:91" x14ac:dyDescent="0.25">
      <c r="A68" s="60"/>
      <c r="B68" s="62"/>
      <c r="C68" s="63"/>
      <c r="D68" s="62"/>
      <c r="E68" s="65"/>
      <c r="F68" s="69"/>
      <c r="G68" s="65"/>
      <c r="H68" s="65"/>
      <c r="I68" s="65"/>
      <c r="J68" s="65"/>
      <c r="K68" s="65"/>
      <c r="L68" s="66"/>
      <c r="M68" s="66"/>
      <c r="N68" s="66"/>
      <c r="O68" s="66"/>
      <c r="P68" s="66"/>
      <c r="Q68" s="66"/>
      <c r="R68" s="62"/>
      <c r="S68" s="66"/>
      <c r="T68" s="66"/>
      <c r="U68" s="66"/>
      <c r="V68" s="66"/>
      <c r="W68" s="66" t="str">
        <f t="shared" ref="W68:W88" si="65">IF(OR(ISBLANK($S68), ISBLANK($T68), ISBLANK($U68)), "", IF(S68&gt;T68,L68,M68))</f>
        <v/>
      </c>
      <c r="X68" s="66"/>
      <c r="Y68" s="66"/>
      <c r="Z68" s="66"/>
      <c r="AA68" s="60"/>
      <c r="AB68" s="68"/>
      <c r="AC68" s="14"/>
      <c r="AD68" s="14"/>
      <c r="AE68" s="14"/>
      <c r="AF68" s="14"/>
      <c r="AG68" s="14"/>
      <c r="AH68" s="45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33"/>
    </row>
    <row r="69" spans="1:91" x14ac:dyDescent="0.25">
      <c r="A69" s="60"/>
      <c r="B69" s="62"/>
      <c r="C69" s="63"/>
      <c r="D69" s="62"/>
      <c r="E69" s="65"/>
      <c r="F69" s="69"/>
      <c r="G69" s="65"/>
      <c r="H69" s="65"/>
      <c r="I69" s="65"/>
      <c r="J69" s="65"/>
      <c r="K69" s="65"/>
      <c r="L69" s="66"/>
      <c r="M69" s="66"/>
      <c r="N69" s="66"/>
      <c r="O69" s="66"/>
      <c r="P69" s="66"/>
      <c r="Q69" s="66"/>
      <c r="R69" s="62"/>
      <c r="S69" s="66"/>
      <c r="T69" s="66"/>
      <c r="U69" s="66"/>
      <c r="V69" s="66"/>
      <c r="W69" s="66" t="str">
        <f t="shared" si="65"/>
        <v/>
      </c>
      <c r="X69" s="66"/>
      <c r="Y69" s="66"/>
      <c r="Z69" s="66"/>
      <c r="AA69" s="60"/>
      <c r="AB69" s="68"/>
      <c r="AC69" s="14"/>
      <c r="AD69" s="14"/>
      <c r="AE69" s="14"/>
      <c r="AF69" s="14"/>
      <c r="AG69" s="14"/>
      <c r="AH69" s="45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33"/>
    </row>
    <row r="70" spans="1:91" x14ac:dyDescent="0.25">
      <c r="A70" s="60"/>
      <c r="B70" s="62"/>
      <c r="C70" s="63"/>
      <c r="D70" s="62"/>
      <c r="E70" s="65"/>
      <c r="F70" s="69"/>
      <c r="G70" s="65"/>
      <c r="H70" s="65"/>
      <c r="I70" s="65"/>
      <c r="J70" s="65"/>
      <c r="K70" s="65"/>
      <c r="L70" s="65"/>
      <c r="M70" s="65"/>
      <c r="N70" s="66"/>
      <c r="O70" s="66"/>
      <c r="P70" s="66"/>
      <c r="Q70" s="66"/>
      <c r="R70" s="62"/>
      <c r="S70" s="66"/>
      <c r="T70" s="66"/>
      <c r="U70" s="66"/>
      <c r="V70" s="66"/>
      <c r="W70" s="66" t="str">
        <f t="shared" si="65"/>
        <v/>
      </c>
      <c r="X70" s="66"/>
      <c r="Y70" s="66"/>
      <c r="Z70" s="66"/>
      <c r="AA70" s="60"/>
      <c r="AB70" s="68"/>
      <c r="AC70" s="14"/>
      <c r="AD70" s="14"/>
      <c r="AE70" s="14"/>
      <c r="AF70" s="14"/>
      <c r="AG70" s="14"/>
      <c r="AH70" s="45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33"/>
    </row>
    <row r="71" spans="1:91" x14ac:dyDescent="0.25">
      <c r="A71" s="60"/>
      <c r="B71" s="62"/>
      <c r="C71" s="63"/>
      <c r="D71" s="62"/>
      <c r="E71" s="65"/>
      <c r="F71" s="69"/>
      <c r="G71" s="65"/>
      <c r="H71" s="65"/>
      <c r="I71" s="65"/>
      <c r="J71" s="65"/>
      <c r="K71" s="65"/>
      <c r="L71" s="65"/>
      <c r="M71" s="65"/>
      <c r="N71" s="66"/>
      <c r="O71" s="66"/>
      <c r="P71" s="66"/>
      <c r="Q71" s="66"/>
      <c r="R71" s="62"/>
      <c r="S71" s="66"/>
      <c r="T71" s="66"/>
      <c r="U71" s="66"/>
      <c r="V71" s="66"/>
      <c r="W71" s="66" t="str">
        <f t="shared" si="65"/>
        <v/>
      </c>
      <c r="X71" s="66"/>
      <c r="Y71" s="66"/>
      <c r="Z71" s="66"/>
      <c r="AA71" s="60"/>
      <c r="AB71" s="68"/>
      <c r="AC71" s="14"/>
      <c r="AD71" s="14"/>
      <c r="AE71" s="14"/>
      <c r="AF71" s="14"/>
      <c r="AG71" s="14"/>
      <c r="AH71" s="45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33"/>
    </row>
    <row r="72" spans="1:91" x14ac:dyDescent="0.25">
      <c r="A72" s="60"/>
      <c r="B72" s="62"/>
      <c r="C72" s="63"/>
      <c r="D72" s="62"/>
      <c r="E72" s="65"/>
      <c r="F72" s="69"/>
      <c r="G72" s="65"/>
      <c r="H72" s="65"/>
      <c r="I72" s="65"/>
      <c r="J72" s="65"/>
      <c r="K72" s="65"/>
      <c r="L72" s="66"/>
      <c r="M72" s="66"/>
      <c r="N72" s="66"/>
      <c r="O72" s="66"/>
      <c r="P72" s="66"/>
      <c r="Q72" s="66"/>
      <c r="R72" s="62"/>
      <c r="S72" s="66"/>
      <c r="T72" s="66"/>
      <c r="U72" s="66"/>
      <c r="V72" s="66"/>
      <c r="W72" s="66" t="str">
        <f t="shared" si="65"/>
        <v/>
      </c>
      <c r="X72" s="66"/>
      <c r="Y72" s="66"/>
      <c r="Z72" s="66"/>
      <c r="AA72" s="60"/>
      <c r="AB72" s="68"/>
      <c r="AC72" s="14"/>
      <c r="AD72" s="14"/>
      <c r="AE72" s="14"/>
      <c r="AF72" s="14"/>
      <c r="AG72" s="14"/>
      <c r="AH72" s="45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33"/>
    </row>
    <row r="73" spans="1:91" x14ac:dyDescent="0.25">
      <c r="A73" s="60"/>
      <c r="B73" s="62"/>
      <c r="C73" s="63"/>
      <c r="D73" s="62"/>
      <c r="E73" s="65"/>
      <c r="F73" s="69"/>
      <c r="G73" s="65"/>
      <c r="H73" s="65"/>
      <c r="I73" s="66"/>
      <c r="J73" s="65"/>
      <c r="K73" s="65"/>
      <c r="L73" s="66"/>
      <c r="M73" s="65"/>
      <c r="N73" s="66"/>
      <c r="O73" s="66"/>
      <c r="P73" s="66"/>
      <c r="Q73" s="66"/>
      <c r="R73" s="62"/>
      <c r="S73" s="66"/>
      <c r="T73" s="66"/>
      <c r="U73" s="66"/>
      <c r="V73" s="66"/>
      <c r="W73" s="66" t="str">
        <f t="shared" si="65"/>
        <v/>
      </c>
      <c r="X73" s="66"/>
      <c r="Y73" s="66"/>
      <c r="Z73" s="66"/>
      <c r="AA73" s="60"/>
      <c r="AB73" s="68"/>
      <c r="AC73" s="14"/>
      <c r="AD73" s="14"/>
      <c r="AE73" s="14"/>
      <c r="AF73" s="15"/>
      <c r="AG73" s="14"/>
      <c r="AH73" s="45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33"/>
    </row>
    <row r="74" spans="1:91" x14ac:dyDescent="0.25">
      <c r="A74" s="60"/>
      <c r="B74" s="62"/>
      <c r="C74" s="63"/>
      <c r="D74" s="62"/>
      <c r="E74" s="65"/>
      <c r="F74" s="69"/>
      <c r="G74" s="65"/>
      <c r="H74" s="65"/>
      <c r="I74" s="65"/>
      <c r="J74" s="65"/>
      <c r="K74" s="65"/>
      <c r="L74" s="65"/>
      <c r="M74" s="65"/>
      <c r="N74" s="66"/>
      <c r="O74" s="66"/>
      <c r="P74" s="66"/>
      <c r="Q74" s="66"/>
      <c r="R74" s="62"/>
      <c r="S74" s="66"/>
      <c r="T74" s="66"/>
      <c r="U74" s="66"/>
      <c r="V74" s="66"/>
      <c r="W74" s="66" t="str">
        <f t="shared" si="65"/>
        <v/>
      </c>
      <c r="X74" s="66"/>
      <c r="Y74" s="66"/>
      <c r="Z74" s="66"/>
      <c r="AA74" s="60"/>
      <c r="AB74" s="68"/>
      <c r="AC74" s="14"/>
      <c r="AD74" s="14"/>
      <c r="AE74" s="33"/>
      <c r="AF74" s="2" t="e">
        <f>WEEKDAY(#REF!)</f>
        <v>#REF!</v>
      </c>
      <c r="AG74" s="14"/>
      <c r="AH74" s="45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33"/>
    </row>
    <row r="75" spans="1:91" x14ac:dyDescent="0.25">
      <c r="A75" s="60"/>
      <c r="B75" s="62"/>
      <c r="C75" s="63"/>
      <c r="D75" s="62"/>
      <c r="E75" s="65"/>
      <c r="F75" s="69"/>
      <c r="G75" s="65"/>
      <c r="H75" s="65"/>
      <c r="I75" s="66"/>
      <c r="J75" s="65"/>
      <c r="K75" s="65"/>
      <c r="L75" s="66"/>
      <c r="M75" s="65"/>
      <c r="N75" s="66"/>
      <c r="O75" s="66"/>
      <c r="P75" s="66"/>
      <c r="Q75" s="66"/>
      <c r="R75" s="62"/>
      <c r="S75" s="66"/>
      <c r="T75" s="66"/>
      <c r="U75" s="66"/>
      <c r="V75" s="66"/>
      <c r="W75" s="66" t="str">
        <f t="shared" si="65"/>
        <v/>
      </c>
      <c r="X75" s="66"/>
      <c r="Y75" s="66"/>
      <c r="Z75" s="66"/>
      <c r="AA75" s="60"/>
      <c r="AB75" s="68"/>
      <c r="AC75" s="14"/>
      <c r="AD75" s="14"/>
      <c r="AE75" s="14"/>
      <c r="AF75" s="14"/>
      <c r="AG75" s="14"/>
      <c r="AH75" s="45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33"/>
    </row>
    <row r="76" spans="1:91" x14ac:dyDescent="0.25">
      <c r="A76" s="60"/>
      <c r="B76" s="62"/>
      <c r="C76" s="63"/>
      <c r="D76" s="62"/>
      <c r="E76" s="65"/>
      <c r="F76" s="69"/>
      <c r="G76" s="65"/>
      <c r="H76" s="65"/>
      <c r="I76" s="65"/>
      <c r="J76" s="65"/>
      <c r="K76" s="65"/>
      <c r="L76" s="65"/>
      <c r="M76" s="65"/>
      <c r="N76" s="66"/>
      <c r="O76" s="66"/>
      <c r="P76" s="66"/>
      <c r="Q76" s="66"/>
      <c r="R76" s="62"/>
      <c r="S76" s="66"/>
      <c r="T76" s="66"/>
      <c r="U76" s="66"/>
      <c r="V76" s="66"/>
      <c r="W76" s="66" t="str">
        <f t="shared" si="65"/>
        <v/>
      </c>
      <c r="X76" s="66"/>
      <c r="Y76" s="66"/>
      <c r="Z76" s="66"/>
      <c r="AA76" s="60"/>
      <c r="AB76" s="68"/>
      <c r="AC76" s="14"/>
      <c r="AD76" s="14"/>
      <c r="AE76" s="14"/>
      <c r="AF76" s="14"/>
      <c r="AG76" s="14"/>
      <c r="AH76" s="45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33"/>
    </row>
    <row r="77" spans="1:91" x14ac:dyDescent="0.25">
      <c r="A77" s="60"/>
      <c r="B77" s="62"/>
      <c r="C77" s="63"/>
      <c r="D77" s="62"/>
      <c r="E77" s="65"/>
      <c r="F77" s="69"/>
      <c r="G77" s="65"/>
      <c r="H77" s="65"/>
      <c r="I77" s="65"/>
      <c r="J77" s="65"/>
      <c r="K77" s="65"/>
      <c r="L77" s="65"/>
      <c r="M77" s="66"/>
      <c r="N77" s="66"/>
      <c r="O77" s="66"/>
      <c r="P77" s="66"/>
      <c r="Q77" s="66"/>
      <c r="R77" s="62"/>
      <c r="S77" s="66"/>
      <c r="T77" s="66"/>
      <c r="U77" s="66"/>
      <c r="V77" s="66"/>
      <c r="W77" s="66" t="str">
        <f t="shared" si="65"/>
        <v/>
      </c>
      <c r="X77" s="66"/>
      <c r="Y77" s="66"/>
      <c r="Z77" s="66"/>
      <c r="AA77" s="60"/>
      <c r="AB77" s="68"/>
      <c r="AC77" s="14"/>
      <c r="AD77" s="14"/>
      <c r="AE77" s="14"/>
      <c r="AF77" s="14"/>
      <c r="AG77" s="14"/>
      <c r="AH77" s="45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33"/>
    </row>
    <row r="78" spans="1:91" x14ac:dyDescent="0.25">
      <c r="A78" s="60"/>
      <c r="B78" s="62"/>
      <c r="C78" s="63"/>
      <c r="D78" s="62"/>
      <c r="E78" s="65"/>
      <c r="F78" s="69"/>
      <c r="G78" s="65"/>
      <c r="H78" s="65"/>
      <c r="I78" s="65"/>
      <c r="J78" s="65"/>
      <c r="K78" s="65"/>
      <c r="L78" s="65"/>
      <c r="M78" s="65"/>
      <c r="N78" s="66"/>
      <c r="O78" s="66"/>
      <c r="P78" s="66"/>
      <c r="Q78" s="66"/>
      <c r="R78" s="62"/>
      <c r="S78" s="66"/>
      <c r="T78" s="66"/>
      <c r="U78" s="66"/>
      <c r="V78" s="66"/>
      <c r="W78" s="66" t="str">
        <f t="shared" si="65"/>
        <v/>
      </c>
      <c r="X78" s="66"/>
      <c r="Y78" s="66"/>
      <c r="Z78" s="66"/>
      <c r="AA78" s="60"/>
      <c r="AB78" s="68"/>
      <c r="AC78" s="14"/>
      <c r="AD78" s="14"/>
      <c r="AE78" s="14"/>
      <c r="AF78" s="14"/>
      <c r="AG78" s="14"/>
      <c r="AH78" s="45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33"/>
    </row>
    <row r="79" spans="1:91" x14ac:dyDescent="0.25">
      <c r="A79" s="60"/>
      <c r="B79" s="62"/>
      <c r="C79" s="63"/>
      <c r="D79" s="62"/>
      <c r="E79" s="65"/>
      <c r="F79" s="69"/>
      <c r="G79" s="65"/>
      <c r="H79" s="65"/>
      <c r="I79" s="66"/>
      <c r="J79" s="65"/>
      <c r="K79" s="65"/>
      <c r="L79" s="65"/>
      <c r="M79" s="66"/>
      <c r="N79" s="66"/>
      <c r="O79" s="66"/>
      <c r="P79" s="66"/>
      <c r="Q79" s="66"/>
      <c r="R79" s="62"/>
      <c r="S79" s="66"/>
      <c r="T79" s="66"/>
      <c r="U79" s="66"/>
      <c r="V79" s="66"/>
      <c r="W79" s="66" t="str">
        <f t="shared" si="65"/>
        <v/>
      </c>
      <c r="X79" s="66"/>
      <c r="Y79" s="66"/>
      <c r="Z79" s="66"/>
      <c r="AA79" s="60"/>
      <c r="AB79" s="68"/>
      <c r="AC79" s="14"/>
      <c r="AD79" s="14"/>
      <c r="AE79" s="14"/>
      <c r="AF79" s="14"/>
      <c r="AG79" s="14"/>
      <c r="AH79" s="45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33"/>
    </row>
    <row r="80" spans="1:91" x14ac:dyDescent="0.25">
      <c r="A80" s="60"/>
      <c r="B80" s="62"/>
      <c r="C80" s="63"/>
      <c r="D80" s="62"/>
      <c r="E80" s="65"/>
      <c r="F80" s="69"/>
      <c r="G80" s="65"/>
      <c r="H80" s="65"/>
      <c r="I80" s="65"/>
      <c r="J80" s="65"/>
      <c r="K80" s="65"/>
      <c r="L80" s="65"/>
      <c r="M80" s="65"/>
      <c r="N80" s="66"/>
      <c r="O80" s="66"/>
      <c r="P80" s="66"/>
      <c r="Q80" s="66"/>
      <c r="R80" s="62"/>
      <c r="S80" s="66"/>
      <c r="T80" s="66"/>
      <c r="U80" s="66"/>
      <c r="V80" s="66"/>
      <c r="W80" s="66" t="str">
        <f t="shared" si="65"/>
        <v/>
      </c>
      <c r="X80" s="66"/>
      <c r="Y80" s="66"/>
      <c r="Z80" s="66"/>
      <c r="AA80" s="60"/>
      <c r="AB80" s="68"/>
      <c r="AC80" s="14"/>
      <c r="AD80" s="14"/>
      <c r="AE80" s="14"/>
      <c r="AF80" s="14"/>
      <c r="AG80" s="14"/>
      <c r="AH80" s="45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33"/>
    </row>
    <row r="81" spans="1:91" x14ac:dyDescent="0.25">
      <c r="A81" s="60"/>
      <c r="B81" s="62"/>
      <c r="C81" s="63"/>
      <c r="D81" s="62"/>
      <c r="E81" s="65"/>
      <c r="F81" s="69"/>
      <c r="G81" s="65"/>
      <c r="H81" s="65"/>
      <c r="I81" s="66"/>
      <c r="J81" s="65"/>
      <c r="K81" s="65"/>
      <c r="L81" s="66"/>
      <c r="M81" s="65"/>
      <c r="N81" s="66"/>
      <c r="O81" s="66"/>
      <c r="P81" s="66"/>
      <c r="Q81" s="66"/>
      <c r="R81" s="62"/>
      <c r="S81" s="66"/>
      <c r="T81" s="66"/>
      <c r="U81" s="66"/>
      <c r="V81" s="66"/>
      <c r="W81" s="66" t="str">
        <f t="shared" si="65"/>
        <v/>
      </c>
      <c r="X81" s="66"/>
      <c r="Y81" s="66"/>
      <c r="Z81" s="66"/>
      <c r="AA81" s="60"/>
      <c r="AB81" s="68"/>
      <c r="AC81" s="14"/>
      <c r="AD81" s="14"/>
      <c r="AE81" s="14"/>
      <c r="AF81" s="14"/>
      <c r="AG81" s="14"/>
      <c r="AH81" s="45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33"/>
    </row>
    <row r="82" spans="1:91" x14ac:dyDescent="0.25">
      <c r="A82" s="60"/>
      <c r="B82" s="62"/>
      <c r="C82" s="63"/>
      <c r="D82" s="62"/>
      <c r="E82" s="65"/>
      <c r="F82" s="69"/>
      <c r="G82" s="65"/>
      <c r="H82" s="65"/>
      <c r="I82" s="65"/>
      <c r="J82" s="65"/>
      <c r="K82" s="65"/>
      <c r="L82" s="65"/>
      <c r="M82" s="65"/>
      <c r="N82" s="66"/>
      <c r="O82" s="66"/>
      <c r="P82" s="66"/>
      <c r="Q82" s="66"/>
      <c r="R82" s="62"/>
      <c r="S82" s="66"/>
      <c r="T82" s="66"/>
      <c r="U82" s="66"/>
      <c r="V82" s="66"/>
      <c r="W82" s="66" t="str">
        <f t="shared" si="65"/>
        <v/>
      </c>
      <c r="X82" s="66"/>
      <c r="Y82" s="66"/>
      <c r="Z82" s="66"/>
      <c r="AA82" s="60"/>
      <c r="AB82" s="68"/>
      <c r="AC82" s="14"/>
      <c r="AD82" s="14"/>
      <c r="AE82" s="14"/>
      <c r="AF82" s="14"/>
      <c r="AG82" s="14"/>
      <c r="AH82" s="45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33"/>
    </row>
    <row r="83" spans="1:91" x14ac:dyDescent="0.25">
      <c r="A83" s="60"/>
      <c r="B83" s="62"/>
      <c r="C83" s="63"/>
      <c r="D83" s="62"/>
      <c r="E83" s="65"/>
      <c r="F83" s="69"/>
      <c r="G83" s="65"/>
      <c r="H83" s="65"/>
      <c r="I83" s="66"/>
      <c r="J83" s="65"/>
      <c r="K83" s="65"/>
      <c r="L83" s="66"/>
      <c r="M83" s="65"/>
      <c r="N83" s="66"/>
      <c r="O83" s="66"/>
      <c r="P83" s="66"/>
      <c r="Q83" s="66"/>
      <c r="R83" s="62"/>
      <c r="S83" s="66"/>
      <c r="T83" s="66"/>
      <c r="U83" s="66"/>
      <c r="V83" s="66"/>
      <c r="W83" s="66" t="str">
        <f t="shared" si="65"/>
        <v/>
      </c>
      <c r="X83" s="66"/>
      <c r="Y83" s="66"/>
      <c r="Z83" s="66"/>
      <c r="AA83" s="60"/>
      <c r="AB83" s="68"/>
      <c r="AC83" s="14"/>
      <c r="AD83" s="14"/>
      <c r="AE83" s="14"/>
      <c r="AF83" s="14"/>
      <c r="AG83" s="14"/>
      <c r="AH83" s="45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33"/>
    </row>
    <row r="84" spans="1:91" x14ac:dyDescent="0.25">
      <c r="A84" s="60"/>
      <c r="B84" s="62"/>
      <c r="C84" s="63"/>
      <c r="D84" s="62"/>
      <c r="E84" s="65"/>
      <c r="F84" s="69"/>
      <c r="G84" s="65"/>
      <c r="H84" s="65"/>
      <c r="I84" s="66"/>
      <c r="J84" s="65"/>
      <c r="K84" s="65"/>
      <c r="L84" s="66"/>
      <c r="M84" s="65"/>
      <c r="N84" s="66"/>
      <c r="O84" s="66"/>
      <c r="P84" s="66"/>
      <c r="Q84" s="66"/>
      <c r="R84" s="62"/>
      <c r="S84" s="66"/>
      <c r="T84" s="66"/>
      <c r="U84" s="66"/>
      <c r="V84" s="66"/>
      <c r="W84" s="66" t="str">
        <f t="shared" si="65"/>
        <v/>
      </c>
      <c r="X84" s="66"/>
      <c r="Y84" s="66"/>
      <c r="Z84" s="66"/>
      <c r="AA84" s="60"/>
      <c r="AB84" s="68"/>
      <c r="AC84" s="14"/>
      <c r="AD84" s="14"/>
      <c r="AE84" s="14"/>
      <c r="AF84" s="14"/>
      <c r="AG84" s="14"/>
      <c r="AH84" s="45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33"/>
    </row>
    <row r="85" spans="1:91" x14ac:dyDescent="0.25">
      <c r="A85" s="60"/>
      <c r="B85" s="62"/>
      <c r="C85" s="63"/>
      <c r="D85" s="62"/>
      <c r="E85" s="65"/>
      <c r="F85" s="69"/>
      <c r="G85" s="65"/>
      <c r="H85" s="65"/>
      <c r="I85" s="66"/>
      <c r="J85" s="65"/>
      <c r="K85" s="65"/>
      <c r="L85" s="65"/>
      <c r="M85" s="66"/>
      <c r="N85" s="66"/>
      <c r="O85" s="66"/>
      <c r="P85" s="66"/>
      <c r="Q85" s="66"/>
      <c r="R85" s="62"/>
      <c r="S85" s="66"/>
      <c r="T85" s="66"/>
      <c r="U85" s="66"/>
      <c r="V85" s="66"/>
      <c r="W85" s="66" t="str">
        <f t="shared" si="65"/>
        <v/>
      </c>
      <c r="X85" s="66"/>
      <c r="Y85" s="66"/>
      <c r="Z85" s="66"/>
      <c r="AA85" s="60"/>
      <c r="AB85" s="68"/>
      <c r="AC85" s="14"/>
      <c r="AD85" s="14"/>
      <c r="AE85" s="14"/>
      <c r="AF85" s="14"/>
      <c r="AG85" s="14"/>
      <c r="AH85" s="45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33"/>
    </row>
    <row r="86" spans="1:91" x14ac:dyDescent="0.25">
      <c r="A86" s="60"/>
      <c r="B86" s="62"/>
      <c r="C86" s="63"/>
      <c r="D86" s="62"/>
      <c r="E86" s="65"/>
      <c r="F86" s="69"/>
      <c r="G86" s="65"/>
      <c r="H86" s="65"/>
      <c r="I86" s="66"/>
      <c r="J86" s="65"/>
      <c r="K86" s="65"/>
      <c r="L86" s="65"/>
      <c r="M86" s="66"/>
      <c r="N86" s="66"/>
      <c r="O86" s="66"/>
      <c r="P86" s="66"/>
      <c r="Q86" s="66"/>
      <c r="R86" s="62"/>
      <c r="S86" s="66"/>
      <c r="T86" s="66"/>
      <c r="U86" s="66"/>
      <c r="V86" s="66"/>
      <c r="W86" s="66" t="str">
        <f t="shared" si="65"/>
        <v/>
      </c>
      <c r="X86" s="66"/>
      <c r="Y86" s="66"/>
      <c r="Z86" s="66"/>
      <c r="AA86" s="60"/>
      <c r="AB86" s="68"/>
      <c r="AC86" s="14"/>
      <c r="AD86" s="14"/>
      <c r="AE86" s="14"/>
      <c r="AF86" s="14"/>
      <c r="AG86" s="14"/>
      <c r="AH86" s="45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33"/>
    </row>
    <row r="87" spans="1:91" x14ac:dyDescent="0.25">
      <c r="A87" s="60"/>
      <c r="B87" s="62"/>
      <c r="C87" s="63"/>
      <c r="D87" s="62"/>
      <c r="E87" s="65"/>
      <c r="F87" s="69"/>
      <c r="G87" s="65"/>
      <c r="H87" s="65"/>
      <c r="I87" s="66"/>
      <c r="J87" s="65"/>
      <c r="K87" s="65"/>
      <c r="L87" s="66"/>
      <c r="M87" s="65"/>
      <c r="N87" s="66"/>
      <c r="O87" s="66"/>
      <c r="P87" s="66"/>
      <c r="Q87" s="66"/>
      <c r="R87" s="62"/>
      <c r="S87" s="66"/>
      <c r="T87" s="66"/>
      <c r="U87" s="66"/>
      <c r="V87" s="66"/>
      <c r="W87" s="66" t="str">
        <f t="shared" si="65"/>
        <v/>
      </c>
      <c r="X87" s="66"/>
      <c r="Y87" s="66"/>
      <c r="Z87" s="66"/>
      <c r="AA87" s="60"/>
      <c r="AB87" s="68"/>
      <c r="AC87" s="14"/>
      <c r="AD87" s="14"/>
      <c r="AE87" s="14"/>
      <c r="AF87" s="14"/>
      <c r="AG87" s="14"/>
      <c r="AH87" s="45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33"/>
    </row>
    <row r="88" spans="1:91" x14ac:dyDescent="0.25">
      <c r="A88" s="60"/>
      <c r="B88" s="62"/>
      <c r="C88" s="63"/>
      <c r="D88" s="62"/>
      <c r="E88" s="65"/>
      <c r="F88" s="69"/>
      <c r="G88" s="65"/>
      <c r="H88" s="65"/>
      <c r="I88" s="66"/>
      <c r="J88" s="65"/>
      <c r="K88" s="65"/>
      <c r="L88" s="65"/>
      <c r="M88" s="66"/>
      <c r="N88" s="66"/>
      <c r="O88" s="66"/>
      <c r="P88" s="66"/>
      <c r="Q88" s="66"/>
      <c r="R88" s="62"/>
      <c r="S88" s="66"/>
      <c r="T88" s="66"/>
      <c r="U88" s="66"/>
      <c r="V88" s="66"/>
      <c r="W88" s="66" t="str">
        <f t="shared" si="65"/>
        <v/>
      </c>
      <c r="X88" s="66"/>
      <c r="Y88" s="66"/>
      <c r="Z88" s="66"/>
      <c r="AA88" s="60"/>
      <c r="AB88" s="14"/>
      <c r="AC88" s="14"/>
      <c r="AD88" s="14"/>
      <c r="AE88" s="14"/>
      <c r="AF88" s="14"/>
      <c r="AG88" s="14"/>
      <c r="AH88" s="45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33"/>
    </row>
    <row r="89" spans="1:91" x14ac:dyDescent="0.25">
      <c r="A89" s="39"/>
      <c r="B89" s="61"/>
      <c r="C89" s="61"/>
      <c r="D89" s="67"/>
      <c r="E89" s="64"/>
      <c r="F89" s="42"/>
      <c r="G89" s="64"/>
      <c r="H89" s="64"/>
      <c r="I89" s="64"/>
      <c r="J89" s="64"/>
      <c r="K89" s="64"/>
      <c r="L89" s="67"/>
      <c r="M89" s="67"/>
      <c r="N89" s="67"/>
      <c r="O89" s="67"/>
      <c r="P89" s="67"/>
      <c r="Q89" s="67"/>
      <c r="R89" s="61"/>
      <c r="S89" s="67"/>
      <c r="T89" s="67"/>
      <c r="U89" s="67"/>
      <c r="V89" s="67" t="str">
        <f t="shared" ref="V72:V96" si="66">IF(ISBLANK($U89),"",IF($S89=$T89,0,IF($L89=$N89,IF($S89&gt;$T89,1,0),IF($T89&gt;$S89,1,0))))</f>
        <v/>
      </c>
      <c r="W89" s="67" t="str">
        <f t="shared" ref="W89:W96" si="67">IF(OR(ISBLANK($S89), ISBLANK($T89), ISBLANK($U89)), "", IF(S89&gt;T89,L89,M89))</f>
        <v/>
      </c>
      <c r="X89" s="67"/>
      <c r="Y89" s="67"/>
      <c r="Z89" s="67"/>
      <c r="AA89" s="39"/>
      <c r="AB89" s="14"/>
      <c r="AC89" s="14"/>
      <c r="AD89" s="14"/>
      <c r="AE89" s="14"/>
      <c r="AF89" s="14"/>
      <c r="AG89" s="14"/>
      <c r="AH89" s="45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33"/>
    </row>
    <row r="90" spans="1:91" x14ac:dyDescent="0.25">
      <c r="A90" s="14"/>
      <c r="B90" s="17"/>
      <c r="C90" s="17"/>
      <c r="D90" s="21"/>
      <c r="E90" s="19"/>
      <c r="F90" s="25"/>
      <c r="G90" s="19"/>
      <c r="H90" s="19"/>
      <c r="I90" s="19"/>
      <c r="J90" s="19"/>
      <c r="K90" s="19"/>
      <c r="L90" s="21"/>
      <c r="M90" s="21"/>
      <c r="N90" s="21"/>
      <c r="O90" s="21"/>
      <c r="P90" s="21"/>
      <c r="Q90" s="21"/>
      <c r="R90" s="17"/>
      <c r="S90" s="21"/>
      <c r="T90" s="21"/>
      <c r="U90" s="21"/>
      <c r="V90" s="21" t="str">
        <f t="shared" si="66"/>
        <v/>
      </c>
      <c r="W90" s="21" t="str">
        <f t="shared" si="67"/>
        <v/>
      </c>
      <c r="X90" s="21"/>
      <c r="Y90" s="21"/>
      <c r="Z90" s="21"/>
      <c r="AA90" s="14"/>
      <c r="AB90" s="14"/>
      <c r="AC90" s="14"/>
      <c r="AD90" s="14"/>
      <c r="AE90" s="14"/>
      <c r="AF90" s="14"/>
      <c r="AG90" s="14"/>
      <c r="AH90" s="45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33"/>
    </row>
    <row r="91" spans="1:91" x14ac:dyDescent="0.25">
      <c r="A91" s="14"/>
      <c r="B91" s="17"/>
      <c r="C91" s="17"/>
      <c r="D91" s="21"/>
      <c r="E91" s="19"/>
      <c r="F91" s="25"/>
      <c r="G91" s="19"/>
      <c r="H91" s="19"/>
      <c r="I91" s="19"/>
      <c r="J91" s="19"/>
      <c r="K91" s="19"/>
      <c r="L91" s="21"/>
      <c r="M91" s="21"/>
      <c r="N91" s="21"/>
      <c r="O91" s="21"/>
      <c r="P91" s="21"/>
      <c r="Q91" s="21"/>
      <c r="R91" s="17"/>
      <c r="S91" s="21"/>
      <c r="T91" s="21"/>
      <c r="U91" s="21"/>
      <c r="V91" s="21" t="str">
        <f t="shared" si="66"/>
        <v/>
      </c>
      <c r="W91" s="21" t="str">
        <f t="shared" si="67"/>
        <v/>
      </c>
      <c r="X91" s="21"/>
      <c r="Y91" s="21"/>
      <c r="Z91" s="21"/>
      <c r="AA91" s="14"/>
      <c r="AB91" s="14"/>
      <c r="AC91" s="14"/>
      <c r="AD91" s="14"/>
      <c r="AE91" s="14"/>
      <c r="AF91" s="14"/>
      <c r="AG91" s="14"/>
      <c r="AH91" s="45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33"/>
    </row>
    <row r="92" spans="1:91" x14ac:dyDescent="0.25">
      <c r="A92" s="14"/>
      <c r="B92" s="17"/>
      <c r="C92" s="17"/>
      <c r="D92" s="21"/>
      <c r="E92" s="19"/>
      <c r="F92" s="25"/>
      <c r="G92" s="19"/>
      <c r="H92" s="19"/>
      <c r="I92" s="19"/>
      <c r="J92" s="19"/>
      <c r="K92" s="19"/>
      <c r="L92" s="21"/>
      <c r="M92" s="21"/>
      <c r="N92" s="21"/>
      <c r="O92" s="21"/>
      <c r="P92" s="21"/>
      <c r="Q92" s="21"/>
      <c r="R92" s="17"/>
      <c r="S92" s="21"/>
      <c r="T92" s="21"/>
      <c r="U92" s="21"/>
      <c r="V92" s="21" t="str">
        <f t="shared" si="66"/>
        <v/>
      </c>
      <c r="W92" s="21" t="str">
        <f t="shared" si="67"/>
        <v/>
      </c>
      <c r="X92" s="21"/>
      <c r="Y92" s="21"/>
      <c r="Z92" s="21"/>
      <c r="AA92" s="14"/>
      <c r="AB92" s="14"/>
      <c r="AC92" s="14"/>
      <c r="AD92" s="14"/>
      <c r="AE92" s="14"/>
      <c r="AF92" s="14"/>
      <c r="AG92" s="14"/>
      <c r="AH92" s="45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33"/>
    </row>
    <row r="93" spans="1:91" x14ac:dyDescent="0.25">
      <c r="A93" s="14"/>
      <c r="B93" s="17"/>
      <c r="C93" s="17"/>
      <c r="D93" s="21"/>
      <c r="E93" s="19"/>
      <c r="F93" s="25"/>
      <c r="G93" s="19"/>
      <c r="H93" s="19"/>
      <c r="I93" s="19"/>
      <c r="J93" s="19"/>
      <c r="K93" s="19"/>
      <c r="L93" s="21"/>
      <c r="M93" s="21"/>
      <c r="N93" s="21"/>
      <c r="O93" s="21"/>
      <c r="P93" s="21"/>
      <c r="Q93" s="21"/>
      <c r="R93" s="17"/>
      <c r="S93" s="21"/>
      <c r="T93" s="21"/>
      <c r="U93" s="21"/>
      <c r="V93" s="21" t="str">
        <f t="shared" si="66"/>
        <v/>
      </c>
      <c r="W93" s="21" t="str">
        <f t="shared" si="67"/>
        <v/>
      </c>
      <c r="X93" s="21"/>
      <c r="Y93" s="21"/>
      <c r="Z93" s="21"/>
      <c r="AA93" s="14"/>
      <c r="AB93" s="14"/>
      <c r="AC93" s="14"/>
      <c r="AD93" s="14"/>
      <c r="AE93" s="14"/>
      <c r="AF93" s="14"/>
      <c r="AG93" s="14"/>
      <c r="AH93" s="45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33"/>
    </row>
    <row r="94" spans="1:91" x14ac:dyDescent="0.25">
      <c r="A94" s="14"/>
      <c r="B94" s="17"/>
      <c r="C94" s="17"/>
      <c r="D94" s="21"/>
      <c r="E94" s="19"/>
      <c r="F94" s="25"/>
      <c r="G94" s="19"/>
      <c r="H94" s="19"/>
      <c r="I94" s="19"/>
      <c r="J94" s="19"/>
      <c r="K94" s="19"/>
      <c r="L94" s="21"/>
      <c r="M94" s="21"/>
      <c r="N94" s="21"/>
      <c r="O94" s="21"/>
      <c r="P94" s="21"/>
      <c r="Q94" s="21"/>
      <c r="R94" s="17"/>
      <c r="S94" s="21"/>
      <c r="T94" s="21"/>
      <c r="U94" s="21"/>
      <c r="V94" s="21" t="str">
        <f t="shared" si="66"/>
        <v/>
      </c>
      <c r="W94" s="21" t="str">
        <f t="shared" si="67"/>
        <v/>
      </c>
      <c r="X94" s="21"/>
      <c r="Y94" s="21"/>
      <c r="Z94" s="21"/>
      <c r="AA94" s="14"/>
      <c r="AB94" s="14"/>
      <c r="AC94" s="14"/>
      <c r="AD94" s="14"/>
      <c r="AE94" s="14"/>
      <c r="AF94" s="14"/>
      <c r="AG94" s="14"/>
      <c r="AH94" s="45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33"/>
    </row>
    <row r="95" spans="1:91" x14ac:dyDescent="0.25">
      <c r="A95" s="14"/>
      <c r="B95" s="17"/>
      <c r="C95" s="17"/>
      <c r="D95" s="21"/>
      <c r="E95" s="19"/>
      <c r="F95" s="25"/>
      <c r="G95" s="19"/>
      <c r="H95" s="19"/>
      <c r="I95" s="19"/>
      <c r="J95" s="19"/>
      <c r="K95" s="19"/>
      <c r="L95" s="21"/>
      <c r="M95" s="21"/>
      <c r="N95" s="21"/>
      <c r="O95" s="21"/>
      <c r="P95" s="21"/>
      <c r="Q95" s="21"/>
      <c r="R95" s="17"/>
      <c r="S95" s="21"/>
      <c r="T95" s="21"/>
      <c r="U95" s="21"/>
      <c r="V95" s="21" t="str">
        <f t="shared" si="66"/>
        <v/>
      </c>
      <c r="W95" s="21" t="str">
        <f t="shared" si="67"/>
        <v/>
      </c>
      <c r="X95" s="21"/>
      <c r="Y95" s="21"/>
      <c r="Z95" s="21"/>
      <c r="AA95" s="14"/>
      <c r="AB95" s="15"/>
      <c r="AC95" s="15"/>
      <c r="AD95" s="15"/>
      <c r="AE95" s="15"/>
      <c r="AF95" s="15"/>
      <c r="AG95" s="15"/>
      <c r="AH95" s="46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5"/>
      <c r="CJ95" s="15"/>
      <c r="CK95" s="15"/>
      <c r="CL95" s="15"/>
      <c r="CM95" s="16"/>
    </row>
    <row r="96" spans="1:91" x14ac:dyDescent="0.25">
      <c r="A96" s="15"/>
      <c r="B96" s="18"/>
      <c r="C96" s="18"/>
      <c r="D96" s="22"/>
      <c r="E96" s="20"/>
      <c r="F96" s="26"/>
      <c r="G96" s="20"/>
      <c r="H96" s="20"/>
      <c r="I96" s="20"/>
      <c r="J96" s="20"/>
      <c r="K96" s="20"/>
      <c r="L96" s="22"/>
      <c r="M96" s="22"/>
      <c r="N96" s="22"/>
      <c r="O96" s="22"/>
      <c r="P96" s="22"/>
      <c r="Q96" s="22"/>
      <c r="R96" s="18"/>
      <c r="S96" s="22"/>
      <c r="T96" s="22"/>
      <c r="U96" s="22"/>
      <c r="V96" s="22" t="str">
        <f t="shared" si="66"/>
        <v/>
      </c>
      <c r="W96" s="22" t="str">
        <f t="shared" si="67"/>
        <v/>
      </c>
      <c r="X96" s="22"/>
      <c r="Y96" s="22"/>
      <c r="Z96" s="22"/>
      <c r="AA96" s="15"/>
    </row>
  </sheetData>
  <phoneticPr fontId="1" type="noConversion"/>
  <conditionalFormatting sqref="J1:K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1:V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2025-04-19T05:23:59Z</dcterms:created>
  <dcterms:modified xsi:type="dcterms:W3CDTF">2026-04-25T11:59:18Z</dcterms:modified>
</cp:coreProperties>
</file>