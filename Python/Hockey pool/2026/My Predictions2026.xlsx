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rig\Documents\Coding_Practice\Python\Hockey pool\2026\"/>
    </mc:Choice>
  </mc:AlternateContent>
  <xr:revisionPtr revIDLastSave="0" documentId="13_ncr:1_{B5C3ADB3-1E54-4AF2-A079-8C6E553EC586}" xr6:coauthVersionLast="47" xr6:coauthVersionMax="47" xr10:uidLastSave="{00000000-0000-0000-0000-000000000000}"/>
  <bookViews>
    <workbookView minimized="1" xWindow="11190" yWindow="-255" windowWidth="9795" windowHeight="11055" xr2:uid="{CCC5B65E-930E-4DB7-8BD5-D516C728E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2" i="1"/>
  <c r="A3" i="1"/>
  <c r="AM24" i="1" l="1"/>
  <c r="Z2" i="1" l="1"/>
  <c r="Z3" i="1"/>
  <c r="Z4" i="1"/>
  <c r="Y2" i="1" l="1"/>
  <c r="Y3" i="1"/>
  <c r="Y4" i="1"/>
  <c r="X2" i="1"/>
  <c r="X3" i="1"/>
  <c r="X4" i="1"/>
  <c r="V88" i="1"/>
  <c r="W88" i="1"/>
  <c r="V89" i="1"/>
  <c r="W89" i="1"/>
  <c r="V90" i="1"/>
  <c r="W90" i="1"/>
  <c r="V91" i="1"/>
  <c r="W91" i="1"/>
  <c r="V92" i="1"/>
  <c r="W92" i="1"/>
  <c r="V93" i="1"/>
  <c r="W93" i="1"/>
  <c r="V94" i="1"/>
  <c r="W94" i="1"/>
  <c r="V95" i="1"/>
  <c r="W95" i="1"/>
  <c r="N3" i="1" l="1"/>
  <c r="N4" i="1"/>
  <c r="N2" i="1"/>
  <c r="AF74" i="1"/>
  <c r="BB60" i="1"/>
  <c r="BA60" i="1"/>
  <c r="AZ60" i="1"/>
  <c r="AY60" i="1"/>
  <c r="AX60" i="1"/>
  <c r="AW60" i="1"/>
  <c r="AV60" i="1"/>
  <c r="AU60" i="1"/>
  <c r="AT60" i="1"/>
  <c r="AS60" i="1"/>
  <c r="AP60" i="1"/>
  <c r="AO60" i="1"/>
  <c r="AM60" i="1"/>
  <c r="AL60" i="1"/>
  <c r="AK60" i="1"/>
  <c r="AJ60" i="1"/>
  <c r="BB59" i="1"/>
  <c r="BA59" i="1"/>
  <c r="AZ59" i="1"/>
  <c r="AY59" i="1"/>
  <c r="AX59" i="1"/>
  <c r="AW59" i="1"/>
  <c r="AV59" i="1"/>
  <c r="AU59" i="1"/>
  <c r="AT59" i="1"/>
  <c r="AS59" i="1"/>
  <c r="AP59" i="1"/>
  <c r="AO59" i="1"/>
  <c r="AM59" i="1"/>
  <c r="AL59" i="1"/>
  <c r="AK59" i="1"/>
  <c r="AJ59" i="1"/>
  <c r="BB55" i="1"/>
  <c r="BA55" i="1"/>
  <c r="AZ55" i="1"/>
  <c r="AY55" i="1"/>
  <c r="AX55" i="1"/>
  <c r="AW55" i="1"/>
  <c r="AV55" i="1"/>
  <c r="AU55" i="1"/>
  <c r="AT55" i="1"/>
  <c r="AS55" i="1"/>
  <c r="AP55" i="1"/>
  <c r="AO55" i="1"/>
  <c r="AM55" i="1"/>
  <c r="AL55" i="1"/>
  <c r="AK55" i="1"/>
  <c r="AJ55" i="1"/>
  <c r="BB54" i="1"/>
  <c r="BA54" i="1"/>
  <c r="AZ54" i="1"/>
  <c r="AY54" i="1"/>
  <c r="AX54" i="1"/>
  <c r="AW54" i="1"/>
  <c r="AV54" i="1"/>
  <c r="AU54" i="1"/>
  <c r="AT54" i="1"/>
  <c r="AS54" i="1"/>
  <c r="AP54" i="1"/>
  <c r="AO54" i="1"/>
  <c r="AM54" i="1"/>
  <c r="AL54" i="1"/>
  <c r="AK54" i="1"/>
  <c r="AJ54" i="1"/>
  <c r="BB53" i="1"/>
  <c r="BA53" i="1"/>
  <c r="AZ53" i="1"/>
  <c r="AY53" i="1"/>
  <c r="AX53" i="1"/>
  <c r="AW53" i="1"/>
  <c r="AV53" i="1"/>
  <c r="AU53" i="1"/>
  <c r="AT53" i="1"/>
  <c r="AS53" i="1"/>
  <c r="AP53" i="1"/>
  <c r="AO53" i="1"/>
  <c r="AM53" i="1"/>
  <c r="AL53" i="1"/>
  <c r="AK53" i="1"/>
  <c r="AJ53" i="1"/>
  <c r="BB52" i="1"/>
  <c r="BA52" i="1"/>
  <c r="AZ52" i="1"/>
  <c r="AY52" i="1"/>
  <c r="AX52" i="1"/>
  <c r="AW52" i="1"/>
  <c r="AV52" i="1"/>
  <c r="AU52" i="1"/>
  <c r="AT52" i="1"/>
  <c r="AS52" i="1"/>
  <c r="AP52" i="1"/>
  <c r="AO52" i="1"/>
  <c r="AM52" i="1"/>
  <c r="AL52" i="1"/>
  <c r="AK52" i="1"/>
  <c r="AJ52" i="1"/>
  <c r="AL14" i="1"/>
  <c r="BB48" i="1"/>
  <c r="BA48" i="1"/>
  <c r="AZ48" i="1"/>
  <c r="AY48" i="1"/>
  <c r="AX48" i="1"/>
  <c r="AW48" i="1"/>
  <c r="AV48" i="1"/>
  <c r="AU48" i="1"/>
  <c r="AT48" i="1"/>
  <c r="AS48" i="1"/>
  <c r="AP48" i="1"/>
  <c r="AO48" i="1"/>
  <c r="AM48" i="1"/>
  <c r="AL48" i="1"/>
  <c r="AK48" i="1"/>
  <c r="AJ48" i="1"/>
  <c r="BB47" i="1"/>
  <c r="BA47" i="1"/>
  <c r="AZ47" i="1"/>
  <c r="AY47" i="1"/>
  <c r="AX47" i="1"/>
  <c r="AW47" i="1"/>
  <c r="AV47" i="1"/>
  <c r="AU47" i="1"/>
  <c r="AT47" i="1"/>
  <c r="AS47" i="1"/>
  <c r="AP47" i="1"/>
  <c r="AO47" i="1"/>
  <c r="AM47" i="1"/>
  <c r="AL47" i="1"/>
  <c r="AK47" i="1"/>
  <c r="AJ47" i="1"/>
  <c r="BB46" i="1"/>
  <c r="BA46" i="1"/>
  <c r="AZ46" i="1"/>
  <c r="AY46" i="1"/>
  <c r="AX46" i="1"/>
  <c r="AW46" i="1"/>
  <c r="AV46" i="1"/>
  <c r="AU46" i="1"/>
  <c r="AT46" i="1"/>
  <c r="AS46" i="1"/>
  <c r="AP46" i="1"/>
  <c r="AO46" i="1"/>
  <c r="AM46" i="1"/>
  <c r="AL46" i="1"/>
  <c r="AK46" i="1"/>
  <c r="AJ46" i="1"/>
  <c r="AL11" i="1"/>
  <c r="BB45" i="1"/>
  <c r="BA45" i="1"/>
  <c r="AZ45" i="1"/>
  <c r="AY45" i="1"/>
  <c r="AX45" i="1"/>
  <c r="AW45" i="1"/>
  <c r="AV45" i="1"/>
  <c r="AU45" i="1"/>
  <c r="AT45" i="1"/>
  <c r="AS45" i="1"/>
  <c r="AP45" i="1"/>
  <c r="AO45" i="1"/>
  <c r="AM45" i="1"/>
  <c r="AL45" i="1"/>
  <c r="AK45" i="1"/>
  <c r="AJ45" i="1"/>
  <c r="BB44" i="1"/>
  <c r="BA44" i="1"/>
  <c r="AZ44" i="1"/>
  <c r="AY44" i="1"/>
  <c r="AX44" i="1"/>
  <c r="AW44" i="1"/>
  <c r="AV44" i="1"/>
  <c r="AU44" i="1"/>
  <c r="AT44" i="1"/>
  <c r="AS44" i="1"/>
  <c r="AP44" i="1"/>
  <c r="AO44" i="1"/>
  <c r="AM44" i="1"/>
  <c r="AL44" i="1"/>
  <c r="AK44" i="1"/>
  <c r="AJ44" i="1"/>
  <c r="BB43" i="1"/>
  <c r="BA43" i="1"/>
  <c r="AZ43" i="1"/>
  <c r="AY43" i="1"/>
  <c r="AX43" i="1"/>
  <c r="AW43" i="1"/>
  <c r="AV43" i="1"/>
  <c r="AU43" i="1"/>
  <c r="AT43" i="1"/>
  <c r="AS43" i="1"/>
  <c r="AP43" i="1"/>
  <c r="AO43" i="1"/>
  <c r="AM43" i="1"/>
  <c r="AL43" i="1"/>
  <c r="AK43" i="1"/>
  <c r="AJ43" i="1"/>
  <c r="BB42" i="1"/>
  <c r="BA42" i="1"/>
  <c r="AZ42" i="1"/>
  <c r="AY42" i="1"/>
  <c r="AX42" i="1"/>
  <c r="AW42" i="1"/>
  <c r="AV42" i="1"/>
  <c r="AU42" i="1"/>
  <c r="AT42" i="1"/>
  <c r="AS42" i="1"/>
  <c r="AP42" i="1"/>
  <c r="AO42" i="1"/>
  <c r="AM42" i="1"/>
  <c r="AL42" i="1"/>
  <c r="AK42" i="1"/>
  <c r="AJ42" i="1"/>
  <c r="BB41" i="1"/>
  <c r="BA41" i="1"/>
  <c r="AZ41" i="1"/>
  <c r="AY41" i="1"/>
  <c r="AX41" i="1"/>
  <c r="AW41" i="1"/>
  <c r="AV41" i="1"/>
  <c r="AU41" i="1"/>
  <c r="AT41" i="1"/>
  <c r="AS41" i="1"/>
  <c r="AP41" i="1"/>
  <c r="AO41" i="1"/>
  <c r="AM41" i="1"/>
  <c r="AL41" i="1"/>
  <c r="AK41" i="1"/>
  <c r="AJ41" i="1"/>
  <c r="CB37" i="1"/>
  <c r="CA37" i="1"/>
  <c r="BZ37" i="1"/>
  <c r="BY37" i="1"/>
  <c r="BO37" i="1"/>
  <c r="BB37" i="1"/>
  <c r="BA37" i="1"/>
  <c r="AZ37" i="1"/>
  <c r="AY37" i="1"/>
  <c r="AX37" i="1"/>
  <c r="AW37" i="1"/>
  <c r="AV37" i="1"/>
  <c r="BX37" i="1" s="1"/>
  <c r="AU37" i="1"/>
  <c r="BW37" i="1" s="1"/>
  <c r="AT37" i="1"/>
  <c r="BV37" i="1" s="1"/>
  <c r="AS37" i="1"/>
  <c r="BU37" i="1" s="1"/>
  <c r="AP37" i="1"/>
  <c r="BR37" i="1" s="1"/>
  <c r="AO37" i="1"/>
  <c r="BQ37" i="1" s="1"/>
  <c r="AM37" i="1"/>
  <c r="AL37" i="1"/>
  <c r="AK37" i="1"/>
  <c r="AJ37" i="1"/>
  <c r="CB36" i="1"/>
  <c r="CA36" i="1"/>
  <c r="BZ36" i="1"/>
  <c r="BY36" i="1"/>
  <c r="BO36" i="1"/>
  <c r="BB36" i="1"/>
  <c r="BA36" i="1"/>
  <c r="AZ36" i="1"/>
  <c r="AY36" i="1"/>
  <c r="AX36" i="1"/>
  <c r="AW36" i="1"/>
  <c r="AV36" i="1"/>
  <c r="BX36" i="1" s="1"/>
  <c r="AU36" i="1"/>
  <c r="AT36" i="1"/>
  <c r="BV36" i="1" s="1"/>
  <c r="AS36" i="1"/>
  <c r="BU36" i="1" s="1"/>
  <c r="AP36" i="1"/>
  <c r="BR36" i="1" s="1"/>
  <c r="AO36" i="1"/>
  <c r="BQ36" i="1" s="1"/>
  <c r="AM36" i="1"/>
  <c r="AL36" i="1"/>
  <c r="AK36" i="1"/>
  <c r="AJ36" i="1"/>
  <c r="CB35" i="1"/>
  <c r="CA35" i="1"/>
  <c r="BZ35" i="1"/>
  <c r="BY35" i="1"/>
  <c r="BO35" i="1"/>
  <c r="BB35" i="1"/>
  <c r="BA35" i="1"/>
  <c r="AZ35" i="1"/>
  <c r="AY35" i="1"/>
  <c r="AX35" i="1"/>
  <c r="AW35" i="1"/>
  <c r="AV35" i="1"/>
  <c r="BX35" i="1" s="1"/>
  <c r="AU35" i="1"/>
  <c r="BW35" i="1" s="1"/>
  <c r="AT35" i="1"/>
  <c r="BV35" i="1" s="1"/>
  <c r="AS35" i="1"/>
  <c r="AP35" i="1"/>
  <c r="BR35" i="1" s="1"/>
  <c r="AO35" i="1"/>
  <c r="BQ35" i="1" s="1"/>
  <c r="AM35" i="1"/>
  <c r="AL35" i="1"/>
  <c r="AK35" i="1"/>
  <c r="AJ35" i="1"/>
  <c r="CB34" i="1"/>
  <c r="CA34" i="1"/>
  <c r="BZ34" i="1"/>
  <c r="BY34" i="1"/>
  <c r="BO34" i="1"/>
  <c r="BB34" i="1"/>
  <c r="BA34" i="1"/>
  <c r="AZ34" i="1"/>
  <c r="AY34" i="1"/>
  <c r="AX34" i="1"/>
  <c r="AW34" i="1"/>
  <c r="AV34" i="1"/>
  <c r="BX34" i="1" s="1"/>
  <c r="AU34" i="1"/>
  <c r="BW34" i="1" s="1"/>
  <c r="AT34" i="1"/>
  <c r="BV34" i="1" s="1"/>
  <c r="AS34" i="1"/>
  <c r="AP34" i="1"/>
  <c r="BR34" i="1" s="1"/>
  <c r="AO34" i="1"/>
  <c r="BQ34" i="1" s="1"/>
  <c r="AM34" i="1"/>
  <c r="AL34" i="1"/>
  <c r="AK34" i="1"/>
  <c r="AJ34" i="1"/>
  <c r="CB33" i="1"/>
  <c r="CA33" i="1"/>
  <c r="BZ33" i="1"/>
  <c r="BY33" i="1"/>
  <c r="BO33" i="1"/>
  <c r="BB33" i="1"/>
  <c r="BA33" i="1"/>
  <c r="AZ33" i="1"/>
  <c r="AY33" i="1"/>
  <c r="AX33" i="1"/>
  <c r="AW33" i="1"/>
  <c r="AV33" i="1"/>
  <c r="BX33" i="1" s="1"/>
  <c r="AU33" i="1"/>
  <c r="BW33" i="1" s="1"/>
  <c r="AT33" i="1"/>
  <c r="BV33" i="1" s="1"/>
  <c r="AS33" i="1"/>
  <c r="BU33" i="1" s="1"/>
  <c r="AP33" i="1"/>
  <c r="BR33" i="1" s="1"/>
  <c r="AO33" i="1"/>
  <c r="BQ33" i="1" s="1"/>
  <c r="AM33" i="1"/>
  <c r="AL33" i="1"/>
  <c r="AK33" i="1"/>
  <c r="AJ33" i="1"/>
  <c r="CB32" i="1"/>
  <c r="CA32" i="1"/>
  <c r="BZ32" i="1"/>
  <c r="BY32" i="1"/>
  <c r="BO32" i="1"/>
  <c r="BB32" i="1"/>
  <c r="BA32" i="1"/>
  <c r="AZ32" i="1"/>
  <c r="AY32" i="1"/>
  <c r="AX32" i="1"/>
  <c r="AW32" i="1"/>
  <c r="AV32" i="1"/>
  <c r="BX32" i="1" s="1"/>
  <c r="AU32" i="1"/>
  <c r="BW32" i="1" s="1"/>
  <c r="AT32" i="1"/>
  <c r="BV32" i="1" s="1"/>
  <c r="AS32" i="1"/>
  <c r="BU32" i="1" s="1"/>
  <c r="AP32" i="1"/>
  <c r="BR32" i="1" s="1"/>
  <c r="AO32" i="1"/>
  <c r="BQ32" i="1" s="1"/>
  <c r="AM32" i="1"/>
  <c r="AL32" i="1"/>
  <c r="AK32" i="1"/>
  <c r="AJ32" i="1"/>
  <c r="CB31" i="1"/>
  <c r="CA31" i="1"/>
  <c r="BZ31" i="1"/>
  <c r="BY31" i="1"/>
  <c r="BO31" i="1"/>
  <c r="BB31" i="1"/>
  <c r="BA31" i="1"/>
  <c r="AZ31" i="1"/>
  <c r="AY31" i="1"/>
  <c r="AX31" i="1"/>
  <c r="AW31" i="1"/>
  <c r="AV31" i="1"/>
  <c r="BX31" i="1" s="1"/>
  <c r="AU31" i="1"/>
  <c r="BW31" i="1" s="1"/>
  <c r="AT31" i="1"/>
  <c r="BV31" i="1" s="1"/>
  <c r="AS31" i="1"/>
  <c r="AP31" i="1"/>
  <c r="BR31" i="1" s="1"/>
  <c r="AO31" i="1"/>
  <c r="BQ31" i="1" s="1"/>
  <c r="AM31" i="1"/>
  <c r="AL31" i="1"/>
  <c r="AK31" i="1"/>
  <c r="AJ31" i="1"/>
  <c r="CB30" i="1"/>
  <c r="CA30" i="1"/>
  <c r="BZ30" i="1"/>
  <c r="BY30" i="1"/>
  <c r="BO30" i="1"/>
  <c r="BB30" i="1"/>
  <c r="BA30" i="1"/>
  <c r="AZ30" i="1"/>
  <c r="AY30" i="1"/>
  <c r="AX30" i="1"/>
  <c r="AW30" i="1"/>
  <c r="AV30" i="1"/>
  <c r="BX30" i="1" s="1"/>
  <c r="AU30" i="1"/>
  <c r="AT30" i="1"/>
  <c r="BV30" i="1" s="1"/>
  <c r="AS30" i="1"/>
  <c r="BU30" i="1" s="1"/>
  <c r="AP30" i="1"/>
  <c r="BR30" i="1" s="1"/>
  <c r="AO30" i="1"/>
  <c r="BQ30" i="1" s="1"/>
  <c r="AM30" i="1"/>
  <c r="AL30" i="1"/>
  <c r="AK30" i="1"/>
  <c r="AJ30" i="1"/>
  <c r="CB29" i="1"/>
  <c r="CA29" i="1"/>
  <c r="BZ29" i="1"/>
  <c r="BY29" i="1"/>
  <c r="BO29" i="1"/>
  <c r="BB29" i="1"/>
  <c r="BA29" i="1"/>
  <c r="AZ29" i="1"/>
  <c r="AY29" i="1"/>
  <c r="AX29" i="1"/>
  <c r="AW29" i="1"/>
  <c r="AV29" i="1"/>
  <c r="BX29" i="1" s="1"/>
  <c r="AU29" i="1"/>
  <c r="BW29" i="1" s="1"/>
  <c r="AT29" i="1"/>
  <c r="BV29" i="1" s="1"/>
  <c r="AS29" i="1"/>
  <c r="AP29" i="1"/>
  <c r="BR29" i="1" s="1"/>
  <c r="AO29" i="1"/>
  <c r="BQ29" i="1" s="1"/>
  <c r="AM29" i="1"/>
  <c r="AL29" i="1"/>
  <c r="AK29" i="1"/>
  <c r="AJ29" i="1"/>
  <c r="CB28" i="1"/>
  <c r="CA28" i="1"/>
  <c r="BZ28" i="1"/>
  <c r="BY28" i="1"/>
  <c r="BO28" i="1"/>
  <c r="BB28" i="1"/>
  <c r="BA28" i="1"/>
  <c r="AZ28" i="1"/>
  <c r="AY28" i="1"/>
  <c r="AX28" i="1"/>
  <c r="AW28" i="1"/>
  <c r="AV28" i="1"/>
  <c r="BX28" i="1" s="1"/>
  <c r="AU28" i="1"/>
  <c r="BW28" i="1" s="1"/>
  <c r="AT28" i="1"/>
  <c r="BV28" i="1" s="1"/>
  <c r="AS28" i="1"/>
  <c r="BU28" i="1" s="1"/>
  <c r="AP28" i="1"/>
  <c r="BR28" i="1" s="1"/>
  <c r="AO28" i="1"/>
  <c r="BQ28" i="1" s="1"/>
  <c r="AM28" i="1"/>
  <c r="AL28" i="1"/>
  <c r="AK28" i="1"/>
  <c r="AJ28" i="1"/>
  <c r="CB27" i="1"/>
  <c r="CA27" i="1"/>
  <c r="BZ27" i="1"/>
  <c r="BY27" i="1"/>
  <c r="BO27" i="1"/>
  <c r="BB27" i="1"/>
  <c r="BA27" i="1"/>
  <c r="AZ27" i="1"/>
  <c r="AY27" i="1"/>
  <c r="AX27" i="1"/>
  <c r="AW27" i="1"/>
  <c r="AV27" i="1"/>
  <c r="BX27" i="1" s="1"/>
  <c r="AU27" i="1"/>
  <c r="AT27" i="1"/>
  <c r="BV27" i="1" s="1"/>
  <c r="AS27" i="1"/>
  <c r="BU27" i="1" s="1"/>
  <c r="AP27" i="1"/>
  <c r="BR27" i="1" s="1"/>
  <c r="AO27" i="1"/>
  <c r="BQ27" i="1" s="1"/>
  <c r="AM27" i="1"/>
  <c r="AL27" i="1"/>
  <c r="AK27" i="1"/>
  <c r="AJ27" i="1"/>
  <c r="CB26" i="1"/>
  <c r="CA26" i="1"/>
  <c r="BZ26" i="1"/>
  <c r="BY26" i="1"/>
  <c r="BO26" i="1"/>
  <c r="BB26" i="1"/>
  <c r="BA26" i="1"/>
  <c r="AZ26" i="1"/>
  <c r="AY26" i="1"/>
  <c r="AX26" i="1"/>
  <c r="AW26" i="1"/>
  <c r="AV26" i="1"/>
  <c r="BX26" i="1" s="1"/>
  <c r="AU26" i="1"/>
  <c r="BW26" i="1" s="1"/>
  <c r="AT26" i="1"/>
  <c r="BV26" i="1" s="1"/>
  <c r="AS26" i="1"/>
  <c r="AP26" i="1"/>
  <c r="BR26" i="1" s="1"/>
  <c r="AO26" i="1"/>
  <c r="BQ26" i="1" s="1"/>
  <c r="AM26" i="1"/>
  <c r="AL26" i="1"/>
  <c r="AK26" i="1"/>
  <c r="AJ26" i="1"/>
  <c r="CB25" i="1"/>
  <c r="CA25" i="1"/>
  <c r="BZ25" i="1"/>
  <c r="BY25" i="1"/>
  <c r="BO25" i="1"/>
  <c r="BB25" i="1"/>
  <c r="BA25" i="1"/>
  <c r="AZ25" i="1"/>
  <c r="AY25" i="1"/>
  <c r="AX25" i="1"/>
  <c r="AW25" i="1"/>
  <c r="AV25" i="1"/>
  <c r="BX25" i="1" s="1"/>
  <c r="AU25" i="1"/>
  <c r="BW25" i="1" s="1"/>
  <c r="AT25" i="1"/>
  <c r="BV25" i="1" s="1"/>
  <c r="AS25" i="1"/>
  <c r="BU25" i="1" s="1"/>
  <c r="AP25" i="1"/>
  <c r="BR25" i="1" s="1"/>
  <c r="AO25" i="1"/>
  <c r="BQ25" i="1" s="1"/>
  <c r="AM25" i="1"/>
  <c r="AL25" i="1"/>
  <c r="AK25" i="1"/>
  <c r="AJ25" i="1"/>
  <c r="CB24" i="1"/>
  <c r="CA24" i="1"/>
  <c r="BZ24" i="1"/>
  <c r="BY24" i="1"/>
  <c r="BO24" i="1"/>
  <c r="BB24" i="1"/>
  <c r="BA24" i="1"/>
  <c r="AZ24" i="1"/>
  <c r="AY24" i="1"/>
  <c r="AX24" i="1"/>
  <c r="AW24" i="1"/>
  <c r="AV24" i="1"/>
  <c r="BX24" i="1" s="1"/>
  <c r="AU24" i="1"/>
  <c r="BW24" i="1" s="1"/>
  <c r="AT24" i="1"/>
  <c r="BV24" i="1" s="1"/>
  <c r="AS24" i="1"/>
  <c r="BU24" i="1" s="1"/>
  <c r="AP24" i="1"/>
  <c r="BR24" i="1" s="1"/>
  <c r="AO24" i="1"/>
  <c r="BQ24" i="1" s="1"/>
  <c r="AL24" i="1"/>
  <c r="AK24" i="1"/>
  <c r="AJ24" i="1"/>
  <c r="CB23" i="1"/>
  <c r="CA23" i="1"/>
  <c r="BZ23" i="1"/>
  <c r="BY23" i="1"/>
  <c r="BO23" i="1"/>
  <c r="BB23" i="1"/>
  <c r="BA23" i="1"/>
  <c r="AZ23" i="1"/>
  <c r="AY23" i="1"/>
  <c r="AX23" i="1"/>
  <c r="AW23" i="1"/>
  <c r="AV23" i="1"/>
  <c r="BX23" i="1" s="1"/>
  <c r="AU23" i="1"/>
  <c r="BW23" i="1" s="1"/>
  <c r="AT23" i="1"/>
  <c r="BV23" i="1" s="1"/>
  <c r="AS23" i="1"/>
  <c r="AP23" i="1"/>
  <c r="BR23" i="1" s="1"/>
  <c r="AO23" i="1"/>
  <c r="BQ23" i="1" s="1"/>
  <c r="AM23" i="1"/>
  <c r="AL23" i="1"/>
  <c r="AK23" i="1"/>
  <c r="AJ23" i="1"/>
  <c r="CB22" i="1"/>
  <c r="CA22" i="1"/>
  <c r="BZ22" i="1"/>
  <c r="BY22" i="1"/>
  <c r="BO22" i="1"/>
  <c r="BB22" i="1"/>
  <c r="BA22" i="1"/>
  <c r="AZ22" i="1"/>
  <c r="AY22" i="1"/>
  <c r="AX22" i="1"/>
  <c r="AW22" i="1"/>
  <c r="AV22" i="1"/>
  <c r="BX22" i="1" s="1"/>
  <c r="AU22" i="1"/>
  <c r="BW22" i="1" s="1"/>
  <c r="AT22" i="1"/>
  <c r="BV22" i="1" s="1"/>
  <c r="AS22" i="1"/>
  <c r="AP22" i="1"/>
  <c r="BR22" i="1" s="1"/>
  <c r="AO22" i="1"/>
  <c r="BQ22" i="1" s="1"/>
  <c r="AM22" i="1"/>
  <c r="AL22" i="1"/>
  <c r="AK22" i="1"/>
  <c r="AJ22" i="1"/>
  <c r="AK17" i="1" a="1"/>
  <c r="AK17" i="1" s="1"/>
  <c r="AJ17" i="1" a="1"/>
  <c r="AJ17" i="1" s="1"/>
  <c r="AO17" i="1" s="1"/>
  <c r="AI17" i="1" a="1"/>
  <c r="AI17" i="1" s="1"/>
  <c r="AN17" i="1" s="1"/>
  <c r="AK16" i="1" a="1"/>
  <c r="AK16" i="1" s="1"/>
  <c r="AJ16" i="1" a="1"/>
  <c r="AJ16" i="1" s="1"/>
  <c r="AO16" i="1" s="1"/>
  <c r="AI16" i="1" a="1"/>
  <c r="AI16" i="1" s="1"/>
  <c r="AN16" i="1" s="1"/>
  <c r="AK15" i="1" a="1"/>
  <c r="AK15" i="1" s="1"/>
  <c r="AJ15" i="1" a="1"/>
  <c r="AJ15" i="1" s="1"/>
  <c r="AO15" i="1" s="1"/>
  <c r="AI15" i="1" a="1"/>
  <c r="AI15" i="1" s="1"/>
  <c r="AN15" i="1" s="1"/>
  <c r="AK14" i="1" a="1"/>
  <c r="AK14" i="1" s="1"/>
  <c r="AJ14" i="1" a="1"/>
  <c r="AJ14" i="1" s="1"/>
  <c r="AO14" i="1" s="1"/>
  <c r="AI14" i="1" a="1"/>
  <c r="AI14" i="1" s="1"/>
  <c r="AN14" i="1" s="1"/>
  <c r="AK13" i="1" a="1"/>
  <c r="AK13" i="1" s="1"/>
  <c r="AJ13" i="1" a="1"/>
  <c r="AJ13" i="1" s="1"/>
  <c r="AO13" i="1" s="1"/>
  <c r="AI13" i="1" a="1"/>
  <c r="AI13" i="1" s="1"/>
  <c r="AN13" i="1" s="1"/>
  <c r="AK12" i="1" a="1"/>
  <c r="AK12" i="1" s="1"/>
  <c r="AJ12" i="1" a="1"/>
  <c r="AJ12" i="1" s="1"/>
  <c r="AO12" i="1" s="1"/>
  <c r="AI12" i="1" a="1"/>
  <c r="AI12" i="1" s="1"/>
  <c r="AN12" i="1" s="1"/>
  <c r="AK11" i="1" a="1"/>
  <c r="AK11" i="1" s="1"/>
  <c r="AJ11" i="1" a="1"/>
  <c r="AJ11" i="1" s="1"/>
  <c r="AO11" i="1" s="1"/>
  <c r="AI11" i="1" a="1"/>
  <c r="AI11" i="1" s="1"/>
  <c r="AN11" i="1" s="1"/>
  <c r="AK10" i="1" a="1"/>
  <c r="AK10" i="1" s="1"/>
  <c r="AJ10" i="1" a="1"/>
  <c r="AJ10" i="1" s="1"/>
  <c r="AO10" i="1" s="1"/>
  <c r="AI10" i="1" a="1"/>
  <c r="AI10" i="1" s="1"/>
  <c r="AN10" i="1" s="1"/>
  <c r="AK9" i="1" a="1"/>
  <c r="AK9" i="1" s="1"/>
  <c r="AJ9" i="1" a="1"/>
  <c r="AJ9" i="1" s="1"/>
  <c r="AO9" i="1" s="1"/>
  <c r="AI9" i="1" a="1"/>
  <c r="AI9" i="1" s="1"/>
  <c r="AN9" i="1" s="1"/>
  <c r="AK8" i="1" a="1"/>
  <c r="AK8" i="1" s="1"/>
  <c r="AJ8" i="1" a="1"/>
  <c r="AJ8" i="1" s="1"/>
  <c r="AO8" i="1" s="1"/>
  <c r="AI8" i="1" a="1"/>
  <c r="AI8" i="1" s="1"/>
  <c r="AN8" i="1" s="1"/>
  <c r="AK7" i="1" a="1"/>
  <c r="AK7" i="1" s="1"/>
  <c r="AJ7" i="1" a="1"/>
  <c r="AJ7" i="1" s="1"/>
  <c r="AO7" i="1" s="1"/>
  <c r="AI7" i="1" a="1"/>
  <c r="AI7" i="1" s="1"/>
  <c r="AN7" i="1" s="1"/>
  <c r="AK6" i="1" a="1"/>
  <c r="AK6" i="1" s="1"/>
  <c r="AJ6" i="1" a="1"/>
  <c r="AJ6" i="1" s="1"/>
  <c r="AO6" i="1" s="1"/>
  <c r="AI6" i="1" a="1"/>
  <c r="AI6" i="1" s="1"/>
  <c r="AN6" i="1" s="1"/>
  <c r="AK5" i="1" a="1"/>
  <c r="AK5" i="1" s="1"/>
  <c r="AJ5" i="1" a="1"/>
  <c r="AJ5" i="1" s="1"/>
  <c r="AO5" i="1" s="1"/>
  <c r="AI5" i="1" a="1"/>
  <c r="AI5" i="1" s="1"/>
  <c r="AN5" i="1" s="1"/>
  <c r="AK4" i="1" a="1"/>
  <c r="AK4" i="1" s="1"/>
  <c r="AJ4" i="1" a="1"/>
  <c r="AJ4" i="1" s="1"/>
  <c r="AO4" i="1" s="1"/>
  <c r="AI4" i="1" a="1"/>
  <c r="AI4" i="1" s="1"/>
  <c r="AN4" i="1" s="1"/>
  <c r="AP3" i="1"/>
  <c r="AK3" i="1" a="1"/>
  <c r="AK3" i="1" s="1"/>
  <c r="AJ3" i="1" a="1"/>
  <c r="AJ3" i="1" s="1"/>
  <c r="AO3" i="1" s="1"/>
  <c r="AI3" i="1" a="1"/>
  <c r="AI3" i="1" s="1"/>
  <c r="AN3" i="1" s="1"/>
  <c r="AF3" i="1"/>
  <c r="A4" i="1"/>
  <c r="A2" i="1"/>
  <c r="V2" i="1" l="1"/>
  <c r="AL9" i="1"/>
  <c r="AM9" i="1" s="1"/>
  <c r="AL4" i="1"/>
  <c r="AM4" i="1" s="1"/>
  <c r="AL5" i="1"/>
  <c r="AM5" i="1" s="1"/>
  <c r="AL8" i="1"/>
  <c r="AM8" i="1" s="1"/>
  <c r="AL7" i="1"/>
  <c r="AM7" i="1" s="1"/>
  <c r="AL6" i="1"/>
  <c r="AM6" i="1" s="1"/>
  <c r="AL3" i="1"/>
  <c r="AM3" i="1" s="1"/>
  <c r="AL12" i="1"/>
  <c r="AM12" i="1" s="1"/>
  <c r="AL17" i="1"/>
  <c r="AM17" i="1" s="1"/>
  <c r="AL13" i="1"/>
  <c r="AM13" i="1" s="1"/>
  <c r="AL15" i="1"/>
  <c r="AM15" i="1" s="1"/>
  <c r="AL16" i="1"/>
  <c r="AM16" i="1" s="1"/>
  <c r="AM11" i="1"/>
  <c r="BF25" i="1"/>
  <c r="BM25" i="1" s="1"/>
  <c r="CJ25" i="1"/>
  <c r="CE25" i="1"/>
  <c r="BI23" i="1"/>
  <c r="BI26" i="1"/>
  <c r="BI29" i="1"/>
  <c r="BI32" i="1"/>
  <c r="BK60" i="1"/>
  <c r="BK27" i="1"/>
  <c r="BJ24" i="1"/>
  <c r="BH53" i="1"/>
  <c r="BD48" i="1"/>
  <c r="BK41" i="1"/>
  <c r="BJ48" i="1"/>
  <c r="AQ52" i="1"/>
  <c r="BC37" i="1"/>
  <c r="BJ52" i="1"/>
  <c r="CF33" i="1"/>
  <c r="BD23" i="1"/>
  <c r="BD28" i="1"/>
  <c r="CF30" i="1"/>
  <c r="CF36" i="1"/>
  <c r="BF37" i="1"/>
  <c r="BM37" i="1" s="1"/>
  <c r="BH27" i="1"/>
  <c r="BE41" i="1"/>
  <c r="BL41" i="1" s="1"/>
  <c r="BI42" i="1"/>
  <c r="BH43" i="1"/>
  <c r="BD46" i="1"/>
  <c r="BD52" i="1"/>
  <c r="CI35" i="1"/>
  <c r="CE35" i="1"/>
  <c r="CK36" i="1"/>
  <c r="BC31" i="1"/>
  <c r="CD31" i="1"/>
  <c r="CD35" i="1"/>
  <c r="BC28" i="1"/>
  <c r="CE28" i="1"/>
  <c r="CK29" i="1"/>
  <c r="CC30" i="1"/>
  <c r="CI32" i="1"/>
  <c r="CE32" i="1"/>
  <c r="CI33" i="1"/>
  <c r="BK42" i="1"/>
  <c r="BE45" i="1"/>
  <c r="BL45" i="1" s="1"/>
  <c r="BK53" i="1"/>
  <c r="BJ54" i="1"/>
  <c r="CF23" i="1"/>
  <c r="BH47" i="1"/>
  <c r="CJ23" i="1"/>
  <c r="BK23" i="1"/>
  <c r="BD24" i="1"/>
  <c r="CD32" i="1"/>
  <c r="CD36" i="1"/>
  <c r="CC37" i="1"/>
  <c r="BH42" i="1"/>
  <c r="BH55" i="1"/>
  <c r="BD30" i="1"/>
  <c r="BD36" i="1"/>
  <c r="AQ60" i="1"/>
  <c r="BE60" i="1"/>
  <c r="BL60" i="1" s="1"/>
  <c r="AQ22" i="1"/>
  <c r="BS22" i="1" s="1"/>
  <c r="BC22" i="1"/>
  <c r="CI22" i="1"/>
  <c r="AQ23" i="1"/>
  <c r="BS23" i="1" s="1"/>
  <c r="CE24" i="1"/>
  <c r="CC27" i="1"/>
  <c r="BJ32" i="1"/>
  <c r="CJ33" i="1"/>
  <c r="CJ28" i="1"/>
  <c r="BE27" i="1"/>
  <c r="BL27" i="1" s="1"/>
  <c r="CF31" i="1"/>
  <c r="BG32" i="1"/>
  <c r="BG37" i="1"/>
  <c r="BE52" i="1"/>
  <c r="BL52" i="1" s="1"/>
  <c r="BI55" i="1"/>
  <c r="AM14" i="1"/>
  <c r="BJ25" i="1"/>
  <c r="CD26" i="1"/>
  <c r="CI28" i="1"/>
  <c r="BI28" i="1"/>
  <c r="CJ29" i="1"/>
  <c r="CJ31" i="1"/>
  <c r="CE33" i="1"/>
  <c r="BI34" i="1"/>
  <c r="BI35" i="1"/>
  <c r="CI37" i="1"/>
  <c r="BD41" i="1"/>
  <c r="BH45" i="1"/>
  <c r="BF46" i="1"/>
  <c r="BM46" i="1" s="1"/>
  <c r="AQ48" i="1"/>
  <c r="BE48" i="1"/>
  <c r="BL48" i="1" s="1"/>
  <c r="BF52" i="1"/>
  <c r="BM52" i="1" s="1"/>
  <c r="BK55" i="1"/>
  <c r="BK25" i="1"/>
  <c r="BD26" i="1"/>
  <c r="BD29" i="1"/>
  <c r="CK31" i="1"/>
  <c r="BK31" i="1"/>
  <c r="BD33" i="1"/>
  <c r="AQ35" i="1"/>
  <c r="BS35" i="1" s="1"/>
  <c r="CJ36" i="1"/>
  <c r="BF42" i="1"/>
  <c r="BM42" i="1" s="1"/>
  <c r="BI43" i="1"/>
  <c r="BH59" i="1"/>
  <c r="BD22" i="1"/>
  <c r="CI24" i="1"/>
  <c r="CH27" i="1"/>
  <c r="CF27" i="1"/>
  <c r="BD44" i="1"/>
  <c r="BF48" i="1"/>
  <c r="BM48" i="1" s="1"/>
  <c r="AQ54" i="1"/>
  <c r="BJ22" i="1"/>
  <c r="BJ23" i="1"/>
  <c r="CC23" i="1"/>
  <c r="BD25" i="1"/>
  <c r="BF28" i="1"/>
  <c r="BM28" i="1" s="1"/>
  <c r="CJ30" i="1"/>
  <c r="BG31" i="1"/>
  <c r="BJ34" i="1"/>
  <c r="BJ35" i="1"/>
  <c r="CF35" i="1"/>
  <c r="CC36" i="1"/>
  <c r="BK43" i="1"/>
  <c r="BF44" i="1"/>
  <c r="BM44" i="1" s="1"/>
  <c r="BD54" i="1"/>
  <c r="BE55" i="1"/>
  <c r="BL55" i="1" s="1"/>
  <c r="AN22" i="1"/>
  <c r="BP22" i="1" s="1"/>
  <c r="BH22" i="1"/>
  <c r="CH28" i="1"/>
  <c r="CG29" i="1"/>
  <c r="CC31" i="1"/>
  <c r="CH32" i="1"/>
  <c r="AN34" i="1"/>
  <c r="BP34" i="1" s="1"/>
  <c r="CH35" i="1"/>
  <c r="BJ37" i="1"/>
  <c r="BJ42" i="1"/>
  <c r="BG45" i="1"/>
  <c r="BJ60" i="1"/>
  <c r="BU22" i="1"/>
  <c r="CG26" i="1"/>
  <c r="AN30" i="1"/>
  <c r="BP30" i="1" s="1"/>
  <c r="BC32" i="1"/>
  <c r="CG34" i="1"/>
  <c r="AN36" i="1"/>
  <c r="BP36" i="1" s="1"/>
  <c r="AN52" i="1"/>
  <c r="CC22" i="1"/>
  <c r="CF24" i="1"/>
  <c r="AQ25" i="1"/>
  <c r="BS25" i="1" s="1"/>
  <c r="BG27" i="1"/>
  <c r="BJ28" i="1"/>
  <c r="BF31" i="1"/>
  <c r="BM31" i="1" s="1"/>
  <c r="AN32" i="1"/>
  <c r="BP32" i="1" s="1"/>
  <c r="AQ32" i="1"/>
  <c r="BS32" i="1" s="1"/>
  <c r="BE35" i="1"/>
  <c r="BL35" i="1" s="1"/>
  <c r="BJ46" i="1"/>
  <c r="AN48" i="1"/>
  <c r="AN55" i="1"/>
  <c r="AN23" i="1"/>
  <c r="BC23" i="1"/>
  <c r="BH24" i="1"/>
  <c r="CC24" i="1"/>
  <c r="BC25" i="1"/>
  <c r="CJ32" i="1"/>
  <c r="BF34" i="1"/>
  <c r="BM34" i="1" s="1"/>
  <c r="AN37" i="1"/>
  <c r="BP37" i="1" s="1"/>
  <c r="BH37" i="1"/>
  <c r="BJ44" i="1"/>
  <c r="BF22" i="1"/>
  <c r="BM22" i="1" s="1"/>
  <c r="BG28" i="1"/>
  <c r="CH29" i="1"/>
  <c r="BH30" i="1"/>
  <c r="CE36" i="1"/>
  <c r="BC41" i="1"/>
  <c r="CI25" i="1"/>
  <c r="CK25" i="1"/>
  <c r="CK22" i="1"/>
  <c r="CK23" i="1"/>
  <c r="BF23" i="1"/>
  <c r="BM23" i="1" s="1"/>
  <c r="AN25" i="1"/>
  <c r="BP25" i="1" s="1"/>
  <c r="BK28" i="1"/>
  <c r="BF29" i="1"/>
  <c r="BM29" i="1" s="1"/>
  <c r="BK30" i="1"/>
  <c r="AN33" i="1"/>
  <c r="BP33" i="1" s="1"/>
  <c r="BG33" i="1"/>
  <c r="BK37" i="1"/>
  <c r="BI41" i="1"/>
  <c r="AN43" i="1"/>
  <c r="AQ43" i="1"/>
  <c r="BE43" i="1"/>
  <c r="BL43" i="1" s="1"/>
  <c r="BI45" i="1"/>
  <c r="BI47" i="1"/>
  <c r="BG53" i="1"/>
  <c r="AN54" i="1"/>
  <c r="BE54" i="1"/>
  <c r="BL54" i="1" s="1"/>
  <c r="BE22" i="1"/>
  <c r="BL22" i="1" s="1"/>
  <c r="CF22" i="1"/>
  <c r="BI24" i="1"/>
  <c r="CF25" i="1"/>
  <c r="BE26" i="1"/>
  <c r="BL26" i="1" s="1"/>
  <c r="BD27" i="1"/>
  <c r="BK29" i="1"/>
  <c r="CF29" i="1"/>
  <c r="BI30" i="1"/>
  <c r="AN31" i="1"/>
  <c r="BP31" i="1" s="1"/>
  <c r="AQ31" i="1"/>
  <c r="BS31" i="1" s="1"/>
  <c r="BE31" i="1"/>
  <c r="BL31" i="1" s="1"/>
  <c r="CG32" i="1"/>
  <c r="BK34" i="1"/>
  <c r="AQ37" i="1"/>
  <c r="BS37" i="1" s="1"/>
  <c r="AQ42" i="1"/>
  <c r="AQ44" i="1"/>
  <c r="BE44" i="1"/>
  <c r="BL44" i="1" s="1"/>
  <c r="BK45" i="1"/>
  <c r="AN46" i="1"/>
  <c r="AQ46" i="1"/>
  <c r="BE46" i="1"/>
  <c r="BL46" i="1" s="1"/>
  <c r="BK47" i="1"/>
  <c r="BF54" i="1"/>
  <c r="BM54" i="1" s="1"/>
  <c r="AN59" i="1"/>
  <c r="BE59" i="1"/>
  <c r="BL59" i="1" s="1"/>
  <c r="AN24" i="1"/>
  <c r="BP24" i="1" s="1"/>
  <c r="CD25" i="1"/>
  <c r="CK26" i="1"/>
  <c r="BG26" i="1"/>
  <c r="BI27" i="1"/>
  <c r="BE30" i="1"/>
  <c r="BL30" i="1" s="1"/>
  <c r="BK33" i="1"/>
  <c r="CD37" i="1"/>
  <c r="BI59" i="1"/>
  <c r="BE25" i="1"/>
  <c r="BL25" i="1" s="1"/>
  <c r="AN26" i="1"/>
  <c r="BP26" i="1" s="1"/>
  <c r="BK26" i="1"/>
  <c r="AQ28" i="1"/>
  <c r="BS28" i="1" s="1"/>
  <c r="AN29" i="1"/>
  <c r="BP29" i="1" s="1"/>
  <c r="CD29" i="1"/>
  <c r="AN35" i="1"/>
  <c r="BP35" i="1" s="1"/>
  <c r="CE37" i="1"/>
  <c r="AN53" i="1"/>
  <c r="BE53" i="1"/>
  <c r="BL53" i="1" s="1"/>
  <c r="AN60" i="1"/>
  <c r="BK22" i="1"/>
  <c r="CD23" i="1"/>
  <c r="AN27" i="1"/>
  <c r="BP27" i="1" s="1"/>
  <c r="AN28" i="1"/>
  <c r="BP28" i="1" s="1"/>
  <c r="BG30" i="1"/>
  <c r="BK32" i="1"/>
  <c r="CF32" i="1"/>
  <c r="CD34" i="1"/>
  <c r="BK36" i="1"/>
  <c r="AQ41" i="1"/>
  <c r="BD42" i="1"/>
  <c r="AN45" i="1"/>
  <c r="AQ45" i="1"/>
  <c r="AN47" i="1"/>
  <c r="BE47" i="1"/>
  <c r="BL47" i="1" s="1"/>
  <c r="BI53" i="1"/>
  <c r="BK59" i="1"/>
  <c r="BD60" i="1"/>
  <c r="CD22" i="1"/>
  <c r="CJ22" i="1"/>
  <c r="CH23" i="1"/>
  <c r="CE23" i="1"/>
  <c r="AQ24" i="1"/>
  <c r="BS24" i="1" s="1"/>
  <c r="BC24" i="1"/>
  <c r="CJ24" i="1"/>
  <c r="CF26" i="1"/>
  <c r="CC26" i="1"/>
  <c r="CF28" i="1"/>
  <c r="BU34" i="1"/>
  <c r="AQ34" i="1"/>
  <c r="BS34" i="1" s="1"/>
  <c r="BG34" i="1"/>
  <c r="BC34" i="1"/>
  <c r="BH34" i="1"/>
  <c r="BE34" i="1"/>
  <c r="BL34" i="1" s="1"/>
  <c r="BC42" i="1"/>
  <c r="BG42" i="1"/>
  <c r="BE42" i="1"/>
  <c r="BL42" i="1" s="1"/>
  <c r="CE22" i="1"/>
  <c r="CK24" i="1"/>
  <c r="CK28" i="1"/>
  <c r="CD28" i="1"/>
  <c r="AQ29" i="1"/>
  <c r="BS29" i="1" s="1"/>
  <c r="BU29" i="1"/>
  <c r="BC29" i="1"/>
  <c r="BH29" i="1"/>
  <c r="BG29" i="1"/>
  <c r="CD30" i="1"/>
  <c r="CI30" i="1"/>
  <c r="BK46" i="1"/>
  <c r="BI46" i="1"/>
  <c r="BF47" i="1"/>
  <c r="BM47" i="1" s="1"/>
  <c r="BJ47" i="1"/>
  <c r="BG47" i="1"/>
  <c r="BG22" i="1"/>
  <c r="BE23" i="1"/>
  <c r="BL23" i="1" s="1"/>
  <c r="CG23" i="1"/>
  <c r="BE24" i="1"/>
  <c r="BL24" i="1" s="1"/>
  <c r="BF24" i="1"/>
  <c r="BM24" i="1" s="1"/>
  <c r="BG25" i="1"/>
  <c r="BH25" i="1"/>
  <c r="CC25" i="1"/>
  <c r="CG25" i="1"/>
  <c r="CH25" i="1"/>
  <c r="AQ26" i="1"/>
  <c r="BS26" i="1" s="1"/>
  <c r="BC26" i="1"/>
  <c r="BH26" i="1"/>
  <c r="BU26" i="1"/>
  <c r="CG27" i="1"/>
  <c r="CG33" i="1"/>
  <c r="CC33" i="1"/>
  <c r="CH33" i="1"/>
  <c r="BD35" i="1"/>
  <c r="BK35" i="1"/>
  <c r="AF4" i="1"/>
  <c r="CG22" i="1"/>
  <c r="BU23" i="1"/>
  <c r="CI23" i="1"/>
  <c r="BG24" i="1"/>
  <c r="BI25" i="1"/>
  <c r="CD27" i="1"/>
  <c r="CI27" i="1"/>
  <c r="BW30" i="1"/>
  <c r="AQ30" i="1"/>
  <c r="BS30" i="1" s="1"/>
  <c r="BJ30" i="1"/>
  <c r="BC30" i="1"/>
  <c r="BF30" i="1"/>
  <c r="BM30" i="1" s="1"/>
  <c r="CK30" i="1"/>
  <c r="CC34" i="1"/>
  <c r="CH34" i="1"/>
  <c r="CE34" i="1"/>
  <c r="AQ36" i="1"/>
  <c r="BS36" i="1" s="1"/>
  <c r="BW36" i="1"/>
  <c r="BC36" i="1"/>
  <c r="BF36" i="1"/>
  <c r="BM36" i="1" s="1"/>
  <c r="BJ36" i="1"/>
  <c r="BI22" i="1"/>
  <c r="CH22" i="1"/>
  <c r="BG23" i="1"/>
  <c r="CG24" i="1"/>
  <c r="BF26" i="1"/>
  <c r="BM26" i="1" s="1"/>
  <c r="BJ26" i="1"/>
  <c r="CH26" i="1"/>
  <c r="CJ26" i="1"/>
  <c r="CJ27" i="1"/>
  <c r="BD31" i="1"/>
  <c r="BI31" i="1"/>
  <c r="BF59" i="1"/>
  <c r="BM59" i="1" s="1"/>
  <c r="BJ59" i="1"/>
  <c r="BG59" i="1"/>
  <c r="BH23" i="1"/>
  <c r="BK24" i="1"/>
  <c r="CD24" i="1"/>
  <c r="CH24" i="1"/>
  <c r="CI26" i="1"/>
  <c r="BW27" i="1"/>
  <c r="AQ27" i="1"/>
  <c r="BS27" i="1" s="1"/>
  <c r="BJ27" i="1"/>
  <c r="BC27" i="1"/>
  <c r="BF27" i="1"/>
  <c r="BM27" i="1" s="1"/>
  <c r="CK27" i="1"/>
  <c r="BE29" i="1"/>
  <c r="BL29" i="1" s="1"/>
  <c r="BH32" i="1"/>
  <c r="BI33" i="1"/>
  <c r="CE27" i="1"/>
  <c r="BH28" i="1"/>
  <c r="CG28" i="1"/>
  <c r="BJ29" i="1"/>
  <c r="CC29" i="1"/>
  <c r="CI29" i="1"/>
  <c r="CG30" i="1"/>
  <c r="CE30" i="1"/>
  <c r="BU31" i="1"/>
  <c r="AQ33" i="1"/>
  <c r="BC33" i="1"/>
  <c r="BJ33" i="1"/>
  <c r="CD33" i="1"/>
  <c r="CK33" i="1"/>
  <c r="BF35" i="1"/>
  <c r="BM35" i="1" s="1"/>
  <c r="CC35" i="1"/>
  <c r="BI36" i="1"/>
  <c r="AN41" i="1"/>
  <c r="BH41" i="1"/>
  <c r="AN42" i="1"/>
  <c r="BK54" i="1"/>
  <c r="BI54" i="1"/>
  <c r="BF55" i="1"/>
  <c r="BM55" i="1" s="1"/>
  <c r="BJ55" i="1"/>
  <c r="CE26" i="1"/>
  <c r="CC28" i="1"/>
  <c r="CE29" i="1"/>
  <c r="CH30" i="1"/>
  <c r="BJ31" i="1"/>
  <c r="BH31" i="1"/>
  <c r="CE31" i="1"/>
  <c r="BD32" i="1"/>
  <c r="BH33" i="1"/>
  <c r="BE33" i="1"/>
  <c r="BL33" i="1" s="1"/>
  <c r="BD34" i="1"/>
  <c r="CI34" i="1"/>
  <c r="CG35" i="1"/>
  <c r="BD37" i="1"/>
  <c r="BI37" i="1"/>
  <c r="CG37" i="1"/>
  <c r="BF41" i="1"/>
  <c r="BM41" i="1" s="1"/>
  <c r="BJ41" i="1"/>
  <c r="AQ53" i="1"/>
  <c r="BG55" i="1"/>
  <c r="BE28" i="1"/>
  <c r="BL28" i="1" s="1"/>
  <c r="BE32" i="1"/>
  <c r="BL32" i="1" s="1"/>
  <c r="BF33" i="1"/>
  <c r="BM33" i="1" s="1"/>
  <c r="CF34" i="1"/>
  <c r="CJ34" i="1"/>
  <c r="CH37" i="1"/>
  <c r="BF43" i="1"/>
  <c r="BM43" i="1" s="1"/>
  <c r="BJ43" i="1"/>
  <c r="BK48" i="1"/>
  <c r="BI48" i="1"/>
  <c r="CI31" i="1"/>
  <c r="CG31" i="1"/>
  <c r="CK32" i="1"/>
  <c r="CK34" i="1"/>
  <c r="BC35" i="1"/>
  <c r="BG35" i="1"/>
  <c r="BH35" i="1"/>
  <c r="BU35" i="1"/>
  <c r="CJ35" i="1"/>
  <c r="CH36" i="1"/>
  <c r="CG36" i="1"/>
  <c r="CK37" i="1"/>
  <c r="BK52" i="1"/>
  <c r="BI52" i="1"/>
  <c r="BF53" i="1"/>
  <c r="BM53" i="1" s="1"/>
  <c r="BJ53" i="1"/>
  <c r="AQ55" i="1"/>
  <c r="CH31" i="1"/>
  <c r="BF32" i="1"/>
  <c r="BM32" i="1" s="1"/>
  <c r="CC32" i="1"/>
  <c r="CK35" i="1"/>
  <c r="BE36" i="1"/>
  <c r="BL36" i="1" s="1"/>
  <c r="BG36" i="1"/>
  <c r="CI36" i="1"/>
  <c r="CF37" i="1"/>
  <c r="CJ37" i="1"/>
  <c r="BG41" i="1"/>
  <c r="BG43" i="1"/>
  <c r="AN44" i="1"/>
  <c r="BK44" i="1"/>
  <c r="BI44" i="1"/>
  <c r="BF45" i="1"/>
  <c r="BM45" i="1" s="1"/>
  <c r="BJ45" i="1"/>
  <c r="AQ47" i="1"/>
  <c r="AQ59" i="1"/>
  <c r="BH36" i="1"/>
  <c r="BC43" i="1"/>
  <c r="BC45" i="1"/>
  <c r="BC47" i="1"/>
  <c r="BC53" i="1"/>
  <c r="BC55" i="1"/>
  <c r="BC59" i="1"/>
  <c r="BF60" i="1"/>
  <c r="BM60" i="1" s="1"/>
  <c r="BE37" i="1"/>
  <c r="BL37" i="1" s="1"/>
  <c r="BD43" i="1"/>
  <c r="BG44" i="1"/>
  <c r="BD45" i="1"/>
  <c r="BG46" i="1"/>
  <c r="BD47" i="1"/>
  <c r="BG48" i="1"/>
  <c r="BG52" i="1"/>
  <c r="BD53" i="1"/>
  <c r="BG54" i="1"/>
  <c r="BD55" i="1"/>
  <c r="BD59" i="1"/>
  <c r="BG60" i="1"/>
  <c r="BH44" i="1"/>
  <c r="BH46" i="1"/>
  <c r="BH48" i="1"/>
  <c r="BH52" i="1"/>
  <c r="BH54" i="1"/>
  <c r="BH60" i="1"/>
  <c r="BC44" i="1"/>
  <c r="BC46" i="1"/>
  <c r="BC48" i="1"/>
  <c r="BC52" i="1"/>
  <c r="BC54" i="1"/>
  <c r="BC60" i="1"/>
  <c r="BI60" i="1"/>
  <c r="AL10" i="1" l="1"/>
  <c r="AM10" i="1" s="1"/>
  <c r="AF6" i="1"/>
  <c r="AF5" i="1"/>
  <c r="CM30" i="1"/>
  <c r="CM27" i="1"/>
  <c r="AR52" i="1"/>
  <c r="CL33" i="1"/>
  <c r="CL28" i="1"/>
  <c r="CM31" i="1"/>
  <c r="AR55" i="1"/>
  <c r="CM34" i="1"/>
  <c r="AR60" i="1"/>
  <c r="CL31" i="1"/>
  <c r="CM33" i="1"/>
  <c r="CL32" i="1"/>
  <c r="CM25" i="1"/>
  <c r="AR23" i="1"/>
  <c r="BT23" i="1" s="1"/>
  <c r="CM22" i="1"/>
  <c r="AR42" i="1"/>
  <c r="BP23" i="1"/>
  <c r="CM23" i="1" s="1"/>
  <c r="AR30" i="1"/>
  <c r="BT30" i="1" s="1"/>
  <c r="AR53" i="1"/>
  <c r="CM37" i="1"/>
  <c r="AR22" i="1"/>
  <c r="BT22" i="1" s="1"/>
  <c r="CL34" i="1"/>
  <c r="CL24" i="1"/>
  <c r="CM35" i="1"/>
  <c r="CM29" i="1"/>
  <c r="AR54" i="1"/>
  <c r="AR44" i="1"/>
  <c r="CL35" i="1"/>
  <c r="AR25" i="1"/>
  <c r="BT25" i="1" s="1"/>
  <c r="AR47" i="1"/>
  <c r="AR48" i="1"/>
  <c r="AR43" i="1"/>
  <c r="AR59" i="1"/>
  <c r="AR45" i="1"/>
  <c r="CL37" i="1"/>
  <c r="AR35" i="1"/>
  <c r="BT35" i="1" s="1"/>
  <c r="CL36" i="1"/>
  <c r="CL29" i="1"/>
  <c r="AR32" i="1"/>
  <c r="BT32" i="1" s="1"/>
  <c r="CM26" i="1"/>
  <c r="CL25" i="1"/>
  <c r="AR24" i="1"/>
  <c r="BT24" i="1" s="1"/>
  <c r="AR37" i="1"/>
  <c r="BT37" i="1" s="1"/>
  <c r="CL26" i="1"/>
  <c r="CL27" i="1"/>
  <c r="AR28" i="1"/>
  <c r="BT28" i="1" s="1"/>
  <c r="AR41" i="1"/>
  <c r="AR31" i="1"/>
  <c r="BT31" i="1" s="1"/>
  <c r="AR46" i="1"/>
  <c r="CM32" i="1"/>
  <c r="AR27" i="1"/>
  <c r="BT27" i="1" s="1"/>
  <c r="AR26" i="1"/>
  <c r="BT26" i="1" s="1"/>
  <c r="AR29" i="1"/>
  <c r="BT29" i="1" s="1"/>
  <c r="CM28" i="1"/>
  <c r="CM24" i="1"/>
  <c r="AR34" i="1"/>
  <c r="BT34" i="1" s="1"/>
  <c r="CL30" i="1"/>
  <c r="AR36" i="1"/>
  <c r="BT36" i="1" s="1"/>
  <c r="CM36" i="1"/>
  <c r="BS33" i="1"/>
  <c r="AR33" i="1"/>
  <c r="BT33" i="1" s="1"/>
  <c r="CL22" i="1"/>
  <c r="AF7" i="1" l="1"/>
  <c r="CL23" i="1"/>
</calcChain>
</file>

<file path=xl/sharedStrings.xml><?xml version="1.0" encoding="utf-8"?>
<sst xmlns="http://schemas.openxmlformats.org/spreadsheetml/2006/main" count="250" uniqueCount="176">
  <si>
    <t>DATE</t>
  </si>
  <si>
    <t>CONF</t>
  </si>
  <si>
    <t>ROUNDNUM</t>
  </si>
  <si>
    <t>SERIESCODE</t>
  </si>
  <si>
    <t>GAMENUM</t>
  </si>
  <si>
    <t>TOPSEED</t>
  </si>
  <si>
    <t>LOWSEED</t>
  </si>
  <si>
    <t>TOPSEEDWINS</t>
  </si>
  <si>
    <t>LOWSEEDWINS</t>
  </si>
  <si>
    <t>AWAYTEAM</t>
  </si>
  <si>
    <t>HOMETEAM</t>
  </si>
  <si>
    <t>MYCHOICE</t>
  </si>
  <si>
    <t>LOCKEDIN</t>
  </si>
  <si>
    <t>OTROUNDNUM</t>
  </si>
  <si>
    <t>CORRECT</t>
  </si>
  <si>
    <t>WINNER</t>
  </si>
  <si>
    <t>EAST</t>
  </si>
  <si>
    <t>ER1M2M3</t>
  </si>
  <si>
    <t>CAR</t>
  </si>
  <si>
    <t>TopSeed</t>
  </si>
  <si>
    <t>LowSeed</t>
  </si>
  <si>
    <t>GP In Series</t>
  </si>
  <si>
    <t>Guessed Right</t>
  </si>
  <si>
    <t>Pct Right</t>
  </si>
  <si>
    <t>TopSeedGoals</t>
  </si>
  <si>
    <t>LowSeedGoals</t>
  </si>
  <si>
    <t>HomeGoals</t>
  </si>
  <si>
    <t>AwayGoals</t>
  </si>
  <si>
    <t>HomeWins</t>
  </si>
  <si>
    <t>AwayWins</t>
  </si>
  <si>
    <t>Num Ots</t>
  </si>
  <si>
    <t>ER1A2A3</t>
  </si>
  <si>
    <t>TOR</t>
  </si>
  <si>
    <t>Max Possible Games R1</t>
  </si>
  <si>
    <t>ER1A1WC1</t>
  </si>
  <si>
    <t>FLA</t>
  </si>
  <si>
    <t>TBL</t>
  </si>
  <si>
    <t>Min Possible Games R1</t>
  </si>
  <si>
    <t>ER1M1WC2</t>
  </si>
  <si>
    <t>WSH</t>
  </si>
  <si>
    <t>Games Completed</t>
  </si>
  <si>
    <t>WEST</t>
  </si>
  <si>
    <t>WR1C2C3</t>
  </si>
  <si>
    <t>WPG</t>
  </si>
  <si>
    <t>COL</t>
  </si>
  <si>
    <t>Games Correct</t>
  </si>
  <si>
    <t>WR1P1WC1</t>
  </si>
  <si>
    <t>Percent Correct</t>
  </si>
  <si>
    <t>WR1P2P3</t>
  </si>
  <si>
    <t>WR1C1WC2</t>
  </si>
  <si>
    <t>DAL</t>
  </si>
  <si>
    <t>VGK</t>
  </si>
  <si>
    <t>EDM</t>
  </si>
  <si>
    <t>LAK</t>
  </si>
  <si>
    <t>ER2M1M2</t>
  </si>
  <si>
    <t>ER2A1A2</t>
  </si>
  <si>
    <t>WR2C1C2</t>
  </si>
  <si>
    <t>WR2P1P2</t>
  </si>
  <si>
    <t>ER3AM</t>
  </si>
  <si>
    <t>WR3PC</t>
  </si>
  <si>
    <t>SCF</t>
  </si>
  <si>
    <t>GP R1</t>
  </si>
  <si>
    <t>GP R2</t>
  </si>
  <si>
    <t>GP R3</t>
  </si>
  <si>
    <t>GP R4</t>
  </si>
  <si>
    <t>GP TOT</t>
  </si>
  <si>
    <t>GP H</t>
  </si>
  <si>
    <t>GP A</t>
  </si>
  <si>
    <t>W TOT</t>
  </si>
  <si>
    <t>L TOT</t>
  </si>
  <si>
    <t>W H</t>
  </si>
  <si>
    <t>L H</t>
  </si>
  <si>
    <t>W A</t>
  </si>
  <si>
    <t>L A</t>
  </si>
  <si>
    <t>GP R1 H</t>
  </si>
  <si>
    <t>GP R1 A</t>
  </si>
  <si>
    <t>GF R1 H</t>
  </si>
  <si>
    <t>GF R1 A</t>
  </si>
  <si>
    <t>GA R1 H</t>
  </si>
  <si>
    <t>GA R1 A</t>
  </si>
  <si>
    <t>DIFF R1 H</t>
  </si>
  <si>
    <t>DIFF R1 A</t>
  </si>
  <si>
    <t>GF R1 T</t>
  </si>
  <si>
    <t>GA R1 T</t>
  </si>
  <si>
    <t>DIFF R1 T</t>
  </si>
  <si>
    <t>GFPG R1 H</t>
  </si>
  <si>
    <t>GFPG R1 A</t>
  </si>
  <si>
    <t>GAPG R1 H</t>
  </si>
  <si>
    <t>GAPG R1 A</t>
  </si>
  <si>
    <t>GFPG R1</t>
  </si>
  <si>
    <t>GAPG R1</t>
  </si>
  <si>
    <t>Team</t>
  </si>
  <si>
    <t>GF H</t>
  </si>
  <si>
    <t>GF A</t>
  </si>
  <si>
    <t>GA H</t>
  </si>
  <si>
    <t>GA A</t>
  </si>
  <si>
    <t>DIFF H</t>
  </si>
  <si>
    <t>DIFF A</t>
  </si>
  <si>
    <t>GF T</t>
  </si>
  <si>
    <t>GA T</t>
  </si>
  <si>
    <t>DIFF T</t>
  </si>
  <si>
    <t>GFPG H</t>
  </si>
  <si>
    <t>GFPG A</t>
  </si>
  <si>
    <t>GAPG H</t>
  </si>
  <si>
    <t>GAPG A</t>
  </si>
  <si>
    <t xml:space="preserve">GFPG </t>
  </si>
  <si>
    <t xml:space="preserve">GAPG </t>
  </si>
  <si>
    <t>GP R2 H</t>
  </si>
  <si>
    <t>GP R2 A</t>
  </si>
  <si>
    <t>GF R2 H</t>
  </si>
  <si>
    <t>GF R2 A</t>
  </si>
  <si>
    <t>GA R2 H</t>
  </si>
  <si>
    <t>GA R2 A</t>
  </si>
  <si>
    <t>DIFF R2 H</t>
  </si>
  <si>
    <t>DIFF R2 A</t>
  </si>
  <si>
    <t>GF R2 T</t>
  </si>
  <si>
    <t>GA R2 T</t>
  </si>
  <si>
    <t>DIFF R2 T</t>
  </si>
  <si>
    <t>GFPG R2 H</t>
  </si>
  <si>
    <t>GFPG R2 A</t>
  </si>
  <si>
    <t>GAPG R2 H</t>
  </si>
  <si>
    <t>GAPG R2 A</t>
  </si>
  <si>
    <t>GFPG R2</t>
  </si>
  <si>
    <t>GAPG R2</t>
  </si>
  <si>
    <t>GP R3 H</t>
  </si>
  <si>
    <t>GP R3 A</t>
  </si>
  <si>
    <t>GF R3 H</t>
  </si>
  <si>
    <t>GF R3 A</t>
  </si>
  <si>
    <t>GA R3 H</t>
  </si>
  <si>
    <t>GA R3 A</t>
  </si>
  <si>
    <t>DIFF R3 H</t>
  </si>
  <si>
    <t>DIFF R3 A</t>
  </si>
  <si>
    <t>GF R3 T</t>
  </si>
  <si>
    <t>GA R3 T</t>
  </si>
  <si>
    <t>DIFF R3 T</t>
  </si>
  <si>
    <t>GFPG R3 H</t>
  </si>
  <si>
    <t>GFPG R3 A</t>
  </si>
  <si>
    <t>GAPG R3 H</t>
  </si>
  <si>
    <t>GAPG R3 A</t>
  </si>
  <si>
    <t>GFPG R3</t>
  </si>
  <si>
    <t>GAPG R3</t>
  </si>
  <si>
    <t>GP R4 H</t>
  </si>
  <si>
    <t>GP R4 A</t>
  </si>
  <si>
    <t>GF R4 H</t>
  </si>
  <si>
    <t>GF R4 A</t>
  </si>
  <si>
    <t>GA R4 H</t>
  </si>
  <si>
    <t>GA R4 A</t>
  </si>
  <si>
    <t>DIFF R4 H</t>
  </si>
  <si>
    <t>DIFF R4 A</t>
  </si>
  <si>
    <t>GF R4 T</t>
  </si>
  <si>
    <t>GA R4 T</t>
  </si>
  <si>
    <t>DIFF R4 T</t>
  </si>
  <si>
    <t>GFPG R4 H</t>
  </si>
  <si>
    <t>GFPG R4 A</t>
  </si>
  <si>
    <t>GAPG R4 H</t>
  </si>
  <si>
    <t>GAPG R4 A</t>
  </si>
  <si>
    <t>GFPG R4</t>
  </si>
  <si>
    <t>GAPG R4</t>
  </si>
  <si>
    <t>STL</t>
  </si>
  <si>
    <t>NJD</t>
  </si>
  <si>
    <t>OTT</t>
  </si>
  <si>
    <t>MIN</t>
  </si>
  <si>
    <t>MTL</t>
  </si>
  <si>
    <t>PHOMESCORE</t>
  </si>
  <si>
    <t>PAWAYSCORE</t>
  </si>
  <si>
    <t>Notes</t>
  </si>
  <si>
    <t>WEEKDATE</t>
  </si>
  <si>
    <t>TIME</t>
  </si>
  <si>
    <t>Column1</t>
  </si>
  <si>
    <t>PResult</t>
  </si>
  <si>
    <t>AAWAYSCORE</t>
  </si>
  <si>
    <t>AHOMESCORE</t>
  </si>
  <si>
    <t>Column2</t>
  </si>
  <si>
    <t>GameOver</t>
  </si>
  <si>
    <t>PIT</t>
  </si>
  <si>
    <t>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</si>
</sst>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left"/>
    </xf>
    <xf numFmtId="1" fontId="0" fillId="0" borderId="1" xfId="0" applyNumberFormat="1" applyBorder="1"/>
    <xf numFmtId="0" fontId="0" fillId="0" borderId="0" xfId="0" applyAlignment="1">
      <alignment horizontal="right"/>
    </xf>
    <xf numFmtId="1" fontId="0" fillId="0" borderId="0" xfId="0" applyNumberFormat="1" applyAlignment="1">
      <alignment horizontal="left"/>
    </xf>
    <xf numFmtId="1" fontId="0" fillId="0" borderId="0" xfId="0" applyNumberFormat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20" fontId="0" fillId="0" borderId="0" xfId="0" applyNumberFormat="1" applyAlignment="1">
      <alignment horizontal="center"/>
    </xf>
    <xf numFmtId="0" fontId="0" fillId="0" borderId="1" xfId="0" applyBorder="1" applyAlignment="1">
      <alignment textRotation="90"/>
    </xf>
    <xf numFmtId="0" fontId="0" fillId="0" borderId="1" xfId="0" applyBorder="1" applyAlignment="1">
      <alignment horizontal="center" textRotation="90"/>
    </xf>
    <xf numFmtId="1" fontId="0" fillId="0" borderId="1" xfId="0" applyNumberFormat="1" applyBorder="1" applyAlignment="1">
      <alignment horizontal="center" textRotation="90"/>
    </xf>
    <xf numFmtId="49" fontId="0" fillId="0" borderId="1" xfId="0" applyNumberFormat="1" applyBorder="1" applyAlignment="1">
      <alignment horizontal="center" textRotation="90"/>
    </xf>
    <xf numFmtId="0" fontId="0" fillId="0" borderId="0" xfId="0" applyAlignment="1">
      <alignment horizontal="center" textRotation="90"/>
    </xf>
    <xf numFmtId="0" fontId="0" fillId="0" borderId="0" xfId="0" applyAlignment="1">
      <alignment textRotation="90"/>
    </xf>
    <xf numFmtId="0" fontId="0" fillId="0" borderId="0" xfId="0" applyAlignment="1">
      <alignment horizontal="left" textRotation="90"/>
    </xf>
    <xf numFmtId="0" fontId="0" fillId="0" borderId="0" xfId="0" applyBorder="1"/>
    <xf numFmtId="14" fontId="0" fillId="0" borderId="0" xfId="0" applyNumberForma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/>
    <xf numFmtId="20" fontId="0" fillId="2" borderId="0" xfId="0" applyNumberFormat="1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49" fontId="0" fillId="2" borderId="0" xfId="0" applyNumberFormat="1" applyFill="1" applyBorder="1" applyAlignment="1">
      <alignment horizontal="center"/>
    </xf>
  </cellXfs>
  <cellStyles count="1">
    <cellStyle name="Normal" xfId="0" builtinId="0"/>
  </cellStyles>
  <dxfs count="1354"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color rgb="FF0070C0"/>
      </font>
      <fill>
        <patternFill>
          <bgColor rgb="FFFF0000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color rgb="FF0070C0"/>
      </font>
      <fill>
        <patternFill>
          <bgColor rgb="FFFF0000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color rgb="FF0070C0"/>
      </font>
      <fill>
        <patternFill>
          <bgColor rgb="FFFF0000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color rgb="FF0070C0"/>
      </font>
      <fill>
        <patternFill>
          <bgColor rgb="FFFF0000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19" formatCode="yyyy/mm/dd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9" formatCode="yyyy/mm/dd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25" formatCode="h:mm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9" formatCode="yyyy/mm/dd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alignment horizontal="center" vertical="bottom" textRotation="90" wrapText="0" indent="0" justifyLastLine="0" shrinkToFit="0" readingOrder="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FF0000"/>
      <color rgb="FFF8696B"/>
      <color rgb="FFD11515"/>
      <color rgb="FFA71111"/>
      <color rgb="FF3F6228"/>
      <color rgb="FF003DB8"/>
      <color rgb="FFFF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CA4EF-A189-4A56-BEED-A829B529A5E3}" name="Table1" displayName="Table1" ref="BO21:CM37" totalsRowShown="0">
  <autoFilter ref="BO21:CM37" xr:uid="{F13CA4EF-A189-4A56-BEED-A829B529A5E3}"/>
  <sortState xmlns:xlrd2="http://schemas.microsoft.com/office/spreadsheetml/2017/richdata2" ref="BO22:CM37">
    <sortCondition ref="CL21:CL37"/>
  </sortState>
  <tableColumns count="25">
    <tableColumn id="1" xr3:uid="{35E4500A-DA09-4BF2-A9DD-981973613A2E}" name="Team">
      <calculatedColumnFormula>AI22</calculatedColumnFormula>
    </tableColumn>
    <tableColumn id="2" xr3:uid="{A33C8BB1-51F1-4EE0-BAF3-79A0072A877D}" name="GP TOT" dataDxfId="1353">
      <calculatedColumnFormula>AN22</calculatedColumnFormula>
    </tableColumn>
    <tableColumn id="3" xr3:uid="{B7BD47C3-C6CD-433B-8763-2E7BF28F91A9}" name="GP H" dataDxfId="1352">
      <calculatedColumnFormula>AO22</calculatedColumnFormula>
    </tableColumn>
    <tableColumn id="4" xr3:uid="{A7C2CDB8-1006-4E42-85C9-739B917E0E3B}" name="GP A" dataDxfId="1351">
      <calculatedColumnFormula>AP22</calculatedColumnFormula>
    </tableColumn>
    <tableColumn id="5" xr3:uid="{FBF9C9A1-A231-4AC5-98EC-8575F964E9E7}" name="W TOT" dataDxfId="1350">
      <calculatedColumnFormula>AQ22</calculatedColumnFormula>
    </tableColumn>
    <tableColumn id="6" xr3:uid="{4F1AF376-3B42-4A7B-88AE-2AEB54C684FD}" name="L TOT" dataDxfId="1349">
      <calculatedColumnFormula>AR22</calculatedColumnFormula>
    </tableColumn>
    <tableColumn id="7" xr3:uid="{CD4CF37C-B565-4072-A8DF-97ABD75AC2BE}" name="W H" dataDxfId="1348">
      <calculatedColumnFormula>AS22</calculatedColumnFormula>
    </tableColumn>
    <tableColumn id="8" xr3:uid="{1F359623-5047-4AA5-8DFE-2A1235BD0244}" name="L H" dataDxfId="1347">
      <calculatedColumnFormula>AT22</calculatedColumnFormula>
    </tableColumn>
    <tableColumn id="9" xr3:uid="{F8112AD4-AB28-4E89-97C1-D0AD9007C7A5}" name="W A" dataDxfId="1346">
      <calculatedColumnFormula>AU22</calculatedColumnFormula>
    </tableColumn>
    <tableColumn id="10" xr3:uid="{E0BC1C3D-B833-4A33-A2F7-C67BE06DEDA1}" name="L A" dataDxfId="1345">
      <calculatedColumnFormula>AV22</calculatedColumnFormula>
    </tableColumn>
    <tableColumn id="11" xr3:uid="{B9A986DF-FE9E-415D-924B-8EB61CBE5CC3}" name="GF H" dataDxfId="1344">
      <calculatedColumnFormula>SUMIFS($T$2:$T$106,$M$2:$M$106,AI22,$E$2:$E$106,1)+SUMIFS($T$2:$T$106,$M$2:$M$106,AI22,$E$2:$E$106,2)+SUMIFS($T$2:$T$106,$M$2:$M$106,AI22,$E$2:$E$106,3)+SUMIFS($T$2:$T$106,$M$2:$M$106,AI22,$E$2:$E$106,4)</calculatedColumnFormula>
    </tableColumn>
    <tableColumn id="12" xr3:uid="{83BAED9D-BBE1-4C76-BBCA-313CCD921E11}" name="GF A" dataDxfId="1343">
      <calculatedColumnFormula>SUMIFS($S$2:$S$106,$L$2:$L$106,AI22,$E$2:$E$106,1) + SUMIFS($S$2:$S$106,$L$2:$L$106,AI22,$E$2:$E$106,2)+SUMIFS($S$2:$S$106,$L$2:$L$106,AI22,$E$2:$E$106,3)+SUMIFS($S$2:$S$106,$L$2:$L$106,AI22,$E$2:$E$106,4)</calculatedColumnFormula>
    </tableColumn>
    <tableColumn id="13" xr3:uid="{9D239E38-642E-49BB-AFCC-7F4B50408CD9}" name="GA H" dataDxfId="1342">
      <calculatedColumnFormula>SUMIFS($S$2:$S$106,$M$2:$M$106,AI22,$E$2:$E$106,1)+SUMIFS($S$2:$S$106,$M$2:$M$106,AI22,$E$2:$E$106,2)+SUMIFS($S$2:$S$106,$M$2:$M$106,AI22,$E$2:$E$106,3)+SUMIFS($S$2:$S$106,$M$2:$M$106,AI22,$E$2:$E$106,4)</calculatedColumnFormula>
    </tableColumn>
    <tableColumn id="14" xr3:uid="{C28D4692-8893-4399-B12F-0EFEC4ACE55F}" name="GA A" dataDxfId="1341">
      <calculatedColumnFormula>SUMIFS($T$2:$T$106,$L$2:$L$106,AI22,$E$2:$E$106,1)+(SUMIFS($T$2:$T$106,$L$2:$L$106,AI22,$E$2:$E$106,2)+SUMIFS($T$2:$T$106,$L$2:$L$106,AI22,$E$2:$E$106,3)+SUMIFS($T$2:$T$106,$L$2:$L$106,AI22,$E$2:$E$106,4))</calculatedColumnFormula>
    </tableColumn>
    <tableColumn id="15" xr3:uid="{EFE9EFE5-C5A6-4D37-BAFD-4A00F7B02584}" name="DIFF H" dataDxfId="1340">
      <calculatedColumnFormula>BY22-CA22</calculatedColumnFormula>
    </tableColumn>
    <tableColumn id="16" xr3:uid="{B9AF8DC9-F982-4D02-B43F-486449573036}" name="DIFF A" dataDxfId="1339">
      <calculatedColumnFormula>BZ22-CB22</calculatedColumnFormula>
    </tableColumn>
    <tableColumn id="17" xr3:uid="{E94B86FE-AA74-466B-A7F6-2C43B9EEA68A}" name="GF T" dataDxfId="1338">
      <calculatedColumnFormula>BY22+BZ22</calculatedColumnFormula>
    </tableColumn>
    <tableColumn id="18" xr3:uid="{437A09FB-7E7B-457E-AD72-B615E2FEC992}" name="GA T" dataDxfId="1337">
      <calculatedColumnFormula>CA22+CB22</calculatedColumnFormula>
    </tableColumn>
    <tableColumn id="19" xr3:uid="{D83A9D62-4017-4FF7-BA18-93B627CB0BEF}" name="DIFF T" dataDxfId="1336">
      <calculatedColumnFormula>(BY22+BZ22)-(CA22+CB22)</calculatedColumnFormula>
    </tableColumn>
    <tableColumn id="20" xr3:uid="{139C299F-4896-455D-A9B3-7CA4FF9ECE1D}" name="GFPG H" dataDxfId="1335">
      <calculatedColumnFormula>BY22/BQ22</calculatedColumnFormula>
    </tableColumn>
    <tableColumn id="21" xr3:uid="{5ED7F4F1-4524-4204-90BC-07DFE35665ED}" name="GFPG A" dataDxfId="1334">
      <calculatedColumnFormula>BZ22/BR22</calculatedColumnFormula>
    </tableColumn>
    <tableColumn id="22" xr3:uid="{3BAC0D7E-D609-46FC-BB96-6327BEC9045F}" name="GAPG H" dataDxfId="1333">
      <calculatedColumnFormula>CA22/BQ22</calculatedColumnFormula>
    </tableColumn>
    <tableColumn id="23" xr3:uid="{894AF6A4-2FD4-468F-8740-6E39104F12C5}" name="GAPG A" dataDxfId="1332">
      <calculatedColumnFormula>CB22/BR22</calculatedColumnFormula>
    </tableColumn>
    <tableColumn id="24" xr3:uid="{CFA1DE8E-0094-499E-B287-EEFFFC39239B}" name="GFPG " dataDxfId="1331">
      <calculatedColumnFormula>CE22/BP22</calculatedColumnFormula>
    </tableColumn>
    <tableColumn id="25" xr3:uid="{5723B53A-51E1-40DB-A91D-49D133C87D25}" name="GAPG " dataDxfId="1330">
      <calculatedColumnFormula>CF22/BP22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F60155-77BE-48E5-AA58-5D8F46940651}" name="Table2" displayName="Table2" ref="A1:AA87" totalsRowShown="0" headerRowDxfId="1329" headerRowBorderDxfId="1328">
  <autoFilter ref="A1:AA87" xr:uid="{CAF60155-77BE-48E5-AA58-5D8F46940651}"/>
  <tableColumns count="27">
    <tableColumn id="1" xr3:uid="{DDB71618-B495-4370-A2C8-F807AB26F35C}" name="WEEKDATE">
      <calculatedColumnFormula>TEXT($B2,"dddd")</calculatedColumnFormula>
    </tableColumn>
    <tableColumn id="2" xr3:uid="{D87BCC97-C12B-42BA-ACD3-847AD72294EC}" name="DATE" dataDxfId="1327"/>
    <tableColumn id="3" xr3:uid="{6E19CA59-B6A3-4131-B285-CE1F7BAF3D31}" name="TIME" dataDxfId="1326"/>
    <tableColumn id="4" xr3:uid="{02F4D888-3BD5-4016-BA9A-EC8A0CBEA44E}" name="CONF" dataDxfId="1325"/>
    <tableColumn id="5" xr3:uid="{DEBF2CDE-9CD3-427B-90BB-33C4A230FDB2}" name="ROUNDNUM" dataDxfId="1324"/>
    <tableColumn id="6" xr3:uid="{0B2FA3E5-A739-4507-920E-FD6BD73D06FC}" name="SERIESCODE" dataDxfId="1323"/>
    <tableColumn id="7" xr3:uid="{E0FB355A-FF65-48EA-9A64-1208BDA18DEA}" name="GAMENUM" dataDxfId="1322"/>
    <tableColumn id="8" xr3:uid="{48075340-6AD4-4735-8D81-DCE8BDEA7894}" name="TOPSEED" dataDxfId="1321"/>
    <tableColumn id="9" xr3:uid="{47D97FCE-3C11-4B03-A932-BB3CCC5294A3}" name="LOWSEED" dataDxfId="1320"/>
    <tableColumn id="10" xr3:uid="{2657E2A1-FA3E-4247-AB77-0882735B5D98}" name="TOPSEEDWINS" dataDxfId="1319"/>
    <tableColumn id="11" xr3:uid="{F857D9CD-319A-4A1F-8A87-5B89AB0E3AE4}" name="LOWSEEDWINS" dataDxfId="1318"/>
    <tableColumn id="12" xr3:uid="{F49B8205-50A8-4D22-BDFA-A8C59906257D}" name="AWAYTEAM" dataDxfId="1317"/>
    <tableColumn id="13" xr3:uid="{10A989E8-E464-444A-B995-FE5CD8D50A3E}" name="HOMETEAM" dataDxfId="1316"/>
    <tableColumn id="14" xr3:uid="{BEBB472F-C00C-43D1-BA57-177EECF3D1A4}" name="MYCHOICE" dataDxfId="1315">
      <calculatedColumnFormula>IF(OR(ISBLANK(O2), ISBLANK($P2)), "", IF($O2&gt;$P2, $L2,$M2))</calculatedColumnFormula>
    </tableColumn>
    <tableColumn id="15" xr3:uid="{3265132F-9519-4D83-9071-5A806C9B66A7}" name="PAWAYSCORE" dataDxfId="1314"/>
    <tableColumn id="16" xr3:uid="{61D192BF-2F44-45CA-B41E-2E154B58B73C}" name="PHOMESCORE" dataDxfId="1313"/>
    <tableColumn id="17" xr3:uid="{4FBCD938-E47F-4A71-B757-19409794237B}" name="PResult" dataDxfId="1312"/>
    <tableColumn id="18" xr3:uid="{910345CE-2F3B-453D-B129-551EEF8A2ED1}" name="LOCKEDIN" dataDxfId="1311"/>
    <tableColumn id="19" xr3:uid="{B5B3650D-B08F-4959-92AE-19041FF77E90}" name="AAWAYSCORE" dataDxfId="1310"/>
    <tableColumn id="20" xr3:uid="{335FAADC-EF48-4918-8FC4-59E64D4FF575}" name="AHOMESCORE" dataDxfId="1309"/>
    <tableColumn id="21" xr3:uid="{D0C1DED2-3AB8-4A82-B413-410B2E943C31}" name="OTROUNDNUM" dataDxfId="1308"/>
    <tableColumn id="22" xr3:uid="{13F2CA6A-0805-4608-99D8-D82B730F1411}" name="CORRECT" dataDxfId="1307">
      <calculatedColumnFormula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calculatedColumnFormula>
    </tableColumn>
    <tableColumn id="23" xr3:uid="{C52B97FA-25BE-428D-BE11-A51A7A6F4023}" name="WINNER" dataDxfId="1306">
      <calculatedColumnFormula>IF(OR(ISBLANK($S2), ISBLANK($T2), ISBLANK($U2)), "", IF(S2&gt;T2,L2,M2))</calculatedColumnFormula>
    </tableColumn>
    <tableColumn id="26" xr3:uid="{5D5BFFE0-4374-4A91-BEA2-4CDF401FCD34}" name="Column2" dataDxfId="1305">
      <calculatedColumnFormula>IF(ISBLANK(Table2[[#This Row],[OTROUNDNUM]]), "", Table2[[#This Row],[PAWAYSCORE]]-Table2[[#This Row],[AAWAYSCORE]])</calculatedColumnFormula>
    </tableColumn>
    <tableColumn id="25" xr3:uid="{ACD0F41D-B80B-4A4E-9591-78757C8DFA9E}" name="Column1" dataDxfId="1304">
      <calculatedColumnFormula>IF(ISBLANK(Table2[[#This Row],[OTROUNDNUM]]), "", Table2[[#This Row],[PHOMESCORE]]-Table2[[#This Row],[AHOMESCORE]])</calculatedColumnFormula>
    </tableColumn>
    <tableColumn id="27" xr3:uid="{41738826-E2E1-4FB3-9F83-D387B1662DD1}" name="GameOver" dataDxfId="1303">
      <calculatedColumnFormula>IF(ISBLANK(Table2[[#This Row],[GAMENUM]]), " ", IF((Table2[[#This Row],[TOPSEEDWINS]]+Table2[[#This Row],[LOWSEEDWINS]]) &lt;&gt; Table2[[#This Row],[GAMENUM]], 0, 1))</calculatedColumnFormula>
    </tableColumn>
    <tableColumn id="24" xr3:uid="{4CBA132A-C7C7-46A0-A3B6-3B6E14F287C5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CA58-DCD7-4A09-9052-0851D3ECB0FF}">
  <sheetPr codeName="Sheet1"/>
  <dimension ref="A1:CM95"/>
  <sheetViews>
    <sheetView tabSelected="1" zoomScaleNormal="100" workbookViewId="0">
      <selection activeCell="N5" sqref="N5"/>
    </sheetView>
  </sheetViews>
  <sheetFormatPr defaultRowHeight="15" x14ac:dyDescent="0.25"/>
  <cols>
    <col min="1" max="1" width="13" bestFit="1" customWidth="1"/>
    <col min="2" max="2" width="10.42578125" bestFit="1" customWidth="1"/>
    <col min="3" max="3" width="6.85546875" customWidth="1"/>
    <col min="4" max="4" width="7.28515625" style="2" customWidth="1"/>
    <col min="5" max="5" width="4.7109375" style="5" customWidth="1"/>
    <col min="6" max="6" width="13.7109375" style="6" customWidth="1"/>
    <col min="7" max="7" width="4.7109375" style="5" customWidth="1"/>
    <col min="8" max="9" width="8.7109375" style="11" customWidth="1"/>
    <col min="10" max="11" width="4.7109375" style="11" customWidth="1"/>
    <col min="12" max="14" width="8.7109375" customWidth="1"/>
    <col min="15" max="16" width="4.7109375" customWidth="1"/>
    <col min="17" max="17" width="9.140625" customWidth="1"/>
    <col min="18" max="18" width="12" style="2" customWidth="1"/>
    <col min="19" max="22" width="4.7109375" customWidth="1"/>
    <col min="23" max="25" width="8.7109375" style="2" customWidth="1"/>
    <col min="26" max="26" width="2.7109375" style="2" customWidth="1"/>
    <col min="27" max="27" width="31" customWidth="1"/>
    <col min="28" max="28" width="17.5703125" customWidth="1"/>
    <col min="29" max="29" width="22" bestFit="1" customWidth="1"/>
    <col min="32" max="32" width="12" bestFit="1" customWidth="1"/>
    <col min="34" max="34" width="11.140625" style="3" bestFit="1" customWidth="1"/>
    <col min="35" max="35" width="8.7109375" bestFit="1" customWidth="1"/>
    <col min="36" max="36" width="9" bestFit="1" customWidth="1"/>
    <col min="37" max="37" width="11.42578125" bestFit="1" customWidth="1"/>
    <col min="38" max="38" width="13.7109375" bestFit="1" customWidth="1"/>
    <col min="39" max="39" width="12" bestFit="1" customWidth="1"/>
    <col min="40" max="40" width="13.7109375" bestFit="1" customWidth="1"/>
    <col min="41" max="41" width="14" bestFit="1" customWidth="1"/>
    <col min="42" max="42" width="11.140625" bestFit="1" customWidth="1"/>
    <col min="43" max="44" width="10.7109375" bestFit="1" customWidth="1"/>
    <col min="45" max="45" width="10.28515625" bestFit="1" customWidth="1"/>
    <col min="46" max="46" width="8.7109375" bestFit="1" customWidth="1"/>
    <col min="47" max="47" width="4.5703125" bestFit="1" customWidth="1"/>
    <col min="48" max="48" width="3.5703125" bestFit="1" customWidth="1"/>
    <col min="49" max="50" width="7.7109375" bestFit="1" customWidth="1"/>
    <col min="51" max="52" width="7.5703125" bestFit="1" customWidth="1"/>
    <col min="53" max="54" width="7.85546875" bestFit="1" customWidth="1"/>
    <col min="57" max="57" width="7.28515625" bestFit="1" customWidth="1"/>
    <col min="58" max="58" width="7.5703125" bestFit="1" customWidth="1"/>
    <col min="59" max="59" width="8.85546875" bestFit="1" customWidth="1"/>
    <col min="60" max="65" width="12" bestFit="1" customWidth="1"/>
    <col min="67" max="67" width="11" customWidth="1"/>
    <col min="68" max="68" width="9.5703125" customWidth="1"/>
    <col min="69" max="69" width="7.42578125" bestFit="1" customWidth="1"/>
    <col min="70" max="70" width="8.7109375" bestFit="1" customWidth="1"/>
    <col min="86" max="87" width="9.85546875" customWidth="1"/>
    <col min="88" max="89" width="10.140625" customWidth="1"/>
  </cols>
  <sheetData>
    <row r="1" spans="1:46" s="23" customFormat="1" ht="75" customHeight="1" x14ac:dyDescent="0.25">
      <c r="A1" s="18" t="s">
        <v>166</v>
      </c>
      <c r="B1" s="19" t="s">
        <v>0</v>
      </c>
      <c r="C1" s="19" t="s">
        <v>167</v>
      </c>
      <c r="D1" s="19" t="s">
        <v>1</v>
      </c>
      <c r="E1" s="20" t="s">
        <v>2</v>
      </c>
      <c r="F1" s="21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  <c r="L1" s="19" t="s">
        <v>9</v>
      </c>
      <c r="M1" s="19" t="s">
        <v>10</v>
      </c>
      <c r="N1" s="19" t="s">
        <v>11</v>
      </c>
      <c r="O1" s="19" t="s">
        <v>164</v>
      </c>
      <c r="P1" s="19" t="s">
        <v>163</v>
      </c>
      <c r="Q1" s="19" t="s">
        <v>169</v>
      </c>
      <c r="R1" s="19" t="s">
        <v>12</v>
      </c>
      <c r="S1" s="19" t="s">
        <v>170</v>
      </c>
      <c r="T1" s="19" t="s">
        <v>171</v>
      </c>
      <c r="U1" s="19" t="s">
        <v>13</v>
      </c>
      <c r="V1" s="19" t="s">
        <v>14</v>
      </c>
      <c r="W1" s="19" t="s">
        <v>15</v>
      </c>
      <c r="X1" s="19" t="s">
        <v>172</v>
      </c>
      <c r="Y1" s="19" t="s">
        <v>168</v>
      </c>
      <c r="Z1" s="19" t="s">
        <v>173</v>
      </c>
      <c r="AA1" s="19" t="s">
        <v>165</v>
      </c>
      <c r="AB1" s="22"/>
      <c r="AH1" s="24"/>
    </row>
    <row r="2" spans="1:46" x14ac:dyDescent="0.25">
      <c r="A2" t="str">
        <f>TEXT($B2,"dddd")</f>
        <v>Saturday</v>
      </c>
      <c r="B2" s="4">
        <v>46130</v>
      </c>
      <c r="C2" s="17">
        <v>0.66666666666666663</v>
      </c>
      <c r="D2" s="4" t="s">
        <v>16</v>
      </c>
      <c r="E2" s="5">
        <v>1</v>
      </c>
      <c r="F2" s="2" t="s">
        <v>38</v>
      </c>
      <c r="G2" s="5">
        <v>1</v>
      </c>
      <c r="H2" s="2" t="s">
        <v>18</v>
      </c>
      <c r="I2" s="2" t="s">
        <v>160</v>
      </c>
      <c r="J2" s="5">
        <v>0</v>
      </c>
      <c r="K2" s="5">
        <v>0</v>
      </c>
      <c r="L2" s="2" t="s">
        <v>160</v>
      </c>
      <c r="M2" s="2" t="s">
        <v>18</v>
      </c>
      <c r="N2" s="2" t="str">
        <f>IF(OR(ISBLANK(O2), ISBLANK($P2)), "", IF($O2&gt;$P2, $L2,$M2))</f>
        <v/>
      </c>
      <c r="O2" s="2"/>
      <c r="P2" s="2"/>
      <c r="Q2" s="2"/>
      <c r="R2" s="4"/>
      <c r="S2" s="2"/>
      <c r="T2" s="2"/>
      <c r="U2" s="2"/>
      <c r="V2" s="2" t="str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/>
      </c>
      <c r="W2" s="2" t="str">
        <f>IF(OR(ISBLANK($S2), ISBLANK($T2), ISBLANK($U2)), "", IF(S2&gt;T2,L2,M2))</f>
        <v/>
      </c>
      <c r="X2" s="2" t="str">
        <f>IF(ISBLANK(Table2[[#This Row],[OTROUNDNUM]]), "", Table2[[#This Row],[PAWAYSCORE]]-Table2[[#This Row],[AAWAYSCORE]])</f>
        <v/>
      </c>
      <c r="Y2" s="2" t="str">
        <f>IF(ISBLANK(Table2[[#This Row],[OTROUNDNUM]]), "", Table2[[#This Row],[PHOMESCORE]]-Table2[[#This Row],[AHOMESCORE]])</f>
        <v/>
      </c>
      <c r="Z2" s="2">
        <f>IF(ISBLANK(Table2[[#This Row],[GAMENUM]]), " ", IF((Table2[[#This Row],[TOPSEEDWINS]]+Table2[[#This Row],[LOWSEEDWINS]]) &lt;&gt; Table2[[#This Row],[GAMENUM]], 0, 1))</f>
        <v>0</v>
      </c>
      <c r="AD2" s="2"/>
      <c r="AE2" s="5"/>
      <c r="AF2" s="6"/>
      <c r="AG2" s="5"/>
      <c r="AH2" s="7"/>
      <c r="AI2" s="8" t="s">
        <v>19</v>
      </c>
      <c r="AJ2" s="8" t="s">
        <v>20</v>
      </c>
      <c r="AK2" s="8" t="s">
        <v>21</v>
      </c>
      <c r="AL2" s="8" t="s">
        <v>22</v>
      </c>
      <c r="AM2" s="8" t="s">
        <v>23</v>
      </c>
      <c r="AN2" s="8" t="s">
        <v>24</v>
      </c>
      <c r="AO2" s="8" t="s">
        <v>25</v>
      </c>
      <c r="AP2" s="8" t="s">
        <v>26</v>
      </c>
      <c r="AQ2" s="8" t="s">
        <v>27</v>
      </c>
      <c r="AR2" s="8" t="s">
        <v>28</v>
      </c>
      <c r="AS2" s="8" t="s">
        <v>29</v>
      </c>
      <c r="AT2" s="8" t="s">
        <v>30</v>
      </c>
    </row>
    <row r="3" spans="1:46" x14ac:dyDescent="0.25">
      <c r="A3" s="25" t="str">
        <f>TEXT($B3,"dddd")</f>
        <v>Saturday</v>
      </c>
      <c r="B3" s="26">
        <v>46130</v>
      </c>
      <c r="C3" s="27">
        <v>0.6875</v>
      </c>
      <c r="D3" s="26" t="s">
        <v>41</v>
      </c>
      <c r="E3" s="28">
        <v>1</v>
      </c>
      <c r="F3" s="29" t="s">
        <v>42</v>
      </c>
      <c r="G3" s="28">
        <v>1</v>
      </c>
      <c r="H3" s="30" t="s">
        <v>50</v>
      </c>
      <c r="I3" s="30" t="s">
        <v>161</v>
      </c>
      <c r="J3" s="28">
        <v>0</v>
      </c>
      <c r="K3" s="28">
        <v>0</v>
      </c>
      <c r="L3" s="30" t="s">
        <v>161</v>
      </c>
      <c r="M3" s="30" t="s">
        <v>50</v>
      </c>
      <c r="N3" s="30" t="str">
        <f>IF(OR(ISBLANK(O3), ISBLANK($P3)), "", IF($O3&gt;$P3, $L4,$M4))</f>
        <v/>
      </c>
      <c r="O3" s="30"/>
      <c r="P3" s="30"/>
      <c r="Q3" s="30"/>
      <c r="R3" s="26"/>
      <c r="S3" s="30"/>
      <c r="T3" s="30"/>
      <c r="U3" s="30"/>
      <c r="V3" s="30"/>
      <c r="W3" s="2" t="str">
        <f t="shared" ref="W3:W66" si="0">IF(OR(ISBLANK($S3), ISBLANK($T3), ISBLANK($U3)), "", IF(S3&gt;T3,L3,M3))</f>
        <v/>
      </c>
      <c r="X3" s="30" t="str">
        <f>IF(ISBLANK(Table2[[#This Row],[OTROUNDNUM]]), "", Table2[[#This Row],[PAWAYSCORE]]-Table2[[#This Row],[AAWAYSCORE]])</f>
        <v/>
      </c>
      <c r="Y3" s="30" t="str">
        <f>IF(ISBLANK(Table2[[#This Row],[OTROUNDNUM]]), "", Table2[[#This Row],[PHOMESCORE]]-Table2[[#This Row],[AHOMESCORE]])</f>
        <v/>
      </c>
      <c r="Z3" s="30">
        <f>IF(ISBLANK(Table2[[#This Row],[GAMENUM]]), " ", IF((Table2[[#This Row],[TOPSEEDWINS]]+Table2[[#This Row],[LOWSEEDWINS]]) &lt;&gt; Table2[[#This Row],[GAMENUM]], 0, 1))</f>
        <v>0</v>
      </c>
      <c r="AA3" s="25"/>
      <c r="AC3" t="s">
        <v>33</v>
      </c>
      <c r="AD3" s="2"/>
      <c r="AE3" s="5"/>
      <c r="AF3" s="9">
        <f>8*7</f>
        <v>56</v>
      </c>
      <c r="AG3" s="5"/>
      <c r="AH3" s="10" t="s">
        <v>34</v>
      </c>
      <c r="AI3" s="11" t="e">
        <f t="array" ref="AI3">INDEX(H:H, MATCH(2, 1/(F:F=AH3)))</f>
        <v>#N/A</v>
      </c>
      <c r="AJ3" s="11" t="e">
        <f t="array" ref="AJ3">INDEX(I:I, MATCH(2, 1/(F:F=AH3)))</f>
        <v>#N/A</v>
      </c>
      <c r="AK3" t="e">
        <f t="array" ref="AK3">INDEX(G:G, MATCH(2, 1/(F:F=AH3)))</f>
        <v>#N/A</v>
      </c>
      <c r="AL3">
        <f t="shared" ref="AL3:AL17" si="1">SUMIFS($V$2:$V$106,$F$2:$F$106,AH3)</f>
        <v>0</v>
      </c>
      <c r="AM3" t="e">
        <f t="shared" ref="AM3:AM17" si="2">AL3/AK3</f>
        <v>#N/A</v>
      </c>
      <c r="AN3">
        <f>SUMIFS($T$2:$T$106,$M$2:$M$106,AI3,$E$2:$E$106,1) + SUMIFS($S$2:$S$106,$L$2:$L$106,AI3,$E$2:$E$106,1)</f>
        <v>0</v>
      </c>
      <c r="AO3">
        <f t="shared" ref="AO3:AO10" si="3">SUMIFS($T$2:$T$105,$M$2:$M$105,AJ3,$E$2:$E$105,1) + SUMIFS($S$2:$S$105,$L$2:$L$105,AJ3,$E$2:$E$105,1)</f>
        <v>0</v>
      </c>
      <c r="AP3">
        <f>SUMIFS(T2:T85,F2:F85,AH3)</f>
        <v>0</v>
      </c>
    </row>
    <row r="4" spans="1:46" x14ac:dyDescent="0.25">
      <c r="A4" s="25" t="str">
        <f>TEXT($B4,"dddd")</f>
        <v>Saturday</v>
      </c>
      <c r="B4" s="26">
        <v>46130</v>
      </c>
      <c r="C4" s="27">
        <v>0.875</v>
      </c>
      <c r="D4" s="26" t="s">
        <v>16</v>
      </c>
      <c r="E4" s="28">
        <v>1</v>
      </c>
      <c r="F4" s="30" t="s">
        <v>17</v>
      </c>
      <c r="G4" s="28">
        <v>1</v>
      </c>
      <c r="H4" s="30" t="s">
        <v>174</v>
      </c>
      <c r="I4" s="30" t="s">
        <v>175</v>
      </c>
      <c r="J4" s="28">
        <v>0</v>
      </c>
      <c r="K4" s="28">
        <v>0</v>
      </c>
      <c r="L4" s="30" t="s">
        <v>175</v>
      </c>
      <c r="M4" s="30" t="s">
        <v>174</v>
      </c>
      <c r="N4" s="30" t="str">
        <f>IF(OR(ISBLANK(O4), ISBLANK($P4)), "", IF($O4&gt;$P4,#REF!,#REF!))</f>
        <v/>
      </c>
      <c r="O4" s="30"/>
      <c r="P4" s="30"/>
      <c r="Q4" s="30"/>
      <c r="R4" s="26"/>
      <c r="S4" s="30"/>
      <c r="T4" s="30"/>
      <c r="U4" s="30"/>
      <c r="V4" s="30"/>
      <c r="W4" s="2" t="str">
        <f t="shared" si="0"/>
        <v/>
      </c>
      <c r="X4" s="30" t="str">
        <f>IF(ISBLANK(Table2[[#This Row],[OTROUNDNUM]]), "", Table2[[#This Row],[PAWAYSCORE]]-Table2[[#This Row],[AAWAYSCORE]])</f>
        <v/>
      </c>
      <c r="Y4" s="30" t="str">
        <f>IF(ISBLANK(Table2[[#This Row],[OTROUNDNUM]]), "", Table2[[#This Row],[PHOMESCORE]]-Table2[[#This Row],[AHOMESCORE]])</f>
        <v/>
      </c>
      <c r="Z4" s="30">
        <f>IF(ISBLANK(Table2[[#This Row],[GAMENUM]]), " ", IF((Table2[[#This Row],[TOPSEEDWINS]]+Table2[[#This Row],[LOWSEEDWINS]]) &lt;&gt; Table2[[#This Row],[GAMENUM]], 0, 1))</f>
        <v>0</v>
      </c>
      <c r="AA4" s="25"/>
      <c r="AC4" t="s">
        <v>37</v>
      </c>
      <c r="AD4" s="2"/>
      <c r="AE4" s="5"/>
      <c r="AF4" s="9" t="e">
        <f>MAX(SUM(AK3:AK10), 32)</f>
        <v>#N/A</v>
      </c>
      <c r="AG4" s="5"/>
      <c r="AH4" s="10" t="s">
        <v>31</v>
      </c>
      <c r="AI4" s="11" t="e">
        <f t="array" ref="AI4">INDEX(H:H, MATCH(2, 1/(F:F=AH4)))</f>
        <v>#N/A</v>
      </c>
      <c r="AJ4" s="11" t="e">
        <f t="array" ref="AJ4">INDEX(I:I, MATCH(2, 1/(F:F=AH4)))</f>
        <v>#N/A</v>
      </c>
      <c r="AK4" t="e">
        <f t="array" ref="AK4">INDEX(G:G, MATCH(2, 1/(F:F=AH4)))</f>
        <v>#N/A</v>
      </c>
      <c r="AL4">
        <f t="shared" si="1"/>
        <v>0</v>
      </c>
      <c r="AM4" t="e">
        <f t="shared" si="2"/>
        <v>#N/A</v>
      </c>
      <c r="AN4">
        <f t="shared" ref="AN4:AN10" si="4">SUMIFS($T$2:$T$105,$M$2:$M$105,AI4,$E$2:$E$105,1) + SUMIFS($S$2:$S$105,$L$2:$L$105,AI4,$E$2:$E$105,1)</f>
        <v>0</v>
      </c>
      <c r="AO4">
        <f t="shared" si="3"/>
        <v>0</v>
      </c>
    </row>
    <row r="5" spans="1:46" x14ac:dyDescent="0.25">
      <c r="A5" s="25"/>
      <c r="B5" s="26"/>
      <c r="C5" s="27"/>
      <c r="D5" s="26"/>
      <c r="E5" s="28"/>
      <c r="F5" s="30"/>
      <c r="G5" s="28"/>
      <c r="H5" s="30"/>
      <c r="I5" s="30"/>
      <c r="J5" s="28"/>
      <c r="K5" s="28"/>
      <c r="L5" s="30"/>
      <c r="M5" s="30"/>
      <c r="N5" s="30"/>
      <c r="O5" s="30"/>
      <c r="P5" s="30"/>
      <c r="Q5" s="30"/>
      <c r="R5" s="26"/>
      <c r="S5" s="30"/>
      <c r="T5" s="30"/>
      <c r="U5" s="30"/>
      <c r="V5" s="30"/>
      <c r="W5" s="2" t="str">
        <f t="shared" si="0"/>
        <v/>
      </c>
      <c r="X5" s="30"/>
      <c r="Y5" s="30"/>
      <c r="Z5" s="30"/>
      <c r="AA5" s="25"/>
      <c r="AC5" t="s">
        <v>40</v>
      </c>
      <c r="AD5" s="2"/>
      <c r="AE5" s="5"/>
      <c r="AF5" s="9">
        <f>COUNT(Table2[CORRECT])</f>
        <v>0</v>
      </c>
      <c r="AG5" s="5"/>
      <c r="AH5" s="10" t="s">
        <v>17</v>
      </c>
      <c r="AI5" s="11" t="str">
        <f t="array" ref="AI5">INDEX(H:H, MATCH(2, 1/(F:F=AH5)))</f>
        <v>PIT</v>
      </c>
      <c r="AJ5" s="11" t="str">
        <f t="array" ref="AJ5">INDEX(I:I, MATCH(2, 1/(F:F=AH5)))</f>
        <v>PHI</v>
      </c>
      <c r="AK5">
        <f t="array" ref="AK5">INDEX(G:G, MATCH(2, 1/(F:F=AH5)))</f>
        <v>1</v>
      </c>
      <c r="AL5">
        <f t="shared" si="1"/>
        <v>0</v>
      </c>
      <c r="AM5">
        <f t="shared" si="2"/>
        <v>0</v>
      </c>
      <c r="AN5">
        <f t="shared" si="4"/>
        <v>0</v>
      </c>
      <c r="AO5">
        <f t="shared" si="3"/>
        <v>0</v>
      </c>
    </row>
    <row r="6" spans="1:46" x14ac:dyDescent="0.25">
      <c r="A6" s="25"/>
      <c r="B6" s="26"/>
      <c r="C6" s="27"/>
      <c r="D6" s="26"/>
      <c r="E6" s="28"/>
      <c r="F6" s="29"/>
      <c r="G6" s="28"/>
      <c r="H6" s="30"/>
      <c r="I6" s="30"/>
      <c r="J6" s="28"/>
      <c r="K6" s="28"/>
      <c r="L6" s="30"/>
      <c r="M6" s="30"/>
      <c r="N6" s="30"/>
      <c r="O6" s="30"/>
      <c r="P6" s="30"/>
      <c r="Q6" s="30"/>
      <c r="R6" s="26"/>
      <c r="S6" s="30"/>
      <c r="T6" s="30"/>
      <c r="U6" s="30"/>
      <c r="V6" s="30"/>
      <c r="W6" s="2" t="str">
        <f t="shared" si="0"/>
        <v/>
      </c>
      <c r="X6" s="30"/>
      <c r="Y6" s="30"/>
      <c r="Z6" s="30"/>
      <c r="AA6" s="25"/>
      <c r="AC6" t="s">
        <v>45</v>
      </c>
      <c r="AD6" s="2"/>
      <c r="AE6" s="5"/>
      <c r="AF6" s="9">
        <f>SUM(Table2[CORRECT])</f>
        <v>0</v>
      </c>
      <c r="AG6" s="5"/>
      <c r="AH6" s="10" t="s">
        <v>38</v>
      </c>
      <c r="AI6" s="11" t="str">
        <f t="array" ref="AI6">INDEX(H:H, MATCH(2, 1/(F:F=AH6)))</f>
        <v>CAR</v>
      </c>
      <c r="AJ6" s="11" t="str">
        <f t="array" ref="AJ6">INDEX(I:I, MATCH(2, 1/(F:F=AH6)))</f>
        <v>OTT</v>
      </c>
      <c r="AK6">
        <f t="array" ref="AK6">INDEX(G:G, MATCH(2, 1/(F:F=AH6)))</f>
        <v>1</v>
      </c>
      <c r="AL6">
        <f t="shared" si="1"/>
        <v>0</v>
      </c>
      <c r="AM6">
        <f t="shared" si="2"/>
        <v>0</v>
      </c>
      <c r="AN6">
        <f t="shared" si="4"/>
        <v>0</v>
      </c>
      <c r="AO6">
        <f t="shared" si="3"/>
        <v>0</v>
      </c>
    </row>
    <row r="7" spans="1:46" x14ac:dyDescent="0.25">
      <c r="A7" s="25"/>
      <c r="B7" s="26"/>
      <c r="C7" s="27"/>
      <c r="D7" s="26"/>
      <c r="E7" s="28"/>
      <c r="F7" s="30"/>
      <c r="G7" s="28"/>
      <c r="H7" s="30"/>
      <c r="I7" s="30"/>
      <c r="J7" s="28"/>
      <c r="K7" s="28"/>
      <c r="L7" s="30"/>
      <c r="M7" s="30"/>
      <c r="N7" s="30"/>
      <c r="O7" s="30"/>
      <c r="P7" s="30"/>
      <c r="Q7" s="30"/>
      <c r="R7" s="26"/>
      <c r="S7" s="30"/>
      <c r="T7" s="30"/>
      <c r="U7" s="30"/>
      <c r="V7" s="30"/>
      <c r="W7" s="2" t="str">
        <f t="shared" si="0"/>
        <v/>
      </c>
      <c r="X7" s="30"/>
      <c r="Y7" s="30"/>
      <c r="Z7" s="30"/>
      <c r="AA7" s="25"/>
      <c r="AC7" t="s">
        <v>47</v>
      </c>
      <c r="AD7" s="2"/>
      <c r="AE7" s="5"/>
      <c r="AF7" s="9" t="e">
        <f>AF6/AF5</f>
        <v>#DIV/0!</v>
      </c>
      <c r="AG7" s="5"/>
      <c r="AH7" s="10" t="s">
        <v>46</v>
      </c>
      <c r="AI7" s="11" t="e">
        <f t="array" ref="AI7">INDEX(H:H, MATCH(2, 1/(F:F=AH7)))</f>
        <v>#N/A</v>
      </c>
      <c r="AJ7" s="11" t="e">
        <f t="array" ref="AJ7">INDEX(I:I, MATCH(2, 1/(F:F=AH7)))</f>
        <v>#N/A</v>
      </c>
      <c r="AK7" t="e">
        <f t="array" ref="AK7">INDEX(G:G, MATCH(2, 1/(F:F=AH7)))</f>
        <v>#N/A</v>
      </c>
      <c r="AL7">
        <f t="shared" si="1"/>
        <v>0</v>
      </c>
      <c r="AM7" t="e">
        <f t="shared" si="2"/>
        <v>#N/A</v>
      </c>
      <c r="AN7">
        <f t="shared" si="4"/>
        <v>0</v>
      </c>
      <c r="AO7">
        <f t="shared" si="3"/>
        <v>0</v>
      </c>
    </row>
    <row r="8" spans="1:46" x14ac:dyDescent="0.25">
      <c r="A8" s="25"/>
      <c r="B8" s="31"/>
      <c r="C8" s="27"/>
      <c r="D8" s="30"/>
      <c r="E8" s="28"/>
      <c r="F8" s="29"/>
      <c r="G8" s="28"/>
      <c r="H8" s="30"/>
      <c r="I8" s="30"/>
      <c r="J8" s="28"/>
      <c r="K8" s="28"/>
      <c r="L8" s="30"/>
      <c r="M8" s="30"/>
      <c r="N8" s="30"/>
      <c r="O8" s="30"/>
      <c r="P8" s="30"/>
      <c r="Q8" s="30"/>
      <c r="R8" s="26"/>
      <c r="S8" s="30"/>
      <c r="T8" s="30"/>
      <c r="U8" s="30"/>
      <c r="V8" s="30"/>
      <c r="W8" s="2" t="str">
        <f t="shared" si="0"/>
        <v/>
      </c>
      <c r="X8" s="30"/>
      <c r="Y8" s="30"/>
      <c r="Z8" s="30"/>
      <c r="AA8" s="25"/>
      <c r="AD8" s="2"/>
      <c r="AE8" s="5"/>
      <c r="AF8" s="6"/>
      <c r="AG8" s="5"/>
      <c r="AH8" s="10" t="s">
        <v>48</v>
      </c>
      <c r="AI8" s="11" t="e">
        <f t="array" ref="AI8">INDEX(H:H, MATCH(2, 1/(F:F=AH8)))</f>
        <v>#N/A</v>
      </c>
      <c r="AJ8" s="11" t="e">
        <f t="array" ref="AJ8">INDEX(I:I, MATCH(2, 1/(F:F=AH8)))</f>
        <v>#N/A</v>
      </c>
      <c r="AK8" t="e">
        <f t="array" ref="AK8">INDEX(G:G, MATCH(2, 1/(F:F=AH8)))</f>
        <v>#N/A</v>
      </c>
      <c r="AL8">
        <f t="shared" si="1"/>
        <v>0</v>
      </c>
      <c r="AM8" t="e">
        <f t="shared" si="2"/>
        <v>#N/A</v>
      </c>
      <c r="AN8">
        <f t="shared" si="4"/>
        <v>0</v>
      </c>
      <c r="AO8">
        <f t="shared" si="3"/>
        <v>0</v>
      </c>
    </row>
    <row r="9" spans="1:46" x14ac:dyDescent="0.25">
      <c r="A9" s="25"/>
      <c r="B9" s="26"/>
      <c r="C9" s="27"/>
      <c r="D9" s="26"/>
      <c r="E9" s="28"/>
      <c r="F9" s="30"/>
      <c r="G9" s="28"/>
      <c r="H9" s="30"/>
      <c r="I9" s="30"/>
      <c r="J9" s="28"/>
      <c r="K9" s="28"/>
      <c r="L9" s="30"/>
      <c r="M9" s="30"/>
      <c r="N9" s="30"/>
      <c r="O9" s="30"/>
      <c r="P9" s="30"/>
      <c r="Q9" s="30"/>
      <c r="R9" s="26"/>
      <c r="S9" s="30"/>
      <c r="T9" s="30"/>
      <c r="U9" s="30"/>
      <c r="V9" s="30"/>
      <c r="W9" s="2" t="str">
        <f t="shared" si="0"/>
        <v/>
      </c>
      <c r="X9" s="30"/>
      <c r="Y9" s="30"/>
      <c r="Z9" s="30"/>
      <c r="AA9" s="25"/>
      <c r="AD9" s="2"/>
      <c r="AE9" s="5"/>
      <c r="AF9" s="6"/>
      <c r="AG9" s="5"/>
      <c r="AH9" s="10" t="s">
        <v>42</v>
      </c>
      <c r="AI9" s="11" t="str">
        <f t="array" ref="AI9">INDEX(H:H, MATCH(2, 1/(F:F=AH9)))</f>
        <v>DAL</v>
      </c>
      <c r="AJ9" s="11" t="str">
        <f t="array" ref="AJ9">INDEX(I:I, MATCH(2, 1/(F:F=AH9)))</f>
        <v>MIN</v>
      </c>
      <c r="AK9">
        <f t="array" ref="AK9">INDEX(G:G, MATCH(2, 1/(F:F=AH9)))</f>
        <v>1</v>
      </c>
      <c r="AL9">
        <f t="shared" si="1"/>
        <v>0</v>
      </c>
      <c r="AM9">
        <f t="shared" si="2"/>
        <v>0</v>
      </c>
      <c r="AN9">
        <f t="shared" si="4"/>
        <v>0</v>
      </c>
      <c r="AO9">
        <f t="shared" si="3"/>
        <v>0</v>
      </c>
    </row>
    <row r="10" spans="1:46" x14ac:dyDescent="0.25">
      <c r="A10" s="25"/>
      <c r="B10" s="26"/>
      <c r="C10" s="27"/>
      <c r="D10" s="26"/>
      <c r="E10" s="28"/>
      <c r="F10" s="30"/>
      <c r="G10" s="28"/>
      <c r="H10" s="30"/>
      <c r="I10" s="30"/>
      <c r="J10" s="28"/>
      <c r="K10" s="28"/>
      <c r="L10" s="30"/>
      <c r="M10" s="30"/>
      <c r="N10" s="30"/>
      <c r="O10" s="30"/>
      <c r="P10" s="30"/>
      <c r="Q10" s="30"/>
      <c r="R10" s="26"/>
      <c r="S10" s="30"/>
      <c r="T10" s="30"/>
      <c r="U10" s="30"/>
      <c r="V10" s="30"/>
      <c r="W10" s="2" t="str">
        <f t="shared" si="0"/>
        <v/>
      </c>
      <c r="X10" s="30"/>
      <c r="Y10" s="30"/>
      <c r="Z10" s="30"/>
      <c r="AA10" s="25"/>
      <c r="AD10" s="2"/>
      <c r="AE10" s="5"/>
      <c r="AF10" s="6"/>
      <c r="AG10" s="5"/>
      <c r="AH10" s="7" t="s">
        <v>49</v>
      </c>
      <c r="AI10" s="8" t="e">
        <f t="array" ref="AI10">INDEX(H:H, MATCH(2, 1/(F:F=AH10)))</f>
        <v>#N/A</v>
      </c>
      <c r="AJ10" s="8" t="e">
        <f t="array" ref="AJ10">INDEX(I:I, MATCH(2, 1/(F:F=AH10)))</f>
        <v>#N/A</v>
      </c>
      <c r="AK10" s="1" t="e">
        <f t="array" ref="AK10">INDEX(G:G, MATCH(2, 1/(F:F=AH10)))</f>
        <v>#N/A</v>
      </c>
      <c r="AL10" s="1">
        <f t="shared" si="1"/>
        <v>0</v>
      </c>
      <c r="AM10" s="1" t="e">
        <f t="shared" si="2"/>
        <v>#N/A</v>
      </c>
      <c r="AN10" s="1">
        <f t="shared" si="4"/>
        <v>0</v>
      </c>
      <c r="AO10" s="1">
        <f t="shared" si="3"/>
        <v>0</v>
      </c>
      <c r="AP10" s="1"/>
      <c r="AQ10" s="1"/>
      <c r="AR10" s="1"/>
      <c r="AS10" s="1"/>
      <c r="AT10" s="1"/>
    </row>
    <row r="11" spans="1:46" x14ac:dyDescent="0.25">
      <c r="A11" s="25"/>
      <c r="B11" s="26"/>
      <c r="C11" s="27"/>
      <c r="D11" s="26"/>
      <c r="E11" s="28"/>
      <c r="F11" s="30"/>
      <c r="G11" s="28"/>
      <c r="H11" s="30"/>
      <c r="I11" s="30"/>
      <c r="J11" s="28"/>
      <c r="K11" s="28"/>
      <c r="L11" s="30"/>
      <c r="M11" s="30"/>
      <c r="N11" s="30"/>
      <c r="O11" s="30"/>
      <c r="P11" s="30"/>
      <c r="Q11" s="30"/>
      <c r="R11" s="26"/>
      <c r="S11" s="30"/>
      <c r="T11" s="30"/>
      <c r="U11" s="30"/>
      <c r="V11" s="30"/>
      <c r="W11" s="2" t="str">
        <f t="shared" si="0"/>
        <v/>
      </c>
      <c r="X11" s="30"/>
      <c r="Y11" s="30"/>
      <c r="Z11" s="30"/>
      <c r="AA11" s="25"/>
      <c r="AE11" s="5"/>
      <c r="AH11" s="3" t="s">
        <v>54</v>
      </c>
      <c r="AI11" s="11" t="e">
        <f t="array" ref="AI11">INDEX(H:H, MATCH(2, 1/(F:F=AH11)))</f>
        <v>#N/A</v>
      </c>
      <c r="AJ11" s="11" t="e">
        <f t="array" ref="AJ11">INDEX(I:I, MATCH(2, 1/(F:F=AH11)))</f>
        <v>#N/A</v>
      </c>
      <c r="AK11" t="e">
        <f t="array" ref="AK11">INDEX(G:G, MATCH(2, 1/(F:F=AH11)))</f>
        <v>#N/A</v>
      </c>
      <c r="AL11">
        <f t="shared" si="1"/>
        <v>0</v>
      </c>
      <c r="AM11" t="e">
        <f t="shared" si="2"/>
        <v>#N/A</v>
      </c>
      <c r="AN11">
        <f t="shared" ref="AN11:AO14" si="5">SUMIFS($T$2:$T$105,$M$2:$M$105,AI11,$E$2:$E$105,2) + SUMIFS($S$2:$S$105,$L$2:$L$105,AI11,$E$2:$E$105,2)</f>
        <v>0</v>
      </c>
      <c r="AO11">
        <f t="shared" si="5"/>
        <v>0</v>
      </c>
    </row>
    <row r="12" spans="1:46" x14ac:dyDescent="0.25">
      <c r="A12" s="25"/>
      <c r="B12" s="26"/>
      <c r="C12" s="27"/>
      <c r="D12" s="26"/>
      <c r="E12" s="28"/>
      <c r="F12" s="30"/>
      <c r="G12" s="28"/>
      <c r="H12" s="30"/>
      <c r="I12" s="30"/>
      <c r="J12" s="28"/>
      <c r="K12" s="28"/>
      <c r="L12" s="30"/>
      <c r="M12" s="30"/>
      <c r="N12" s="30"/>
      <c r="O12" s="30"/>
      <c r="P12" s="30"/>
      <c r="Q12" s="30"/>
      <c r="R12" s="26"/>
      <c r="S12" s="30"/>
      <c r="T12" s="30"/>
      <c r="U12" s="30"/>
      <c r="V12" s="30"/>
      <c r="W12" s="2" t="str">
        <f t="shared" si="0"/>
        <v/>
      </c>
      <c r="X12" s="30"/>
      <c r="Y12" s="30"/>
      <c r="Z12" s="30"/>
      <c r="AA12" s="25"/>
      <c r="AE12" s="5"/>
      <c r="AH12" s="3" t="s">
        <v>55</v>
      </c>
      <c r="AI12" s="11" t="e">
        <f t="array" ref="AI12">INDEX(H:H, MATCH(2, 1/(F:F=AH12)))</f>
        <v>#N/A</v>
      </c>
      <c r="AJ12" s="11" t="e">
        <f t="array" ref="AJ12">INDEX(I:I, MATCH(2, 1/(F:F=AH12)))</f>
        <v>#N/A</v>
      </c>
      <c r="AK12" t="e">
        <f t="array" ref="AK12">INDEX(G:G, MATCH(2, 1/(F:F=AH12)))</f>
        <v>#N/A</v>
      </c>
      <c r="AL12">
        <f t="shared" si="1"/>
        <v>0</v>
      </c>
      <c r="AM12" t="e">
        <f t="shared" si="2"/>
        <v>#N/A</v>
      </c>
      <c r="AN12">
        <f t="shared" si="5"/>
        <v>0</v>
      </c>
      <c r="AO12">
        <f t="shared" si="5"/>
        <v>0</v>
      </c>
    </row>
    <row r="13" spans="1:46" x14ac:dyDescent="0.25">
      <c r="A13" s="25"/>
      <c r="B13" s="26"/>
      <c r="C13" s="27"/>
      <c r="D13" s="26"/>
      <c r="E13" s="28"/>
      <c r="F13" s="30"/>
      <c r="G13" s="28"/>
      <c r="H13" s="30"/>
      <c r="I13" s="30"/>
      <c r="J13" s="28"/>
      <c r="K13" s="28"/>
      <c r="L13" s="30"/>
      <c r="M13" s="30"/>
      <c r="N13" s="30"/>
      <c r="O13" s="30"/>
      <c r="P13" s="30"/>
      <c r="Q13" s="30"/>
      <c r="R13" s="26"/>
      <c r="S13" s="30"/>
      <c r="T13" s="30"/>
      <c r="U13" s="30"/>
      <c r="V13" s="30"/>
      <c r="W13" s="2" t="str">
        <f t="shared" si="0"/>
        <v/>
      </c>
      <c r="X13" s="30"/>
      <c r="Y13" s="30"/>
      <c r="Z13" s="30"/>
      <c r="AA13" s="25"/>
      <c r="AE13" s="5"/>
      <c r="AH13" s="3" t="s">
        <v>56</v>
      </c>
      <c r="AI13" s="11" t="e">
        <f t="array" ref="AI13">INDEX(H:H, MATCH(2, 1/(F:F=AH13)))</f>
        <v>#N/A</v>
      </c>
      <c r="AJ13" s="11" t="e">
        <f t="array" ref="AJ13">INDEX(I:I, MATCH(2, 1/(F:F=AH13)))</f>
        <v>#N/A</v>
      </c>
      <c r="AK13" t="e">
        <f t="array" ref="AK13">INDEX(G:G, MATCH(2, 1/(F:F=AH13)))</f>
        <v>#N/A</v>
      </c>
      <c r="AL13">
        <f t="shared" si="1"/>
        <v>0</v>
      </c>
      <c r="AM13" t="e">
        <f t="shared" si="2"/>
        <v>#N/A</v>
      </c>
      <c r="AN13">
        <f t="shared" si="5"/>
        <v>0</v>
      </c>
      <c r="AO13">
        <f t="shared" si="5"/>
        <v>0</v>
      </c>
    </row>
    <row r="14" spans="1:46" x14ac:dyDescent="0.25">
      <c r="A14" s="25"/>
      <c r="B14" s="26"/>
      <c r="C14" s="27"/>
      <c r="D14" s="26"/>
      <c r="E14" s="28"/>
      <c r="F14" s="30"/>
      <c r="G14" s="28"/>
      <c r="H14" s="30"/>
      <c r="I14" s="30"/>
      <c r="J14" s="28"/>
      <c r="K14" s="28"/>
      <c r="L14" s="30"/>
      <c r="M14" s="30"/>
      <c r="N14" s="30"/>
      <c r="O14" s="30"/>
      <c r="P14" s="30"/>
      <c r="Q14" s="30"/>
      <c r="R14" s="26"/>
      <c r="S14" s="30"/>
      <c r="T14" s="30"/>
      <c r="U14" s="30"/>
      <c r="V14" s="30"/>
      <c r="W14" s="2" t="str">
        <f t="shared" si="0"/>
        <v/>
      </c>
      <c r="X14" s="30"/>
      <c r="Y14" s="30"/>
      <c r="Z14" s="30"/>
      <c r="AA14" s="25"/>
      <c r="AE14" s="5"/>
      <c r="AH14" s="12" t="s">
        <v>57</v>
      </c>
      <c r="AI14" s="8" t="e">
        <f t="array" ref="AI14">INDEX(H:H, MATCH(2, 1/(F:F=AH14)))</f>
        <v>#N/A</v>
      </c>
      <c r="AJ14" s="8" t="e">
        <f t="array" ref="AJ14">INDEX(I:I, MATCH(2, 1/(F:F=AH14)))</f>
        <v>#N/A</v>
      </c>
      <c r="AK14" s="1" t="e">
        <f t="array" ref="AK14">INDEX(G:G, MATCH(2, 1/(F:F=AH14)))</f>
        <v>#N/A</v>
      </c>
      <c r="AL14" s="1">
        <f t="shared" si="1"/>
        <v>0</v>
      </c>
      <c r="AM14" s="1" t="e">
        <f t="shared" si="2"/>
        <v>#N/A</v>
      </c>
      <c r="AN14" s="1">
        <f t="shared" si="5"/>
        <v>0</v>
      </c>
      <c r="AO14" s="1">
        <f t="shared" si="5"/>
        <v>0</v>
      </c>
      <c r="AP14" s="1"/>
      <c r="AQ14" s="1"/>
      <c r="AR14" s="1"/>
      <c r="AS14" s="1"/>
      <c r="AT14" s="1"/>
    </row>
    <row r="15" spans="1:46" x14ac:dyDescent="0.25">
      <c r="A15" s="25"/>
      <c r="B15" s="26"/>
      <c r="C15" s="27"/>
      <c r="D15" s="26"/>
      <c r="E15" s="28"/>
      <c r="F15" s="30"/>
      <c r="G15" s="28"/>
      <c r="H15" s="30"/>
      <c r="I15" s="30"/>
      <c r="J15" s="28"/>
      <c r="K15" s="28"/>
      <c r="L15" s="30"/>
      <c r="M15" s="30"/>
      <c r="N15" s="30"/>
      <c r="O15" s="30"/>
      <c r="P15" s="30"/>
      <c r="Q15" s="30"/>
      <c r="R15" s="26"/>
      <c r="S15" s="30"/>
      <c r="T15" s="30"/>
      <c r="U15" s="30"/>
      <c r="V15" s="30"/>
      <c r="W15" s="2" t="str">
        <f t="shared" si="0"/>
        <v/>
      </c>
      <c r="X15" s="30"/>
      <c r="Y15" s="30"/>
      <c r="Z15" s="30"/>
      <c r="AA15" s="25"/>
      <c r="AE15" s="5"/>
      <c r="AH15" s="3" t="s">
        <v>58</v>
      </c>
      <c r="AI15" s="11" t="e">
        <f t="array" ref="AI15">INDEX(H:H, MATCH(2, 1/(F:F=AH15)))</f>
        <v>#N/A</v>
      </c>
      <c r="AJ15" s="11" t="e">
        <f t="array" ref="AJ15">INDEX(I:I, MATCH(2, 1/(F:F=AH15)))</f>
        <v>#N/A</v>
      </c>
      <c r="AK15" t="e">
        <f t="array" ref="AK15">INDEX(G:G, MATCH(2, 1/(F:F=AH15)))</f>
        <v>#N/A</v>
      </c>
      <c r="AL15">
        <f t="shared" si="1"/>
        <v>0</v>
      </c>
      <c r="AM15" t="e">
        <f t="shared" si="2"/>
        <v>#N/A</v>
      </c>
      <c r="AN15">
        <f>SUMIFS($T$2:$T$105,$M$2:$M$105,AI15,$E$2:$E$105,3) + SUMIFS($S$2:$S$105,$L$2:$L$105,AI15,$E$2:$E$105,3)</f>
        <v>0</v>
      </c>
      <c r="AO15">
        <f>SUMIFS($T$2:$T$105,$M$2:$M$105,AJ15,$E$2:$E$105,3) + SUMIFS($S$2:$S$105,$L$2:$L$105,AJ15,$E$2:$E$105,3)</f>
        <v>0</v>
      </c>
    </row>
    <row r="16" spans="1:46" x14ac:dyDescent="0.25">
      <c r="A16" s="25"/>
      <c r="B16" s="26"/>
      <c r="C16" s="27"/>
      <c r="D16" s="26"/>
      <c r="E16" s="28"/>
      <c r="F16" s="30"/>
      <c r="G16" s="28"/>
      <c r="H16" s="28"/>
      <c r="I16" s="28"/>
      <c r="J16" s="28"/>
      <c r="K16" s="28"/>
      <c r="L16" s="30"/>
      <c r="M16" s="30"/>
      <c r="N16" s="30"/>
      <c r="O16" s="30"/>
      <c r="P16" s="30"/>
      <c r="Q16" s="30"/>
      <c r="R16" s="26"/>
      <c r="S16" s="30"/>
      <c r="T16" s="30"/>
      <c r="U16" s="30"/>
      <c r="V16" s="30"/>
      <c r="W16" s="2" t="str">
        <f t="shared" si="0"/>
        <v/>
      </c>
      <c r="X16" s="30"/>
      <c r="Y16" s="30"/>
      <c r="Z16" s="30"/>
      <c r="AA16" s="25"/>
      <c r="AE16" s="5"/>
      <c r="AH16" s="12" t="s">
        <v>59</v>
      </c>
      <c r="AI16" s="1" t="e">
        <f t="array" ref="AI16">INDEX(H:H, MATCH(2, 1/(F:F=AH16)))</f>
        <v>#N/A</v>
      </c>
      <c r="AJ16" s="1" t="e">
        <f t="array" ref="AJ16">INDEX(I:I, MATCH(2, 1/(F:F=AH16)))</f>
        <v>#N/A</v>
      </c>
      <c r="AK16" s="1" t="e">
        <f t="array" ref="AK16">INDEX(G:G, MATCH(2, 1/(F:F=AH16)))</f>
        <v>#N/A</v>
      </c>
      <c r="AL16" s="1">
        <f t="shared" si="1"/>
        <v>0</v>
      </c>
      <c r="AM16" s="1" t="e">
        <f t="shared" si="2"/>
        <v>#N/A</v>
      </c>
      <c r="AN16" s="1">
        <f>SUMIFS($T$2:$T$105,$M$2:$M$105,AI16,$E$2:$E$105,3) + SUMIFS($S$2:$S$105,$L$2:$L$105,AI16,$E$2:$E$105,3)</f>
        <v>0</v>
      </c>
      <c r="AO16" s="1">
        <f>SUMIFS($T$2:$T$105,$M$2:$M$105,AJ16,$E$2:$E$105,3) + SUMIFS($S$2:$S$105,$L$2:$L$105,AJ16,$E$2:$E$105,3)</f>
        <v>0</v>
      </c>
      <c r="AP16" s="1"/>
      <c r="AQ16" s="1"/>
      <c r="AR16" s="1"/>
      <c r="AS16" s="1"/>
      <c r="AT16" s="1"/>
    </row>
    <row r="17" spans="1:91" x14ac:dyDescent="0.25">
      <c r="A17" s="25"/>
      <c r="B17" s="26"/>
      <c r="C17" s="27"/>
      <c r="D17" s="26"/>
      <c r="E17" s="28"/>
      <c r="F17" s="30"/>
      <c r="G17" s="28"/>
      <c r="H17" s="28"/>
      <c r="I17" s="28"/>
      <c r="J17" s="28"/>
      <c r="K17" s="28"/>
      <c r="L17" s="30"/>
      <c r="M17" s="30"/>
      <c r="N17" s="30"/>
      <c r="O17" s="30"/>
      <c r="P17" s="30"/>
      <c r="Q17" s="30"/>
      <c r="R17" s="26"/>
      <c r="S17" s="30"/>
      <c r="T17" s="30"/>
      <c r="U17" s="30"/>
      <c r="V17" s="30"/>
      <c r="W17" s="2" t="str">
        <f t="shared" si="0"/>
        <v/>
      </c>
      <c r="X17" s="30"/>
      <c r="Y17" s="30"/>
      <c r="Z17" s="30"/>
      <c r="AA17" s="25"/>
      <c r="AE17" s="5"/>
      <c r="AH17" s="13" t="s">
        <v>60</v>
      </c>
      <c r="AI17" s="14" t="e">
        <f t="array" ref="AI17">INDEX(H:H, MATCH(2, 1/(F:F=AH17)))</f>
        <v>#N/A</v>
      </c>
      <c r="AJ17" s="14" t="e">
        <f t="array" ref="AJ17">INDEX(I:I, MATCH(2, 1/(F:F=AH17)))</f>
        <v>#N/A</v>
      </c>
      <c r="AK17" s="14" t="e">
        <f t="array" ref="AK17">INDEX(G:G, MATCH(2, 1/(F:F=AH17)))</f>
        <v>#N/A</v>
      </c>
      <c r="AL17" s="14">
        <f t="shared" si="1"/>
        <v>0</v>
      </c>
      <c r="AM17" s="15" t="e">
        <f t="shared" si="2"/>
        <v>#N/A</v>
      </c>
      <c r="AN17" s="14">
        <f>SUMIFS($T$2:$T$105,$M$2:$M$105,AI17,$E$2:$E$105,1) + SUMIFS($S$2:$S$105,$L$2:$L$105,AI17,$E$2:$E$105,1)</f>
        <v>0</v>
      </c>
      <c r="AO17" s="14">
        <f>SUMIFS($T$2:$T$105,$M$2:$M$105,AJ17,$E$2:$E$105,4) + SUMIFS($S$2:$S$105,$L$2:$L$105,AJ17,$E$2:$E$105,4)</f>
        <v>0</v>
      </c>
      <c r="AP17" s="14"/>
      <c r="AQ17" s="14"/>
      <c r="AR17" s="14"/>
      <c r="AS17" s="14"/>
      <c r="AT17" s="14"/>
    </row>
    <row r="18" spans="1:91" x14ac:dyDescent="0.25">
      <c r="A18" s="25"/>
      <c r="B18" s="26"/>
      <c r="C18" s="27"/>
      <c r="D18" s="26"/>
      <c r="E18" s="28"/>
      <c r="F18" s="30"/>
      <c r="G18" s="28"/>
      <c r="H18" s="28"/>
      <c r="I18" s="28"/>
      <c r="J18" s="28"/>
      <c r="K18" s="28"/>
      <c r="L18" s="30"/>
      <c r="M18" s="30"/>
      <c r="N18" s="30"/>
      <c r="O18" s="30"/>
      <c r="P18" s="30"/>
      <c r="Q18" s="30"/>
      <c r="R18" s="26"/>
      <c r="S18" s="30"/>
      <c r="T18" s="30"/>
      <c r="U18" s="30"/>
      <c r="V18" s="30"/>
      <c r="W18" s="2" t="str">
        <f t="shared" si="0"/>
        <v/>
      </c>
      <c r="X18" s="30"/>
      <c r="Y18" s="30"/>
      <c r="Z18" s="30"/>
      <c r="AA18" s="25"/>
      <c r="AE18" s="5"/>
    </row>
    <row r="19" spans="1:91" x14ac:dyDescent="0.25">
      <c r="A19" s="25"/>
      <c r="B19" s="26"/>
      <c r="C19" s="27"/>
      <c r="D19" s="26"/>
      <c r="E19" s="28"/>
      <c r="F19" s="30"/>
      <c r="G19" s="28"/>
      <c r="H19" s="28"/>
      <c r="I19" s="28"/>
      <c r="J19" s="28"/>
      <c r="K19" s="28"/>
      <c r="L19" s="30"/>
      <c r="M19" s="30"/>
      <c r="N19" s="30"/>
      <c r="O19" s="30"/>
      <c r="P19" s="30"/>
      <c r="Q19" s="30"/>
      <c r="R19" s="26"/>
      <c r="S19" s="30"/>
      <c r="T19" s="30"/>
      <c r="U19" s="30"/>
      <c r="V19" s="30"/>
      <c r="W19" s="2" t="str">
        <f t="shared" si="0"/>
        <v/>
      </c>
      <c r="X19" s="30"/>
      <c r="Y19" s="30"/>
      <c r="Z19" s="30"/>
      <c r="AA19" s="25"/>
      <c r="AE19" s="5"/>
    </row>
    <row r="20" spans="1:91" x14ac:dyDescent="0.25">
      <c r="A20" s="25"/>
      <c r="B20" s="26"/>
      <c r="C20" s="27"/>
      <c r="D20" s="26"/>
      <c r="E20" s="28"/>
      <c r="F20" s="30"/>
      <c r="G20" s="28"/>
      <c r="H20" s="28"/>
      <c r="I20" s="28"/>
      <c r="J20" s="28"/>
      <c r="K20" s="28"/>
      <c r="L20" s="30"/>
      <c r="M20" s="30"/>
      <c r="N20" s="30"/>
      <c r="O20" s="30"/>
      <c r="P20" s="30"/>
      <c r="Q20" s="30"/>
      <c r="R20" s="26"/>
      <c r="S20" s="30"/>
      <c r="T20" s="30"/>
      <c r="U20" s="30"/>
      <c r="V20" s="30"/>
      <c r="W20" s="2" t="str">
        <f t="shared" si="0"/>
        <v/>
      </c>
      <c r="X20" s="30"/>
      <c r="Y20" s="30"/>
      <c r="Z20" s="30"/>
      <c r="AA20" s="25"/>
      <c r="AE20" s="5"/>
    </row>
    <row r="21" spans="1:91" x14ac:dyDescent="0.25">
      <c r="A21" s="25"/>
      <c r="B21" s="26"/>
      <c r="C21" s="27"/>
      <c r="D21" s="26"/>
      <c r="E21" s="28"/>
      <c r="F21" s="30"/>
      <c r="G21" s="28"/>
      <c r="H21" s="28"/>
      <c r="I21" s="28"/>
      <c r="J21" s="28"/>
      <c r="K21" s="28"/>
      <c r="L21" s="30"/>
      <c r="M21" s="30"/>
      <c r="N21" s="30"/>
      <c r="O21" s="30"/>
      <c r="P21" s="30"/>
      <c r="Q21" s="30"/>
      <c r="R21" s="26"/>
      <c r="S21" s="30"/>
      <c r="T21" s="30"/>
      <c r="U21" s="30"/>
      <c r="V21" s="30"/>
      <c r="W21" s="2" t="str">
        <f t="shared" si="0"/>
        <v/>
      </c>
      <c r="X21" s="30"/>
      <c r="Y21" s="30"/>
      <c r="Z21" s="30"/>
      <c r="AA21" s="25"/>
      <c r="AE21" s="5"/>
      <c r="AI21" s="1"/>
      <c r="AJ21" s="1" t="s">
        <v>61</v>
      </c>
      <c r="AK21" s="1" t="s">
        <v>62</v>
      </c>
      <c r="AL21" s="1" t="s">
        <v>63</v>
      </c>
      <c r="AM21" s="1" t="s">
        <v>64</v>
      </c>
      <c r="AN21" s="1" t="s">
        <v>65</v>
      </c>
      <c r="AO21" s="1" t="s">
        <v>66</v>
      </c>
      <c r="AP21" s="1" t="s">
        <v>67</v>
      </c>
      <c r="AQ21" s="1" t="s">
        <v>68</v>
      </c>
      <c r="AR21" s="1" t="s">
        <v>69</v>
      </c>
      <c r="AS21" s="1" t="s">
        <v>70</v>
      </c>
      <c r="AT21" s="1" t="s">
        <v>71</v>
      </c>
      <c r="AU21" s="1" t="s">
        <v>72</v>
      </c>
      <c r="AV21" s="1" t="s">
        <v>73</v>
      </c>
      <c r="AW21" s="1" t="s">
        <v>74</v>
      </c>
      <c r="AX21" s="1" t="s">
        <v>75</v>
      </c>
      <c r="AY21" s="1" t="s">
        <v>76</v>
      </c>
      <c r="AZ21" s="1" t="s">
        <v>77</v>
      </c>
      <c r="BA21" s="1" t="s">
        <v>78</v>
      </c>
      <c r="BB21" s="1" t="s">
        <v>79</v>
      </c>
      <c r="BC21" s="1" t="s">
        <v>80</v>
      </c>
      <c r="BD21" s="1" t="s">
        <v>81</v>
      </c>
      <c r="BE21" s="1" t="s">
        <v>82</v>
      </c>
      <c r="BF21" s="1" t="s">
        <v>83</v>
      </c>
      <c r="BG21" s="1" t="s">
        <v>84</v>
      </c>
      <c r="BH21" s="1" t="s">
        <v>85</v>
      </c>
      <c r="BI21" s="1" t="s">
        <v>86</v>
      </c>
      <c r="BJ21" s="1" t="s">
        <v>87</v>
      </c>
      <c r="BK21" s="1" t="s">
        <v>88</v>
      </c>
      <c r="BL21" s="1" t="s">
        <v>89</v>
      </c>
      <c r="BM21" s="1" t="s">
        <v>90</v>
      </c>
      <c r="BO21" t="s">
        <v>91</v>
      </c>
      <c r="BP21" t="s">
        <v>65</v>
      </c>
      <c r="BQ21" t="s">
        <v>66</v>
      </c>
      <c r="BR21" t="s">
        <v>67</v>
      </c>
      <c r="BS21" t="s">
        <v>68</v>
      </c>
      <c r="BT21" t="s">
        <v>69</v>
      </c>
      <c r="BU21" t="s">
        <v>70</v>
      </c>
      <c r="BV21" t="s">
        <v>71</v>
      </c>
      <c r="BW21" t="s">
        <v>72</v>
      </c>
      <c r="BX21" t="s">
        <v>73</v>
      </c>
      <c r="BY21" t="s">
        <v>92</v>
      </c>
      <c r="BZ21" t="s">
        <v>93</v>
      </c>
      <c r="CA21" t="s">
        <v>94</v>
      </c>
      <c r="CB21" t="s">
        <v>95</v>
      </c>
      <c r="CC21" t="s">
        <v>96</v>
      </c>
      <c r="CD21" t="s">
        <v>97</v>
      </c>
      <c r="CE21" t="s">
        <v>98</v>
      </c>
      <c r="CF21" t="s">
        <v>99</v>
      </c>
      <c r="CG21" t="s">
        <v>100</v>
      </c>
      <c r="CH21" t="s">
        <v>101</v>
      </c>
      <c r="CI21" t="s">
        <v>102</v>
      </c>
      <c r="CJ21" t="s">
        <v>103</v>
      </c>
      <c r="CK21" t="s">
        <v>104</v>
      </c>
      <c r="CL21" t="s">
        <v>105</v>
      </c>
      <c r="CM21" t="s">
        <v>106</v>
      </c>
    </row>
    <row r="22" spans="1:91" x14ac:dyDescent="0.25">
      <c r="A22" s="25"/>
      <c r="B22" s="26"/>
      <c r="C22" s="27"/>
      <c r="D22" s="26"/>
      <c r="E22" s="28"/>
      <c r="F22" s="30"/>
      <c r="G22" s="28"/>
      <c r="H22" s="28"/>
      <c r="I22" s="28"/>
      <c r="J22" s="28"/>
      <c r="K22" s="28"/>
      <c r="L22" s="30"/>
      <c r="M22" s="30"/>
      <c r="N22" s="30"/>
      <c r="O22" s="30"/>
      <c r="P22" s="30"/>
      <c r="Q22" s="30"/>
      <c r="R22" s="26"/>
      <c r="S22" s="30"/>
      <c r="T22" s="30"/>
      <c r="U22" s="30"/>
      <c r="V22" s="30"/>
      <c r="W22" s="2" t="str">
        <f t="shared" si="0"/>
        <v/>
      </c>
      <c r="X22" s="30"/>
      <c r="Y22" s="30"/>
      <c r="Z22" s="30"/>
      <c r="AA22" s="25"/>
      <c r="AE22" s="5"/>
      <c r="AI22" t="s">
        <v>39</v>
      </c>
      <c r="AJ22">
        <f t="shared" ref="AJ22:AJ37" si="6">COUNTIFS($L$2:$L$106, AI22, $E$2:$E$106, 1) + COUNTIFS($M$2:$M$106, AI22, $E$2:$E$106, 1)</f>
        <v>0</v>
      </c>
      <c r="AK22">
        <f t="shared" ref="AK22:AK37" si="7">COUNTIFS($L$2:$L$106, AI22, $E$2:$E$106, 2) + COUNTIFS($M$2:$M$106, AI22, $E$2:$E$106, 2)</f>
        <v>0</v>
      </c>
      <c r="AL22">
        <f t="shared" ref="AL22:AL37" si="8">COUNTIFS($L$2:$L$106, AI22, $E$2:$E$106, 3) + COUNTIFS($M$2:$M$106, AI22, $E$2:$E$106, 3)</f>
        <v>0</v>
      </c>
      <c r="AM22">
        <f t="shared" ref="AM22:AM37" si="9">COUNTIFS($L$2:$L$106, AI22, $E$2:$E$106, 4) + COUNTIFS($M$2:$M$106, AI22, $E$2:$E$106, 4)</f>
        <v>0</v>
      </c>
      <c r="AN22">
        <f>AJ22+AK22+AL22+AM22</f>
        <v>0</v>
      </c>
      <c r="AO22">
        <f t="shared" ref="AO22:AO37" si="10">COUNTIF($M$2:$M$106, AI22)</f>
        <v>0</v>
      </c>
      <c r="AP22">
        <f t="shared" ref="AP22:AP37" si="11">COUNTIF($L$2:$L$106, AI22)</f>
        <v>0</v>
      </c>
      <c r="AQ22">
        <f t="shared" ref="AQ22:AQ37" si="12">AS22+AU22</f>
        <v>0</v>
      </c>
      <c r="AR22">
        <f t="shared" ref="AR22:AR37" si="13">AN22-AQ22</f>
        <v>0</v>
      </c>
      <c r="AS22">
        <f t="shared" ref="AS22:AS37" si="14">SUMPRODUCT(($M$2:$M$106=AI22)*($T$2:$T$106&gt;$S$2:$S$106))</f>
        <v>0</v>
      </c>
      <c r="AT22">
        <f t="shared" ref="AT22:AT37" si="15">SUMPRODUCT(($M$2:$M$106=AI22)*($T$2:$T$106&lt;$S$2:$S$106))</f>
        <v>0</v>
      </c>
      <c r="AU22">
        <f t="shared" ref="AU22:AU37" si="16">SUMPRODUCT(($L$2:$L$106=AI22)*($T$2:$T$106&lt;$S$2:$S$106))</f>
        <v>0</v>
      </c>
      <c r="AV22">
        <f t="shared" ref="AV22:AV37" si="17">SUMPRODUCT(($L$2:$L$106=AI22)*($T$2:$T$106&gt;$S$2:$S$106))</f>
        <v>0</v>
      </c>
      <c r="AW22">
        <f t="shared" ref="AW22:AW37" si="18">COUNTIFS($M$2:$M$106,AI22,$E$2:$E$106,1)</f>
        <v>0</v>
      </c>
      <c r="AX22">
        <f t="shared" ref="AX22:AX37" si="19">COUNTIFS($L$2:$L$106,AI22,$E$2:$E$106,1)</f>
        <v>0</v>
      </c>
      <c r="AY22">
        <f t="shared" ref="AY22:AY37" si="20">SUMIFS($T$2:$T$106, $M$2:$M$106, AI22,$E$2:$E$106, 1)</f>
        <v>0</v>
      </c>
      <c r="AZ22">
        <f t="shared" ref="AZ22:AZ37" si="21">SUMIFS($S$2:$S$106, $L$2:$L$106, AI22,$E$2:$E$106, 1)</f>
        <v>0</v>
      </c>
      <c r="BA22">
        <f t="shared" ref="BA22:BA37" si="22">SUMIFS($S$2:$S$106, $M$2:$M$106, AI22,$E$2:$E$106, 1)</f>
        <v>0</v>
      </c>
      <c r="BB22">
        <f t="shared" ref="BB22:BB37" si="23">SUMIFS($T$2:$T$106, $L$2:$L$106, AI22,$E$2:$E$106, 1)</f>
        <v>0</v>
      </c>
      <c r="BC22">
        <f>AY22-BA22</f>
        <v>0</v>
      </c>
      <c r="BD22">
        <f>AZ22-BB22</f>
        <v>0</v>
      </c>
      <c r="BE22">
        <f>AY22+AZ22</f>
        <v>0</v>
      </c>
      <c r="BF22">
        <f>BA22+BB22</f>
        <v>0</v>
      </c>
      <c r="BG22">
        <f>(AY22+AZ22)-(BA22+BB22)</f>
        <v>0</v>
      </c>
      <c r="BH22" t="e">
        <f>AY22/AW22</f>
        <v>#DIV/0!</v>
      </c>
      <c r="BI22" t="e">
        <f>AZ22/AX22</f>
        <v>#DIV/0!</v>
      </c>
      <c r="BJ22" t="e">
        <f>BA22/AW22</f>
        <v>#DIV/0!</v>
      </c>
      <c r="BK22" t="e">
        <f>BB22/AX22</f>
        <v>#DIV/0!</v>
      </c>
      <c r="BL22" t="e">
        <f t="shared" ref="BL22:BL37" si="24">BE22/AJ22</f>
        <v>#DIV/0!</v>
      </c>
      <c r="BM22" t="e">
        <f t="shared" ref="BM22:BM37" si="25">BF22/AJ22</f>
        <v>#DIV/0!</v>
      </c>
      <c r="BO22" t="str">
        <f t="shared" ref="BO22:BO37" si="26">AI22</f>
        <v>WSH</v>
      </c>
      <c r="BP22" s="11">
        <f t="shared" ref="BP22:BX37" si="27">AN22</f>
        <v>0</v>
      </c>
      <c r="BQ22" s="11">
        <f t="shared" si="27"/>
        <v>0</v>
      </c>
      <c r="BR22" s="11">
        <f t="shared" si="27"/>
        <v>0</v>
      </c>
      <c r="BS22" s="11">
        <f t="shared" si="27"/>
        <v>0</v>
      </c>
      <c r="BT22" s="11">
        <f t="shared" si="27"/>
        <v>0</v>
      </c>
      <c r="BU22" s="11">
        <f t="shared" si="27"/>
        <v>0</v>
      </c>
      <c r="BV22" s="11">
        <f t="shared" si="27"/>
        <v>0</v>
      </c>
      <c r="BW22" s="11">
        <f t="shared" si="27"/>
        <v>0</v>
      </c>
      <c r="BX22" s="11">
        <f t="shared" si="27"/>
        <v>0</v>
      </c>
      <c r="BY22" s="11">
        <f t="shared" ref="BY22:BY37" si="28">SUMIFS($T$2:$T$106,$M$2:$M$106,AI22,$E$2:$E$106,1)+SUMIFS($T$2:$T$106,$M$2:$M$106,AI22,$E$2:$E$106,2)+SUMIFS($T$2:$T$106,$M$2:$M$106,AI22,$E$2:$E$106,3)+SUMIFS($T$2:$T$106,$M$2:$M$106,AI22,$E$2:$E$106,4)</f>
        <v>0</v>
      </c>
      <c r="BZ22" s="11">
        <f t="shared" ref="BZ22:BZ37" si="29">SUMIFS($S$2:$S$106,$L$2:$L$106,AI22,$E$2:$E$106,1) + SUMIFS($S$2:$S$106,$L$2:$L$106,AI22,$E$2:$E$106,2)+SUMIFS($S$2:$S$106,$L$2:$L$106,AI22,$E$2:$E$106,3)+SUMIFS($S$2:$S$106,$L$2:$L$106,AI22,$E$2:$E$106,4)</f>
        <v>0</v>
      </c>
      <c r="CA22" s="11">
        <f t="shared" ref="CA22:CA37" si="30">SUMIFS($S$2:$S$106,$M$2:$M$106,AI22,$E$2:$E$106,1)+SUMIFS($S$2:$S$106,$M$2:$M$106,AI22,$E$2:$E$106,2)+SUMIFS($S$2:$S$106,$M$2:$M$106,AI22,$E$2:$E$106,3)+SUMIFS($S$2:$S$106,$M$2:$M$106,AI22,$E$2:$E$106,4)</f>
        <v>0</v>
      </c>
      <c r="CB22" s="11">
        <f t="shared" ref="CB22:CB37" si="31">SUMIFS($T$2:$T$106,$L$2:$L$106,AI22,$E$2:$E$106,1)+(SUMIFS($T$2:$T$106,$L$2:$L$106,AI22,$E$2:$E$106,2)+SUMIFS($T$2:$T$106,$L$2:$L$106,AI22,$E$2:$E$106,3)+SUMIFS($T$2:$T$106,$L$2:$L$106,AI22,$E$2:$E$106,4))</f>
        <v>0</v>
      </c>
      <c r="CC22" s="11">
        <f t="shared" ref="CC22:CD37" si="32">BY22-CA22</f>
        <v>0</v>
      </c>
      <c r="CD22" s="11">
        <f t="shared" si="32"/>
        <v>0</v>
      </c>
      <c r="CE22" s="11">
        <f t="shared" ref="CE22:CE37" si="33">BY22+BZ22</f>
        <v>0</v>
      </c>
      <c r="CF22" s="11">
        <f t="shared" ref="CF22:CF37" si="34">CA22+CB22</f>
        <v>0</v>
      </c>
      <c r="CG22" s="11">
        <f t="shared" ref="CG22:CG37" si="35">(BY22+BZ22)-(CA22+CB22)</f>
        <v>0</v>
      </c>
      <c r="CH22" s="16" t="e">
        <f t="shared" ref="CH22:CI37" si="36">BY22/BQ22</f>
        <v>#DIV/0!</v>
      </c>
      <c r="CI22" s="16" t="e">
        <f t="shared" si="36"/>
        <v>#DIV/0!</v>
      </c>
      <c r="CJ22" s="16" t="e">
        <f t="shared" ref="CJ22:CK37" si="37">CA22/BQ22</f>
        <v>#DIV/0!</v>
      </c>
      <c r="CK22" s="16" t="e">
        <f t="shared" si="37"/>
        <v>#DIV/0!</v>
      </c>
      <c r="CL22" s="16" t="e">
        <f t="shared" ref="CL22:CL37" si="38">CE22/BP22</f>
        <v>#DIV/0!</v>
      </c>
      <c r="CM22" s="16" t="e">
        <f t="shared" ref="CM22:CM37" si="39">CF22/BP22</f>
        <v>#DIV/0!</v>
      </c>
    </row>
    <row r="23" spans="1:91" x14ac:dyDescent="0.25">
      <c r="A23" s="25"/>
      <c r="B23" s="26"/>
      <c r="C23" s="27"/>
      <c r="D23" s="26"/>
      <c r="E23" s="28"/>
      <c r="F23" s="30"/>
      <c r="G23" s="28"/>
      <c r="H23" s="28"/>
      <c r="I23" s="28"/>
      <c r="J23" s="28"/>
      <c r="K23" s="28"/>
      <c r="L23" s="30"/>
      <c r="M23" s="30"/>
      <c r="N23" s="30"/>
      <c r="O23" s="30"/>
      <c r="P23" s="30"/>
      <c r="Q23" s="30"/>
      <c r="R23" s="26"/>
      <c r="S23" s="30"/>
      <c r="T23" s="30"/>
      <c r="U23" s="30"/>
      <c r="V23" s="30"/>
      <c r="W23" s="2" t="str">
        <f t="shared" si="0"/>
        <v/>
      </c>
      <c r="X23" s="30"/>
      <c r="Y23" s="30"/>
      <c r="Z23" s="30"/>
      <c r="AA23" s="25"/>
      <c r="AE23" s="5"/>
      <c r="AI23" t="s">
        <v>162</v>
      </c>
      <c r="AJ23">
        <f t="shared" si="6"/>
        <v>0</v>
      </c>
      <c r="AK23">
        <f t="shared" si="7"/>
        <v>0</v>
      </c>
      <c r="AL23">
        <f t="shared" si="8"/>
        <v>0</v>
      </c>
      <c r="AM23">
        <f t="shared" si="9"/>
        <v>0</v>
      </c>
      <c r="AN23">
        <f t="shared" ref="AN23:AN37" si="40">AJ23+AK23+AL23+AM23</f>
        <v>0</v>
      </c>
      <c r="AO23">
        <f t="shared" si="10"/>
        <v>0</v>
      </c>
      <c r="AP23">
        <f t="shared" si="11"/>
        <v>0</v>
      </c>
      <c r="AQ23">
        <f t="shared" si="12"/>
        <v>0</v>
      </c>
      <c r="AR23">
        <f t="shared" si="13"/>
        <v>0</v>
      </c>
      <c r="AS23">
        <f t="shared" si="14"/>
        <v>0</v>
      </c>
      <c r="AT23">
        <f t="shared" si="15"/>
        <v>0</v>
      </c>
      <c r="AU23">
        <f t="shared" si="16"/>
        <v>0</v>
      </c>
      <c r="AV23">
        <f t="shared" si="17"/>
        <v>0</v>
      </c>
      <c r="AW23">
        <f t="shared" si="18"/>
        <v>0</v>
      </c>
      <c r="AX23">
        <f t="shared" si="19"/>
        <v>0</v>
      </c>
      <c r="AY23">
        <f t="shared" si="20"/>
        <v>0</v>
      </c>
      <c r="AZ23">
        <f t="shared" si="21"/>
        <v>0</v>
      </c>
      <c r="BA23">
        <f t="shared" si="22"/>
        <v>0</v>
      </c>
      <c r="BB23">
        <f t="shared" si="23"/>
        <v>0</v>
      </c>
      <c r="BC23">
        <f t="shared" ref="BC23:BD37" si="41">AY23-BA23</f>
        <v>0</v>
      </c>
      <c r="BD23">
        <f t="shared" si="41"/>
        <v>0</v>
      </c>
      <c r="BE23">
        <f t="shared" ref="BE23:BE37" si="42">AY23+AZ23</f>
        <v>0</v>
      </c>
      <c r="BF23">
        <f t="shared" ref="BF23:BF37" si="43">BA23+BB23</f>
        <v>0</v>
      </c>
      <c r="BG23">
        <f t="shared" ref="BG23:BG37" si="44">(AY23+AZ23)-(BA23+BB23)</f>
        <v>0</v>
      </c>
      <c r="BH23" t="e">
        <f t="shared" ref="BH23:BI37" si="45">AY23/AW23</f>
        <v>#DIV/0!</v>
      </c>
      <c r="BI23" t="e">
        <f t="shared" si="45"/>
        <v>#DIV/0!</v>
      </c>
      <c r="BJ23" t="e">
        <f t="shared" ref="BJ23:BK37" si="46">BA23/AW23</f>
        <v>#DIV/0!</v>
      </c>
      <c r="BK23" t="e">
        <f t="shared" si="46"/>
        <v>#DIV/0!</v>
      </c>
      <c r="BL23" t="e">
        <f t="shared" si="24"/>
        <v>#DIV/0!</v>
      </c>
      <c r="BM23" t="e">
        <f t="shared" si="25"/>
        <v>#DIV/0!</v>
      </c>
      <c r="BO23" t="str">
        <f t="shared" si="26"/>
        <v>MTL</v>
      </c>
      <c r="BP23" s="11">
        <f t="shared" si="27"/>
        <v>0</v>
      </c>
      <c r="BQ23" s="11">
        <f t="shared" si="27"/>
        <v>0</v>
      </c>
      <c r="BR23" s="11">
        <f t="shared" si="27"/>
        <v>0</v>
      </c>
      <c r="BS23" s="11">
        <f t="shared" si="27"/>
        <v>0</v>
      </c>
      <c r="BT23" s="11">
        <f t="shared" si="27"/>
        <v>0</v>
      </c>
      <c r="BU23" s="11">
        <f t="shared" si="27"/>
        <v>0</v>
      </c>
      <c r="BV23" s="11">
        <f t="shared" si="27"/>
        <v>0</v>
      </c>
      <c r="BW23" s="11">
        <f t="shared" si="27"/>
        <v>0</v>
      </c>
      <c r="BX23" s="11">
        <f t="shared" si="27"/>
        <v>0</v>
      </c>
      <c r="BY23" s="11">
        <f t="shared" si="28"/>
        <v>0</v>
      </c>
      <c r="BZ23" s="11">
        <f t="shared" si="29"/>
        <v>0</v>
      </c>
      <c r="CA23" s="11">
        <f t="shared" si="30"/>
        <v>0</v>
      </c>
      <c r="CB23" s="11">
        <f t="shared" si="31"/>
        <v>0</v>
      </c>
      <c r="CC23" s="11">
        <f t="shared" si="32"/>
        <v>0</v>
      </c>
      <c r="CD23" s="11">
        <f t="shared" si="32"/>
        <v>0</v>
      </c>
      <c r="CE23" s="11">
        <f t="shared" si="33"/>
        <v>0</v>
      </c>
      <c r="CF23" s="11">
        <f t="shared" si="34"/>
        <v>0</v>
      </c>
      <c r="CG23" s="11">
        <f t="shared" si="35"/>
        <v>0</v>
      </c>
      <c r="CH23" s="16" t="e">
        <f t="shared" si="36"/>
        <v>#DIV/0!</v>
      </c>
      <c r="CI23" s="16" t="e">
        <f t="shared" si="36"/>
        <v>#DIV/0!</v>
      </c>
      <c r="CJ23" s="16" t="e">
        <f t="shared" si="37"/>
        <v>#DIV/0!</v>
      </c>
      <c r="CK23" s="16" t="e">
        <f t="shared" si="37"/>
        <v>#DIV/0!</v>
      </c>
      <c r="CL23" s="16" t="e">
        <f t="shared" si="38"/>
        <v>#DIV/0!</v>
      </c>
      <c r="CM23" s="16" t="e">
        <f t="shared" si="39"/>
        <v>#DIV/0!</v>
      </c>
    </row>
    <row r="24" spans="1:91" x14ac:dyDescent="0.25">
      <c r="A24" s="25"/>
      <c r="B24" s="26"/>
      <c r="C24" s="27"/>
      <c r="D24" s="26"/>
      <c r="E24" s="28"/>
      <c r="F24" s="30"/>
      <c r="G24" s="28"/>
      <c r="H24" s="28"/>
      <c r="I24" s="28"/>
      <c r="J24" s="28"/>
      <c r="K24" s="28"/>
      <c r="L24" s="30"/>
      <c r="M24" s="30"/>
      <c r="N24" s="30"/>
      <c r="O24" s="30"/>
      <c r="P24" s="30"/>
      <c r="Q24" s="30"/>
      <c r="R24" s="26"/>
      <c r="S24" s="30"/>
      <c r="T24" s="30"/>
      <c r="U24" s="30"/>
      <c r="V24" s="30"/>
      <c r="W24" s="2" t="str">
        <f t="shared" si="0"/>
        <v/>
      </c>
      <c r="X24" s="30"/>
      <c r="Y24" s="30"/>
      <c r="Z24" s="30"/>
      <c r="AA24" s="25"/>
      <c r="AE24" s="5"/>
      <c r="AI24" t="s">
        <v>18</v>
      </c>
      <c r="AJ24">
        <f t="shared" si="6"/>
        <v>1</v>
      </c>
      <c r="AK24">
        <f t="shared" si="7"/>
        <v>0</v>
      </c>
      <c r="AL24">
        <f t="shared" si="8"/>
        <v>0</v>
      </c>
      <c r="AM24">
        <f>COUNTIFS($L$2:$L$106, AI24, $E$2:$E$106, 4) + COUNTIFS($M$2:$M$106, AI24, $E$2:$E$106, 4)</f>
        <v>0</v>
      </c>
      <c r="AN24">
        <f t="shared" si="40"/>
        <v>1</v>
      </c>
      <c r="AO24">
        <f t="shared" si="10"/>
        <v>1</v>
      </c>
      <c r="AP24">
        <f t="shared" si="11"/>
        <v>0</v>
      </c>
      <c r="AQ24">
        <f t="shared" si="12"/>
        <v>0</v>
      </c>
      <c r="AR24">
        <f t="shared" si="13"/>
        <v>1</v>
      </c>
      <c r="AS24">
        <f t="shared" si="14"/>
        <v>0</v>
      </c>
      <c r="AT24">
        <f t="shared" si="15"/>
        <v>0</v>
      </c>
      <c r="AU24">
        <f t="shared" si="16"/>
        <v>0</v>
      </c>
      <c r="AV24">
        <f t="shared" si="17"/>
        <v>0</v>
      </c>
      <c r="AW24">
        <f t="shared" si="18"/>
        <v>1</v>
      </c>
      <c r="AX24">
        <f t="shared" si="19"/>
        <v>0</v>
      </c>
      <c r="AY24">
        <f t="shared" si="20"/>
        <v>0</v>
      </c>
      <c r="AZ24">
        <f t="shared" si="21"/>
        <v>0</v>
      </c>
      <c r="BA24">
        <f t="shared" si="22"/>
        <v>0</v>
      </c>
      <c r="BB24">
        <f t="shared" si="23"/>
        <v>0</v>
      </c>
      <c r="BC24">
        <f t="shared" si="41"/>
        <v>0</v>
      </c>
      <c r="BD24">
        <f t="shared" si="41"/>
        <v>0</v>
      </c>
      <c r="BE24">
        <f t="shared" si="42"/>
        <v>0</v>
      </c>
      <c r="BF24">
        <f t="shared" si="43"/>
        <v>0</v>
      </c>
      <c r="BG24">
        <f t="shared" si="44"/>
        <v>0</v>
      </c>
      <c r="BH24">
        <f t="shared" si="45"/>
        <v>0</v>
      </c>
      <c r="BI24" t="e">
        <f t="shared" si="45"/>
        <v>#DIV/0!</v>
      </c>
      <c r="BJ24">
        <f t="shared" si="46"/>
        <v>0</v>
      </c>
      <c r="BK24" t="e">
        <f t="shared" si="46"/>
        <v>#DIV/0!</v>
      </c>
      <c r="BL24">
        <f t="shared" si="24"/>
        <v>0</v>
      </c>
      <c r="BM24">
        <f t="shared" si="25"/>
        <v>0</v>
      </c>
      <c r="BO24" t="str">
        <f t="shared" si="26"/>
        <v>CAR</v>
      </c>
      <c r="BP24" s="11">
        <f t="shared" si="27"/>
        <v>1</v>
      </c>
      <c r="BQ24" s="11">
        <f t="shared" si="27"/>
        <v>1</v>
      </c>
      <c r="BR24" s="11">
        <f t="shared" si="27"/>
        <v>0</v>
      </c>
      <c r="BS24" s="11">
        <f t="shared" si="27"/>
        <v>0</v>
      </c>
      <c r="BT24" s="11">
        <f t="shared" si="27"/>
        <v>1</v>
      </c>
      <c r="BU24" s="11">
        <f t="shared" si="27"/>
        <v>0</v>
      </c>
      <c r="BV24" s="11">
        <f t="shared" si="27"/>
        <v>0</v>
      </c>
      <c r="BW24" s="11">
        <f t="shared" si="27"/>
        <v>0</v>
      </c>
      <c r="BX24" s="11">
        <f t="shared" si="27"/>
        <v>0</v>
      </c>
      <c r="BY24" s="11">
        <f t="shared" si="28"/>
        <v>0</v>
      </c>
      <c r="BZ24" s="11">
        <f t="shared" si="29"/>
        <v>0</v>
      </c>
      <c r="CA24" s="11">
        <f t="shared" si="30"/>
        <v>0</v>
      </c>
      <c r="CB24" s="11">
        <f t="shared" si="31"/>
        <v>0</v>
      </c>
      <c r="CC24" s="11">
        <f t="shared" si="32"/>
        <v>0</v>
      </c>
      <c r="CD24" s="11">
        <f t="shared" si="32"/>
        <v>0</v>
      </c>
      <c r="CE24" s="11">
        <f t="shared" si="33"/>
        <v>0</v>
      </c>
      <c r="CF24" s="11">
        <f t="shared" si="34"/>
        <v>0</v>
      </c>
      <c r="CG24" s="11">
        <f t="shared" si="35"/>
        <v>0</v>
      </c>
      <c r="CH24" s="16">
        <f t="shared" si="36"/>
        <v>0</v>
      </c>
      <c r="CI24" s="16" t="e">
        <f t="shared" si="36"/>
        <v>#DIV/0!</v>
      </c>
      <c r="CJ24" s="16">
        <f t="shared" si="37"/>
        <v>0</v>
      </c>
      <c r="CK24" s="16" t="e">
        <f t="shared" si="37"/>
        <v>#DIV/0!</v>
      </c>
      <c r="CL24" s="16">
        <f t="shared" si="38"/>
        <v>0</v>
      </c>
      <c r="CM24" s="16">
        <f t="shared" si="39"/>
        <v>0</v>
      </c>
    </row>
    <row r="25" spans="1:91" x14ac:dyDescent="0.25">
      <c r="A25" s="25"/>
      <c r="B25" s="26"/>
      <c r="C25" s="27"/>
      <c r="D25" s="26"/>
      <c r="E25" s="28"/>
      <c r="F25" s="30"/>
      <c r="G25" s="28"/>
      <c r="H25" s="28"/>
      <c r="I25" s="28"/>
      <c r="J25" s="28"/>
      <c r="K25" s="28"/>
      <c r="L25" s="30"/>
      <c r="M25" s="30"/>
      <c r="N25" s="30"/>
      <c r="O25" s="30"/>
      <c r="P25" s="30"/>
      <c r="Q25" s="30"/>
      <c r="R25" s="26"/>
      <c r="S25" s="30"/>
      <c r="T25" s="30"/>
      <c r="U25" s="30"/>
      <c r="V25" s="30"/>
      <c r="W25" s="2" t="str">
        <f t="shared" si="0"/>
        <v/>
      </c>
      <c r="X25" s="30"/>
      <c r="Y25" s="30"/>
      <c r="Z25" s="30"/>
      <c r="AA25" s="25"/>
      <c r="AE25" s="5"/>
      <c r="AI25" t="s">
        <v>159</v>
      </c>
      <c r="AJ25">
        <f t="shared" si="6"/>
        <v>0</v>
      </c>
      <c r="AK25">
        <f t="shared" si="7"/>
        <v>0</v>
      </c>
      <c r="AL25">
        <f t="shared" si="8"/>
        <v>0</v>
      </c>
      <c r="AM25">
        <f t="shared" si="9"/>
        <v>0</v>
      </c>
      <c r="AN25">
        <f t="shared" si="40"/>
        <v>0</v>
      </c>
      <c r="AO25">
        <f t="shared" si="10"/>
        <v>0</v>
      </c>
      <c r="AP25">
        <f t="shared" si="11"/>
        <v>0</v>
      </c>
      <c r="AQ25">
        <f t="shared" si="12"/>
        <v>0</v>
      </c>
      <c r="AR25">
        <f t="shared" si="13"/>
        <v>0</v>
      </c>
      <c r="AS25">
        <f t="shared" si="14"/>
        <v>0</v>
      </c>
      <c r="AT25">
        <f t="shared" si="15"/>
        <v>0</v>
      </c>
      <c r="AU25">
        <f t="shared" si="16"/>
        <v>0</v>
      </c>
      <c r="AV25">
        <f t="shared" si="17"/>
        <v>0</v>
      </c>
      <c r="AW25">
        <f t="shared" si="18"/>
        <v>0</v>
      </c>
      <c r="AX25">
        <f t="shared" si="19"/>
        <v>0</v>
      </c>
      <c r="AY25">
        <f t="shared" si="20"/>
        <v>0</v>
      </c>
      <c r="AZ25">
        <f t="shared" si="21"/>
        <v>0</v>
      </c>
      <c r="BA25">
        <f t="shared" si="22"/>
        <v>0</v>
      </c>
      <c r="BB25">
        <f t="shared" si="23"/>
        <v>0</v>
      </c>
      <c r="BC25">
        <f t="shared" si="41"/>
        <v>0</v>
      </c>
      <c r="BD25">
        <f t="shared" si="41"/>
        <v>0</v>
      </c>
      <c r="BE25">
        <f t="shared" si="42"/>
        <v>0</v>
      </c>
      <c r="BF25">
        <f t="shared" si="43"/>
        <v>0</v>
      </c>
      <c r="BG25">
        <f t="shared" si="44"/>
        <v>0</v>
      </c>
      <c r="BH25" t="e">
        <f t="shared" si="45"/>
        <v>#DIV/0!</v>
      </c>
      <c r="BI25" t="e">
        <f t="shared" si="45"/>
        <v>#DIV/0!</v>
      </c>
      <c r="BJ25" t="e">
        <f t="shared" si="46"/>
        <v>#DIV/0!</v>
      </c>
      <c r="BK25" t="e">
        <f t="shared" si="46"/>
        <v>#DIV/0!</v>
      </c>
      <c r="BL25" t="e">
        <f t="shared" si="24"/>
        <v>#DIV/0!</v>
      </c>
      <c r="BM25" t="e">
        <f t="shared" si="25"/>
        <v>#DIV/0!</v>
      </c>
      <c r="BO25" t="str">
        <f t="shared" si="26"/>
        <v>NJD</v>
      </c>
      <c r="BP25" s="11">
        <f t="shared" si="27"/>
        <v>0</v>
      </c>
      <c r="BQ25" s="11">
        <f t="shared" si="27"/>
        <v>0</v>
      </c>
      <c r="BR25" s="11">
        <f t="shared" si="27"/>
        <v>0</v>
      </c>
      <c r="BS25" s="11">
        <f t="shared" si="27"/>
        <v>0</v>
      </c>
      <c r="BT25" s="11">
        <f t="shared" si="27"/>
        <v>0</v>
      </c>
      <c r="BU25" s="11">
        <f t="shared" si="27"/>
        <v>0</v>
      </c>
      <c r="BV25" s="11">
        <f t="shared" si="27"/>
        <v>0</v>
      </c>
      <c r="BW25" s="11">
        <f t="shared" si="27"/>
        <v>0</v>
      </c>
      <c r="BX25" s="11">
        <f t="shared" si="27"/>
        <v>0</v>
      </c>
      <c r="BY25" s="11">
        <f t="shared" si="28"/>
        <v>0</v>
      </c>
      <c r="BZ25" s="11">
        <f t="shared" si="29"/>
        <v>0</v>
      </c>
      <c r="CA25" s="11">
        <f t="shared" si="30"/>
        <v>0</v>
      </c>
      <c r="CB25" s="11">
        <f t="shared" si="31"/>
        <v>0</v>
      </c>
      <c r="CC25" s="11">
        <f t="shared" si="32"/>
        <v>0</v>
      </c>
      <c r="CD25" s="11">
        <f t="shared" si="32"/>
        <v>0</v>
      </c>
      <c r="CE25" s="11">
        <f t="shared" si="33"/>
        <v>0</v>
      </c>
      <c r="CF25" s="11">
        <f t="shared" si="34"/>
        <v>0</v>
      </c>
      <c r="CG25" s="11">
        <f t="shared" si="35"/>
        <v>0</v>
      </c>
      <c r="CH25" s="16" t="e">
        <f t="shared" si="36"/>
        <v>#DIV/0!</v>
      </c>
      <c r="CI25" s="16" t="e">
        <f t="shared" si="36"/>
        <v>#DIV/0!</v>
      </c>
      <c r="CJ25" s="16" t="e">
        <f t="shared" si="37"/>
        <v>#DIV/0!</v>
      </c>
      <c r="CK25" s="16" t="e">
        <f t="shared" si="37"/>
        <v>#DIV/0!</v>
      </c>
      <c r="CL25" s="16" t="e">
        <f t="shared" si="38"/>
        <v>#DIV/0!</v>
      </c>
      <c r="CM25" s="16" t="e">
        <f t="shared" si="39"/>
        <v>#DIV/0!</v>
      </c>
    </row>
    <row r="26" spans="1:91" x14ac:dyDescent="0.25">
      <c r="A26" s="25"/>
      <c r="B26" s="26"/>
      <c r="C26" s="27"/>
      <c r="D26" s="26"/>
      <c r="E26" s="28"/>
      <c r="F26" s="30"/>
      <c r="G26" s="28"/>
      <c r="H26" s="28"/>
      <c r="I26" s="28"/>
      <c r="J26" s="28"/>
      <c r="K26" s="28"/>
      <c r="L26" s="30"/>
      <c r="M26" s="30"/>
      <c r="N26" s="30"/>
      <c r="O26" s="30"/>
      <c r="P26" s="30"/>
      <c r="Q26" s="30"/>
      <c r="R26" s="26"/>
      <c r="S26" s="30"/>
      <c r="T26" s="30"/>
      <c r="U26" s="30"/>
      <c r="V26" s="30"/>
      <c r="W26" s="2" t="str">
        <f t="shared" si="0"/>
        <v/>
      </c>
      <c r="X26" s="30"/>
      <c r="Y26" s="30"/>
      <c r="Z26" s="30"/>
      <c r="AA26" s="25"/>
      <c r="AE26" s="5"/>
      <c r="AI26" t="s">
        <v>32</v>
      </c>
      <c r="AJ26">
        <f t="shared" si="6"/>
        <v>0</v>
      </c>
      <c r="AK26">
        <f t="shared" si="7"/>
        <v>0</v>
      </c>
      <c r="AL26">
        <f t="shared" si="8"/>
        <v>0</v>
      </c>
      <c r="AM26">
        <f t="shared" si="9"/>
        <v>0</v>
      </c>
      <c r="AN26">
        <f t="shared" si="40"/>
        <v>0</v>
      </c>
      <c r="AO26">
        <f t="shared" si="10"/>
        <v>0</v>
      </c>
      <c r="AP26">
        <f t="shared" si="11"/>
        <v>0</v>
      </c>
      <c r="AQ26">
        <f t="shared" si="12"/>
        <v>0</v>
      </c>
      <c r="AR26">
        <f t="shared" si="13"/>
        <v>0</v>
      </c>
      <c r="AS26">
        <f t="shared" si="14"/>
        <v>0</v>
      </c>
      <c r="AT26">
        <f t="shared" si="15"/>
        <v>0</v>
      </c>
      <c r="AU26">
        <f t="shared" si="16"/>
        <v>0</v>
      </c>
      <c r="AV26">
        <f t="shared" si="17"/>
        <v>0</v>
      </c>
      <c r="AW26">
        <f t="shared" si="18"/>
        <v>0</v>
      </c>
      <c r="AX26">
        <f t="shared" si="19"/>
        <v>0</v>
      </c>
      <c r="AY26">
        <f t="shared" si="20"/>
        <v>0</v>
      </c>
      <c r="AZ26">
        <f t="shared" si="21"/>
        <v>0</v>
      </c>
      <c r="BA26">
        <f t="shared" si="22"/>
        <v>0</v>
      </c>
      <c r="BB26">
        <f t="shared" si="23"/>
        <v>0</v>
      </c>
      <c r="BC26">
        <f t="shared" si="41"/>
        <v>0</v>
      </c>
      <c r="BD26">
        <f t="shared" si="41"/>
        <v>0</v>
      </c>
      <c r="BE26">
        <f t="shared" si="42"/>
        <v>0</v>
      </c>
      <c r="BF26">
        <f t="shared" si="43"/>
        <v>0</v>
      </c>
      <c r="BG26">
        <f t="shared" si="44"/>
        <v>0</v>
      </c>
      <c r="BH26" t="e">
        <f t="shared" si="45"/>
        <v>#DIV/0!</v>
      </c>
      <c r="BI26" t="e">
        <f t="shared" si="45"/>
        <v>#DIV/0!</v>
      </c>
      <c r="BJ26" t="e">
        <f t="shared" si="46"/>
        <v>#DIV/0!</v>
      </c>
      <c r="BK26" t="e">
        <f t="shared" si="46"/>
        <v>#DIV/0!</v>
      </c>
      <c r="BL26" t="e">
        <f t="shared" si="24"/>
        <v>#DIV/0!</v>
      </c>
      <c r="BM26" t="e">
        <f t="shared" si="25"/>
        <v>#DIV/0!</v>
      </c>
      <c r="BO26" t="str">
        <f t="shared" si="26"/>
        <v>TOR</v>
      </c>
      <c r="BP26" s="11">
        <f t="shared" si="27"/>
        <v>0</v>
      </c>
      <c r="BQ26" s="11">
        <f t="shared" si="27"/>
        <v>0</v>
      </c>
      <c r="BR26" s="11">
        <f t="shared" si="27"/>
        <v>0</v>
      </c>
      <c r="BS26" s="11">
        <f t="shared" si="27"/>
        <v>0</v>
      </c>
      <c r="BT26" s="11">
        <f t="shared" si="27"/>
        <v>0</v>
      </c>
      <c r="BU26" s="11">
        <f t="shared" si="27"/>
        <v>0</v>
      </c>
      <c r="BV26" s="11">
        <f t="shared" si="27"/>
        <v>0</v>
      </c>
      <c r="BW26" s="11">
        <f t="shared" si="27"/>
        <v>0</v>
      </c>
      <c r="BX26" s="11">
        <f t="shared" si="27"/>
        <v>0</v>
      </c>
      <c r="BY26" s="11">
        <f t="shared" si="28"/>
        <v>0</v>
      </c>
      <c r="BZ26" s="11">
        <f t="shared" si="29"/>
        <v>0</v>
      </c>
      <c r="CA26" s="11">
        <f t="shared" si="30"/>
        <v>0</v>
      </c>
      <c r="CB26" s="11">
        <f t="shared" si="31"/>
        <v>0</v>
      </c>
      <c r="CC26" s="11">
        <f t="shared" si="32"/>
        <v>0</v>
      </c>
      <c r="CD26" s="11">
        <f t="shared" si="32"/>
        <v>0</v>
      </c>
      <c r="CE26" s="11">
        <f t="shared" si="33"/>
        <v>0</v>
      </c>
      <c r="CF26" s="11">
        <f t="shared" si="34"/>
        <v>0</v>
      </c>
      <c r="CG26" s="11">
        <f t="shared" si="35"/>
        <v>0</v>
      </c>
      <c r="CH26" s="16" t="e">
        <f t="shared" si="36"/>
        <v>#DIV/0!</v>
      </c>
      <c r="CI26" s="16" t="e">
        <f t="shared" si="36"/>
        <v>#DIV/0!</v>
      </c>
      <c r="CJ26" s="16" t="e">
        <f t="shared" si="37"/>
        <v>#DIV/0!</v>
      </c>
      <c r="CK26" s="16" t="e">
        <f t="shared" si="37"/>
        <v>#DIV/0!</v>
      </c>
      <c r="CL26" s="16" t="e">
        <f t="shared" si="38"/>
        <v>#DIV/0!</v>
      </c>
      <c r="CM26" s="16" t="e">
        <f t="shared" si="39"/>
        <v>#DIV/0!</v>
      </c>
    </row>
    <row r="27" spans="1:91" x14ac:dyDescent="0.25">
      <c r="A27" s="25"/>
      <c r="B27" s="26"/>
      <c r="C27" s="27"/>
      <c r="D27" s="26"/>
      <c r="E27" s="28"/>
      <c r="F27" s="30"/>
      <c r="G27" s="28"/>
      <c r="H27" s="28"/>
      <c r="I27" s="28"/>
      <c r="J27" s="28"/>
      <c r="K27" s="28"/>
      <c r="L27" s="30"/>
      <c r="M27" s="30"/>
      <c r="N27" s="30"/>
      <c r="O27" s="30"/>
      <c r="P27" s="30"/>
      <c r="Q27" s="30"/>
      <c r="R27" s="26"/>
      <c r="S27" s="30"/>
      <c r="T27" s="30"/>
      <c r="U27" s="30"/>
      <c r="V27" s="30"/>
      <c r="W27" s="2" t="str">
        <f t="shared" si="0"/>
        <v/>
      </c>
      <c r="X27" s="30"/>
      <c r="Y27" s="30"/>
      <c r="Z27" s="30"/>
      <c r="AA27" s="25"/>
      <c r="AE27" s="5"/>
      <c r="AI27" t="s">
        <v>160</v>
      </c>
      <c r="AJ27">
        <f t="shared" si="6"/>
        <v>1</v>
      </c>
      <c r="AK27">
        <f t="shared" si="7"/>
        <v>0</v>
      </c>
      <c r="AL27">
        <f t="shared" si="8"/>
        <v>0</v>
      </c>
      <c r="AM27">
        <f t="shared" si="9"/>
        <v>0</v>
      </c>
      <c r="AN27">
        <f t="shared" si="40"/>
        <v>1</v>
      </c>
      <c r="AO27">
        <f t="shared" si="10"/>
        <v>0</v>
      </c>
      <c r="AP27">
        <f t="shared" si="11"/>
        <v>1</v>
      </c>
      <c r="AQ27">
        <f t="shared" si="12"/>
        <v>0</v>
      </c>
      <c r="AR27">
        <f t="shared" si="13"/>
        <v>1</v>
      </c>
      <c r="AS27">
        <f t="shared" si="14"/>
        <v>0</v>
      </c>
      <c r="AT27">
        <f t="shared" si="15"/>
        <v>0</v>
      </c>
      <c r="AU27">
        <f t="shared" si="16"/>
        <v>0</v>
      </c>
      <c r="AV27">
        <f t="shared" si="17"/>
        <v>0</v>
      </c>
      <c r="AW27">
        <f t="shared" si="18"/>
        <v>0</v>
      </c>
      <c r="AX27">
        <f t="shared" si="19"/>
        <v>1</v>
      </c>
      <c r="AY27">
        <f t="shared" si="20"/>
        <v>0</v>
      </c>
      <c r="AZ27">
        <f t="shared" si="21"/>
        <v>0</v>
      </c>
      <c r="BA27">
        <f t="shared" si="22"/>
        <v>0</v>
      </c>
      <c r="BB27">
        <f t="shared" si="23"/>
        <v>0</v>
      </c>
      <c r="BC27">
        <f t="shared" si="41"/>
        <v>0</v>
      </c>
      <c r="BD27">
        <f t="shared" si="41"/>
        <v>0</v>
      </c>
      <c r="BE27">
        <f t="shared" si="42"/>
        <v>0</v>
      </c>
      <c r="BF27">
        <f t="shared" si="43"/>
        <v>0</v>
      </c>
      <c r="BG27">
        <f t="shared" si="44"/>
        <v>0</v>
      </c>
      <c r="BH27" t="e">
        <f t="shared" si="45"/>
        <v>#DIV/0!</v>
      </c>
      <c r="BI27">
        <f t="shared" si="45"/>
        <v>0</v>
      </c>
      <c r="BJ27" t="e">
        <f t="shared" si="46"/>
        <v>#DIV/0!</v>
      </c>
      <c r="BK27">
        <f t="shared" si="46"/>
        <v>0</v>
      </c>
      <c r="BL27">
        <f t="shared" si="24"/>
        <v>0</v>
      </c>
      <c r="BM27">
        <f t="shared" si="25"/>
        <v>0</v>
      </c>
      <c r="BO27" t="str">
        <f t="shared" si="26"/>
        <v>OTT</v>
      </c>
      <c r="BP27" s="11">
        <f t="shared" si="27"/>
        <v>1</v>
      </c>
      <c r="BQ27" s="11">
        <f t="shared" si="27"/>
        <v>0</v>
      </c>
      <c r="BR27" s="11">
        <f t="shared" si="27"/>
        <v>1</v>
      </c>
      <c r="BS27" s="11">
        <f t="shared" si="27"/>
        <v>0</v>
      </c>
      <c r="BT27" s="11">
        <f t="shared" si="27"/>
        <v>1</v>
      </c>
      <c r="BU27" s="11">
        <f t="shared" si="27"/>
        <v>0</v>
      </c>
      <c r="BV27" s="11">
        <f t="shared" si="27"/>
        <v>0</v>
      </c>
      <c r="BW27" s="11">
        <f t="shared" si="27"/>
        <v>0</v>
      </c>
      <c r="BX27" s="11">
        <f t="shared" si="27"/>
        <v>0</v>
      </c>
      <c r="BY27" s="11">
        <f t="shared" si="28"/>
        <v>0</v>
      </c>
      <c r="BZ27" s="11">
        <f t="shared" si="29"/>
        <v>0</v>
      </c>
      <c r="CA27" s="11">
        <f t="shared" si="30"/>
        <v>0</v>
      </c>
      <c r="CB27" s="11">
        <f t="shared" si="31"/>
        <v>0</v>
      </c>
      <c r="CC27" s="11">
        <f t="shared" si="32"/>
        <v>0</v>
      </c>
      <c r="CD27" s="11">
        <f t="shared" si="32"/>
        <v>0</v>
      </c>
      <c r="CE27" s="11">
        <f t="shared" si="33"/>
        <v>0</v>
      </c>
      <c r="CF27" s="11">
        <f t="shared" si="34"/>
        <v>0</v>
      </c>
      <c r="CG27" s="11">
        <f t="shared" si="35"/>
        <v>0</v>
      </c>
      <c r="CH27" s="16" t="e">
        <f t="shared" si="36"/>
        <v>#DIV/0!</v>
      </c>
      <c r="CI27" s="16">
        <f t="shared" si="36"/>
        <v>0</v>
      </c>
      <c r="CJ27" s="16" t="e">
        <f t="shared" si="37"/>
        <v>#DIV/0!</v>
      </c>
      <c r="CK27" s="16">
        <f t="shared" si="37"/>
        <v>0</v>
      </c>
      <c r="CL27" s="16">
        <f t="shared" si="38"/>
        <v>0</v>
      </c>
      <c r="CM27" s="16">
        <f t="shared" si="39"/>
        <v>0</v>
      </c>
    </row>
    <row r="28" spans="1:91" x14ac:dyDescent="0.25">
      <c r="A28" s="25"/>
      <c r="B28" s="26"/>
      <c r="C28" s="27"/>
      <c r="D28" s="26"/>
      <c r="E28" s="28"/>
      <c r="F28" s="30"/>
      <c r="G28" s="28"/>
      <c r="H28" s="28"/>
      <c r="I28" s="28"/>
      <c r="J28" s="28"/>
      <c r="K28" s="28"/>
      <c r="L28" s="30"/>
      <c r="M28" s="30"/>
      <c r="N28" s="30"/>
      <c r="O28" s="30"/>
      <c r="P28" s="30"/>
      <c r="Q28" s="30"/>
      <c r="R28" s="26"/>
      <c r="S28" s="30"/>
      <c r="T28" s="30"/>
      <c r="U28" s="30"/>
      <c r="V28" s="30"/>
      <c r="W28" s="2" t="str">
        <f t="shared" si="0"/>
        <v/>
      </c>
      <c r="X28" s="30"/>
      <c r="Y28" s="30"/>
      <c r="Z28" s="30"/>
      <c r="AA28" s="25"/>
      <c r="AE28" s="5"/>
      <c r="AI28" t="s">
        <v>36</v>
      </c>
      <c r="AJ28">
        <f t="shared" si="6"/>
        <v>0</v>
      </c>
      <c r="AK28">
        <f t="shared" si="7"/>
        <v>0</v>
      </c>
      <c r="AL28">
        <f t="shared" si="8"/>
        <v>0</v>
      </c>
      <c r="AM28">
        <f t="shared" si="9"/>
        <v>0</v>
      </c>
      <c r="AN28">
        <f t="shared" si="40"/>
        <v>0</v>
      </c>
      <c r="AO28">
        <f t="shared" si="10"/>
        <v>0</v>
      </c>
      <c r="AP28">
        <f t="shared" si="11"/>
        <v>0</v>
      </c>
      <c r="AQ28">
        <f t="shared" si="12"/>
        <v>0</v>
      </c>
      <c r="AR28">
        <f t="shared" si="13"/>
        <v>0</v>
      </c>
      <c r="AS28">
        <f t="shared" si="14"/>
        <v>0</v>
      </c>
      <c r="AT28">
        <f t="shared" si="15"/>
        <v>0</v>
      </c>
      <c r="AU28">
        <f t="shared" si="16"/>
        <v>0</v>
      </c>
      <c r="AV28">
        <f t="shared" si="17"/>
        <v>0</v>
      </c>
      <c r="AW28">
        <f t="shared" si="18"/>
        <v>0</v>
      </c>
      <c r="AX28">
        <f t="shared" si="19"/>
        <v>0</v>
      </c>
      <c r="AY28">
        <f t="shared" si="20"/>
        <v>0</v>
      </c>
      <c r="AZ28">
        <f t="shared" si="21"/>
        <v>0</v>
      </c>
      <c r="BA28">
        <f t="shared" si="22"/>
        <v>0</v>
      </c>
      <c r="BB28">
        <f t="shared" si="23"/>
        <v>0</v>
      </c>
      <c r="BC28">
        <f t="shared" si="41"/>
        <v>0</v>
      </c>
      <c r="BD28">
        <f t="shared" si="41"/>
        <v>0</v>
      </c>
      <c r="BE28">
        <f t="shared" si="42"/>
        <v>0</v>
      </c>
      <c r="BF28">
        <f t="shared" si="43"/>
        <v>0</v>
      </c>
      <c r="BG28">
        <f t="shared" si="44"/>
        <v>0</v>
      </c>
      <c r="BH28" t="e">
        <f t="shared" si="45"/>
        <v>#DIV/0!</v>
      </c>
      <c r="BI28" t="e">
        <f t="shared" si="45"/>
        <v>#DIV/0!</v>
      </c>
      <c r="BJ28" t="e">
        <f t="shared" si="46"/>
        <v>#DIV/0!</v>
      </c>
      <c r="BK28" t="e">
        <f t="shared" si="46"/>
        <v>#DIV/0!</v>
      </c>
      <c r="BL28" t="e">
        <f t="shared" si="24"/>
        <v>#DIV/0!</v>
      </c>
      <c r="BM28" t="e">
        <f t="shared" si="25"/>
        <v>#DIV/0!</v>
      </c>
      <c r="BO28" t="str">
        <f t="shared" si="26"/>
        <v>TBL</v>
      </c>
      <c r="BP28" s="11">
        <f t="shared" si="27"/>
        <v>0</v>
      </c>
      <c r="BQ28" s="11">
        <f t="shared" si="27"/>
        <v>0</v>
      </c>
      <c r="BR28" s="11">
        <f t="shared" si="27"/>
        <v>0</v>
      </c>
      <c r="BS28" s="11">
        <f t="shared" si="27"/>
        <v>0</v>
      </c>
      <c r="BT28" s="11">
        <f t="shared" si="27"/>
        <v>0</v>
      </c>
      <c r="BU28" s="11">
        <f t="shared" si="27"/>
        <v>0</v>
      </c>
      <c r="BV28" s="11">
        <f t="shared" si="27"/>
        <v>0</v>
      </c>
      <c r="BW28" s="11">
        <f t="shared" si="27"/>
        <v>0</v>
      </c>
      <c r="BX28" s="11">
        <f t="shared" si="27"/>
        <v>0</v>
      </c>
      <c r="BY28" s="11">
        <f t="shared" si="28"/>
        <v>0</v>
      </c>
      <c r="BZ28" s="11">
        <f t="shared" si="29"/>
        <v>0</v>
      </c>
      <c r="CA28" s="11">
        <f t="shared" si="30"/>
        <v>0</v>
      </c>
      <c r="CB28" s="11">
        <f t="shared" si="31"/>
        <v>0</v>
      </c>
      <c r="CC28" s="11">
        <f t="shared" si="32"/>
        <v>0</v>
      </c>
      <c r="CD28" s="11">
        <f t="shared" si="32"/>
        <v>0</v>
      </c>
      <c r="CE28" s="11">
        <f t="shared" si="33"/>
        <v>0</v>
      </c>
      <c r="CF28" s="11">
        <f t="shared" si="34"/>
        <v>0</v>
      </c>
      <c r="CG28" s="11">
        <f t="shared" si="35"/>
        <v>0</v>
      </c>
      <c r="CH28" s="16" t="e">
        <f t="shared" si="36"/>
        <v>#DIV/0!</v>
      </c>
      <c r="CI28" s="16" t="e">
        <f t="shared" si="36"/>
        <v>#DIV/0!</v>
      </c>
      <c r="CJ28" s="16" t="e">
        <f t="shared" si="37"/>
        <v>#DIV/0!</v>
      </c>
      <c r="CK28" s="16" t="e">
        <f t="shared" si="37"/>
        <v>#DIV/0!</v>
      </c>
      <c r="CL28" s="16" t="e">
        <f t="shared" si="38"/>
        <v>#DIV/0!</v>
      </c>
      <c r="CM28" s="16" t="e">
        <f t="shared" si="39"/>
        <v>#DIV/0!</v>
      </c>
    </row>
    <row r="29" spans="1:91" x14ac:dyDescent="0.25">
      <c r="A29" s="25"/>
      <c r="B29" s="26"/>
      <c r="C29" s="27"/>
      <c r="D29" s="26"/>
      <c r="E29" s="28"/>
      <c r="F29" s="30"/>
      <c r="G29" s="28"/>
      <c r="H29" s="28"/>
      <c r="I29" s="28"/>
      <c r="J29" s="28"/>
      <c r="K29" s="28"/>
      <c r="L29" s="30"/>
      <c r="M29" s="30"/>
      <c r="N29" s="30"/>
      <c r="O29" s="30"/>
      <c r="P29" s="30"/>
      <c r="Q29" s="30"/>
      <c r="R29" s="26"/>
      <c r="S29" s="30"/>
      <c r="T29" s="30"/>
      <c r="U29" s="30"/>
      <c r="V29" s="30"/>
      <c r="W29" s="2" t="str">
        <f t="shared" si="0"/>
        <v/>
      </c>
      <c r="X29" s="30"/>
      <c r="Y29" s="30"/>
      <c r="Z29" s="30"/>
      <c r="AA29" s="25"/>
      <c r="AE29" s="5"/>
      <c r="AI29" t="s">
        <v>35</v>
      </c>
      <c r="AJ29">
        <f t="shared" si="6"/>
        <v>0</v>
      </c>
      <c r="AK29">
        <f t="shared" si="7"/>
        <v>0</v>
      </c>
      <c r="AL29">
        <f t="shared" si="8"/>
        <v>0</v>
      </c>
      <c r="AM29">
        <f t="shared" si="9"/>
        <v>0</v>
      </c>
      <c r="AN29">
        <f t="shared" si="40"/>
        <v>0</v>
      </c>
      <c r="AO29">
        <f t="shared" si="10"/>
        <v>0</v>
      </c>
      <c r="AP29">
        <f t="shared" si="11"/>
        <v>0</v>
      </c>
      <c r="AQ29">
        <f t="shared" si="12"/>
        <v>0</v>
      </c>
      <c r="AR29">
        <f t="shared" si="13"/>
        <v>0</v>
      </c>
      <c r="AS29">
        <f t="shared" si="14"/>
        <v>0</v>
      </c>
      <c r="AT29">
        <f t="shared" si="15"/>
        <v>0</v>
      </c>
      <c r="AU29">
        <f t="shared" si="16"/>
        <v>0</v>
      </c>
      <c r="AV29">
        <f t="shared" si="17"/>
        <v>0</v>
      </c>
      <c r="AW29">
        <f t="shared" si="18"/>
        <v>0</v>
      </c>
      <c r="AX29">
        <f t="shared" si="19"/>
        <v>0</v>
      </c>
      <c r="AY29">
        <f t="shared" si="20"/>
        <v>0</v>
      </c>
      <c r="AZ29">
        <f t="shared" si="21"/>
        <v>0</v>
      </c>
      <c r="BA29">
        <f t="shared" si="22"/>
        <v>0</v>
      </c>
      <c r="BB29">
        <f t="shared" si="23"/>
        <v>0</v>
      </c>
      <c r="BC29">
        <f t="shared" si="41"/>
        <v>0</v>
      </c>
      <c r="BD29">
        <f t="shared" si="41"/>
        <v>0</v>
      </c>
      <c r="BE29">
        <f t="shared" si="42"/>
        <v>0</v>
      </c>
      <c r="BF29">
        <f t="shared" si="43"/>
        <v>0</v>
      </c>
      <c r="BG29">
        <f t="shared" si="44"/>
        <v>0</v>
      </c>
      <c r="BH29" t="e">
        <f t="shared" si="45"/>
        <v>#DIV/0!</v>
      </c>
      <c r="BI29" t="e">
        <f t="shared" si="45"/>
        <v>#DIV/0!</v>
      </c>
      <c r="BJ29" t="e">
        <f t="shared" si="46"/>
        <v>#DIV/0!</v>
      </c>
      <c r="BK29" t="e">
        <f t="shared" si="46"/>
        <v>#DIV/0!</v>
      </c>
      <c r="BL29" t="e">
        <f t="shared" si="24"/>
        <v>#DIV/0!</v>
      </c>
      <c r="BM29" t="e">
        <f t="shared" si="25"/>
        <v>#DIV/0!</v>
      </c>
      <c r="BO29" t="str">
        <f t="shared" si="26"/>
        <v>FLA</v>
      </c>
      <c r="BP29" s="11">
        <f t="shared" si="27"/>
        <v>0</v>
      </c>
      <c r="BQ29" s="11">
        <f t="shared" si="27"/>
        <v>0</v>
      </c>
      <c r="BR29" s="11">
        <f t="shared" si="27"/>
        <v>0</v>
      </c>
      <c r="BS29" s="11">
        <f t="shared" si="27"/>
        <v>0</v>
      </c>
      <c r="BT29" s="11">
        <f t="shared" si="27"/>
        <v>0</v>
      </c>
      <c r="BU29" s="11">
        <f t="shared" si="27"/>
        <v>0</v>
      </c>
      <c r="BV29" s="11">
        <f t="shared" si="27"/>
        <v>0</v>
      </c>
      <c r="BW29" s="11">
        <f t="shared" si="27"/>
        <v>0</v>
      </c>
      <c r="BX29" s="11">
        <f t="shared" si="27"/>
        <v>0</v>
      </c>
      <c r="BY29" s="11">
        <f t="shared" si="28"/>
        <v>0</v>
      </c>
      <c r="BZ29" s="11">
        <f t="shared" si="29"/>
        <v>0</v>
      </c>
      <c r="CA29" s="11">
        <f t="shared" si="30"/>
        <v>0</v>
      </c>
      <c r="CB29" s="11">
        <f t="shared" si="31"/>
        <v>0</v>
      </c>
      <c r="CC29" s="11">
        <f t="shared" si="32"/>
        <v>0</v>
      </c>
      <c r="CD29" s="11">
        <f t="shared" si="32"/>
        <v>0</v>
      </c>
      <c r="CE29" s="11">
        <f t="shared" si="33"/>
        <v>0</v>
      </c>
      <c r="CF29" s="11">
        <f t="shared" si="34"/>
        <v>0</v>
      </c>
      <c r="CG29" s="11">
        <f t="shared" si="35"/>
        <v>0</v>
      </c>
      <c r="CH29" s="16" t="e">
        <f t="shared" si="36"/>
        <v>#DIV/0!</v>
      </c>
      <c r="CI29" s="16" t="e">
        <f t="shared" si="36"/>
        <v>#DIV/0!</v>
      </c>
      <c r="CJ29" s="16" t="e">
        <f t="shared" si="37"/>
        <v>#DIV/0!</v>
      </c>
      <c r="CK29" s="16" t="e">
        <f t="shared" si="37"/>
        <v>#DIV/0!</v>
      </c>
      <c r="CL29" s="16" t="e">
        <f t="shared" si="38"/>
        <v>#DIV/0!</v>
      </c>
      <c r="CM29" s="16" t="e">
        <f t="shared" si="39"/>
        <v>#DIV/0!</v>
      </c>
    </row>
    <row r="30" spans="1:91" x14ac:dyDescent="0.25">
      <c r="A30" s="25"/>
      <c r="B30" s="26"/>
      <c r="C30" s="27"/>
      <c r="D30" s="26"/>
      <c r="E30" s="28"/>
      <c r="F30" s="30"/>
      <c r="G30" s="28"/>
      <c r="H30" s="28"/>
      <c r="I30" s="28"/>
      <c r="J30" s="28"/>
      <c r="K30" s="28"/>
      <c r="L30" s="30"/>
      <c r="M30" s="30"/>
      <c r="N30" s="30"/>
      <c r="O30" s="30"/>
      <c r="P30" s="30"/>
      <c r="Q30" s="30"/>
      <c r="R30" s="26"/>
      <c r="S30" s="30"/>
      <c r="T30" s="30"/>
      <c r="U30" s="30"/>
      <c r="V30" s="30"/>
      <c r="W30" s="2" t="str">
        <f t="shared" si="0"/>
        <v/>
      </c>
      <c r="X30" s="30"/>
      <c r="Y30" s="30"/>
      <c r="Z30" s="30"/>
      <c r="AA30" s="25"/>
      <c r="AE30" s="5"/>
      <c r="AI30" t="s">
        <v>43</v>
      </c>
      <c r="AJ30">
        <f t="shared" si="6"/>
        <v>0</v>
      </c>
      <c r="AK30">
        <f t="shared" si="7"/>
        <v>0</v>
      </c>
      <c r="AL30">
        <f t="shared" si="8"/>
        <v>0</v>
      </c>
      <c r="AM30">
        <f t="shared" si="9"/>
        <v>0</v>
      </c>
      <c r="AN30">
        <f t="shared" si="40"/>
        <v>0</v>
      </c>
      <c r="AO30">
        <f t="shared" si="10"/>
        <v>0</v>
      </c>
      <c r="AP30">
        <f t="shared" si="11"/>
        <v>0</v>
      </c>
      <c r="AQ30">
        <f t="shared" si="12"/>
        <v>0</v>
      </c>
      <c r="AR30">
        <f t="shared" si="13"/>
        <v>0</v>
      </c>
      <c r="AS30">
        <f t="shared" si="14"/>
        <v>0</v>
      </c>
      <c r="AT30">
        <f t="shared" si="15"/>
        <v>0</v>
      </c>
      <c r="AU30">
        <f t="shared" si="16"/>
        <v>0</v>
      </c>
      <c r="AV30">
        <f t="shared" si="17"/>
        <v>0</v>
      </c>
      <c r="AW30">
        <f t="shared" si="18"/>
        <v>0</v>
      </c>
      <c r="AX30">
        <f t="shared" si="19"/>
        <v>0</v>
      </c>
      <c r="AY30">
        <f t="shared" si="20"/>
        <v>0</v>
      </c>
      <c r="AZ30">
        <f t="shared" si="21"/>
        <v>0</v>
      </c>
      <c r="BA30">
        <f t="shared" si="22"/>
        <v>0</v>
      </c>
      <c r="BB30">
        <f t="shared" si="23"/>
        <v>0</v>
      </c>
      <c r="BC30">
        <f t="shared" si="41"/>
        <v>0</v>
      </c>
      <c r="BD30">
        <f t="shared" si="41"/>
        <v>0</v>
      </c>
      <c r="BE30">
        <f t="shared" si="42"/>
        <v>0</v>
      </c>
      <c r="BF30">
        <f t="shared" si="43"/>
        <v>0</v>
      </c>
      <c r="BG30">
        <f t="shared" si="44"/>
        <v>0</v>
      </c>
      <c r="BH30" t="e">
        <f t="shared" si="45"/>
        <v>#DIV/0!</v>
      </c>
      <c r="BI30" t="e">
        <f t="shared" si="45"/>
        <v>#DIV/0!</v>
      </c>
      <c r="BJ30" t="e">
        <f t="shared" si="46"/>
        <v>#DIV/0!</v>
      </c>
      <c r="BK30" t="e">
        <f t="shared" si="46"/>
        <v>#DIV/0!</v>
      </c>
      <c r="BL30" t="e">
        <f t="shared" si="24"/>
        <v>#DIV/0!</v>
      </c>
      <c r="BM30" t="e">
        <f t="shared" si="25"/>
        <v>#DIV/0!</v>
      </c>
      <c r="BO30" t="str">
        <f t="shared" si="26"/>
        <v>WPG</v>
      </c>
      <c r="BP30" s="11">
        <f t="shared" si="27"/>
        <v>0</v>
      </c>
      <c r="BQ30" s="11">
        <f t="shared" si="27"/>
        <v>0</v>
      </c>
      <c r="BR30" s="11">
        <f t="shared" si="27"/>
        <v>0</v>
      </c>
      <c r="BS30" s="11">
        <f t="shared" si="27"/>
        <v>0</v>
      </c>
      <c r="BT30" s="11">
        <f t="shared" si="27"/>
        <v>0</v>
      </c>
      <c r="BU30" s="11">
        <f t="shared" si="27"/>
        <v>0</v>
      </c>
      <c r="BV30" s="11">
        <f t="shared" si="27"/>
        <v>0</v>
      </c>
      <c r="BW30" s="11">
        <f t="shared" si="27"/>
        <v>0</v>
      </c>
      <c r="BX30" s="11">
        <f t="shared" si="27"/>
        <v>0</v>
      </c>
      <c r="BY30" s="11">
        <f t="shared" si="28"/>
        <v>0</v>
      </c>
      <c r="BZ30" s="11">
        <f t="shared" si="29"/>
        <v>0</v>
      </c>
      <c r="CA30" s="11">
        <f t="shared" si="30"/>
        <v>0</v>
      </c>
      <c r="CB30" s="11">
        <f t="shared" si="31"/>
        <v>0</v>
      </c>
      <c r="CC30" s="11">
        <f t="shared" si="32"/>
        <v>0</v>
      </c>
      <c r="CD30" s="11">
        <f t="shared" si="32"/>
        <v>0</v>
      </c>
      <c r="CE30" s="11">
        <f t="shared" si="33"/>
        <v>0</v>
      </c>
      <c r="CF30" s="11">
        <f t="shared" si="34"/>
        <v>0</v>
      </c>
      <c r="CG30" s="11">
        <f t="shared" si="35"/>
        <v>0</v>
      </c>
      <c r="CH30" s="16" t="e">
        <f t="shared" si="36"/>
        <v>#DIV/0!</v>
      </c>
      <c r="CI30" s="16" t="e">
        <f t="shared" si="36"/>
        <v>#DIV/0!</v>
      </c>
      <c r="CJ30" s="16" t="e">
        <f t="shared" si="37"/>
        <v>#DIV/0!</v>
      </c>
      <c r="CK30" s="16" t="e">
        <f t="shared" si="37"/>
        <v>#DIV/0!</v>
      </c>
      <c r="CL30" s="16" t="e">
        <f t="shared" si="38"/>
        <v>#DIV/0!</v>
      </c>
      <c r="CM30" s="16" t="e">
        <f t="shared" si="39"/>
        <v>#DIV/0!</v>
      </c>
    </row>
    <row r="31" spans="1:91" x14ac:dyDescent="0.25">
      <c r="A31" s="25"/>
      <c r="B31" s="26"/>
      <c r="C31" s="27"/>
      <c r="D31" s="26"/>
      <c r="E31" s="28"/>
      <c r="F31" s="30"/>
      <c r="G31" s="28"/>
      <c r="H31" s="28"/>
      <c r="I31" s="28"/>
      <c r="J31" s="28"/>
      <c r="K31" s="28"/>
      <c r="L31" s="30"/>
      <c r="M31" s="30"/>
      <c r="N31" s="30"/>
      <c r="O31" s="30"/>
      <c r="P31" s="30"/>
      <c r="Q31" s="30"/>
      <c r="R31" s="26"/>
      <c r="S31" s="30"/>
      <c r="T31" s="30"/>
      <c r="U31" s="30"/>
      <c r="V31" s="30"/>
      <c r="W31" s="2" t="str">
        <f t="shared" si="0"/>
        <v/>
      </c>
      <c r="X31" s="30"/>
      <c r="Y31" s="30"/>
      <c r="Z31" s="30"/>
      <c r="AA31" s="25"/>
      <c r="AE31" s="5"/>
      <c r="AI31" t="s">
        <v>158</v>
      </c>
      <c r="AJ31">
        <f t="shared" si="6"/>
        <v>0</v>
      </c>
      <c r="AK31">
        <f t="shared" si="7"/>
        <v>0</v>
      </c>
      <c r="AL31">
        <f t="shared" si="8"/>
        <v>0</v>
      </c>
      <c r="AM31">
        <f t="shared" si="9"/>
        <v>0</v>
      </c>
      <c r="AN31">
        <f t="shared" si="40"/>
        <v>0</v>
      </c>
      <c r="AO31">
        <f t="shared" si="10"/>
        <v>0</v>
      </c>
      <c r="AP31">
        <f t="shared" si="11"/>
        <v>0</v>
      </c>
      <c r="AQ31">
        <f t="shared" si="12"/>
        <v>0</v>
      </c>
      <c r="AR31">
        <f t="shared" si="13"/>
        <v>0</v>
      </c>
      <c r="AS31">
        <f t="shared" si="14"/>
        <v>0</v>
      </c>
      <c r="AT31">
        <f t="shared" si="15"/>
        <v>0</v>
      </c>
      <c r="AU31">
        <f t="shared" si="16"/>
        <v>0</v>
      </c>
      <c r="AV31">
        <f t="shared" si="17"/>
        <v>0</v>
      </c>
      <c r="AW31">
        <f t="shared" si="18"/>
        <v>0</v>
      </c>
      <c r="AX31">
        <f t="shared" si="19"/>
        <v>0</v>
      </c>
      <c r="AY31">
        <f t="shared" si="20"/>
        <v>0</v>
      </c>
      <c r="AZ31">
        <f t="shared" si="21"/>
        <v>0</v>
      </c>
      <c r="BA31">
        <f t="shared" si="22"/>
        <v>0</v>
      </c>
      <c r="BB31">
        <f t="shared" si="23"/>
        <v>0</v>
      </c>
      <c r="BC31">
        <f t="shared" si="41"/>
        <v>0</v>
      </c>
      <c r="BD31">
        <f t="shared" si="41"/>
        <v>0</v>
      </c>
      <c r="BE31">
        <f t="shared" si="42"/>
        <v>0</v>
      </c>
      <c r="BF31">
        <f t="shared" si="43"/>
        <v>0</v>
      </c>
      <c r="BG31">
        <f t="shared" si="44"/>
        <v>0</v>
      </c>
      <c r="BH31" t="e">
        <f t="shared" si="45"/>
        <v>#DIV/0!</v>
      </c>
      <c r="BI31" t="e">
        <f t="shared" si="45"/>
        <v>#DIV/0!</v>
      </c>
      <c r="BJ31" t="e">
        <f t="shared" si="46"/>
        <v>#DIV/0!</v>
      </c>
      <c r="BK31" t="e">
        <f t="shared" si="46"/>
        <v>#DIV/0!</v>
      </c>
      <c r="BL31" t="e">
        <f t="shared" si="24"/>
        <v>#DIV/0!</v>
      </c>
      <c r="BM31" t="e">
        <f t="shared" si="25"/>
        <v>#DIV/0!</v>
      </c>
      <c r="BO31" t="str">
        <f t="shared" si="26"/>
        <v>STL</v>
      </c>
      <c r="BP31" s="11">
        <f t="shared" si="27"/>
        <v>0</v>
      </c>
      <c r="BQ31" s="11">
        <f t="shared" si="27"/>
        <v>0</v>
      </c>
      <c r="BR31" s="11">
        <f t="shared" si="27"/>
        <v>0</v>
      </c>
      <c r="BS31" s="11">
        <f t="shared" si="27"/>
        <v>0</v>
      </c>
      <c r="BT31" s="11">
        <f t="shared" si="27"/>
        <v>0</v>
      </c>
      <c r="BU31" s="11">
        <f t="shared" si="27"/>
        <v>0</v>
      </c>
      <c r="BV31" s="11">
        <f t="shared" si="27"/>
        <v>0</v>
      </c>
      <c r="BW31" s="11">
        <f t="shared" si="27"/>
        <v>0</v>
      </c>
      <c r="BX31" s="11">
        <f t="shared" si="27"/>
        <v>0</v>
      </c>
      <c r="BY31" s="11">
        <f t="shared" si="28"/>
        <v>0</v>
      </c>
      <c r="BZ31" s="11">
        <f t="shared" si="29"/>
        <v>0</v>
      </c>
      <c r="CA31" s="11">
        <f t="shared" si="30"/>
        <v>0</v>
      </c>
      <c r="CB31" s="11">
        <f t="shared" si="31"/>
        <v>0</v>
      </c>
      <c r="CC31" s="11">
        <f t="shared" si="32"/>
        <v>0</v>
      </c>
      <c r="CD31" s="11">
        <f t="shared" si="32"/>
        <v>0</v>
      </c>
      <c r="CE31" s="11">
        <f t="shared" si="33"/>
        <v>0</v>
      </c>
      <c r="CF31" s="11">
        <f t="shared" si="34"/>
        <v>0</v>
      </c>
      <c r="CG31" s="11">
        <f t="shared" si="35"/>
        <v>0</v>
      </c>
      <c r="CH31" s="16" t="e">
        <f t="shared" si="36"/>
        <v>#DIV/0!</v>
      </c>
      <c r="CI31" s="16" t="e">
        <f t="shared" si="36"/>
        <v>#DIV/0!</v>
      </c>
      <c r="CJ31" s="16" t="e">
        <f t="shared" si="37"/>
        <v>#DIV/0!</v>
      </c>
      <c r="CK31" s="16" t="e">
        <f t="shared" si="37"/>
        <v>#DIV/0!</v>
      </c>
      <c r="CL31" s="16" t="e">
        <f t="shared" si="38"/>
        <v>#DIV/0!</v>
      </c>
      <c r="CM31" s="16" t="e">
        <f t="shared" si="39"/>
        <v>#DIV/0!</v>
      </c>
    </row>
    <row r="32" spans="1:91" x14ac:dyDescent="0.25">
      <c r="A32" s="25"/>
      <c r="B32" s="26"/>
      <c r="C32" s="27"/>
      <c r="D32" s="26"/>
      <c r="E32" s="28"/>
      <c r="F32" s="30"/>
      <c r="G32" s="28"/>
      <c r="H32" s="28"/>
      <c r="I32" s="28"/>
      <c r="J32" s="28"/>
      <c r="K32" s="28"/>
      <c r="L32" s="30"/>
      <c r="M32" s="30"/>
      <c r="N32" s="30"/>
      <c r="O32" s="30"/>
      <c r="P32" s="30"/>
      <c r="Q32" s="30"/>
      <c r="R32" s="26"/>
      <c r="S32" s="30"/>
      <c r="T32" s="30"/>
      <c r="U32" s="30"/>
      <c r="V32" s="30"/>
      <c r="W32" s="2" t="str">
        <f t="shared" si="0"/>
        <v/>
      </c>
      <c r="X32" s="30"/>
      <c r="Y32" s="30"/>
      <c r="Z32" s="30"/>
      <c r="AA32" s="25"/>
      <c r="AE32" s="5"/>
      <c r="AI32" t="s">
        <v>50</v>
      </c>
      <c r="AJ32">
        <f t="shared" si="6"/>
        <v>1</v>
      </c>
      <c r="AK32">
        <f t="shared" si="7"/>
        <v>0</v>
      </c>
      <c r="AL32">
        <f t="shared" si="8"/>
        <v>0</v>
      </c>
      <c r="AM32">
        <f t="shared" si="9"/>
        <v>0</v>
      </c>
      <c r="AN32">
        <f t="shared" si="40"/>
        <v>1</v>
      </c>
      <c r="AO32">
        <f t="shared" si="10"/>
        <v>1</v>
      </c>
      <c r="AP32">
        <f t="shared" si="11"/>
        <v>0</v>
      </c>
      <c r="AQ32">
        <f t="shared" si="12"/>
        <v>0</v>
      </c>
      <c r="AR32">
        <f t="shared" si="13"/>
        <v>1</v>
      </c>
      <c r="AS32">
        <f t="shared" si="14"/>
        <v>0</v>
      </c>
      <c r="AT32">
        <f t="shared" si="15"/>
        <v>0</v>
      </c>
      <c r="AU32">
        <f t="shared" si="16"/>
        <v>0</v>
      </c>
      <c r="AV32">
        <f t="shared" si="17"/>
        <v>0</v>
      </c>
      <c r="AW32">
        <f t="shared" si="18"/>
        <v>1</v>
      </c>
      <c r="AX32">
        <f t="shared" si="19"/>
        <v>0</v>
      </c>
      <c r="AY32">
        <f t="shared" si="20"/>
        <v>0</v>
      </c>
      <c r="AZ32">
        <f t="shared" si="21"/>
        <v>0</v>
      </c>
      <c r="BA32">
        <f t="shared" si="22"/>
        <v>0</v>
      </c>
      <c r="BB32">
        <f t="shared" si="23"/>
        <v>0</v>
      </c>
      <c r="BC32">
        <f t="shared" si="41"/>
        <v>0</v>
      </c>
      <c r="BD32">
        <f t="shared" si="41"/>
        <v>0</v>
      </c>
      <c r="BE32">
        <f t="shared" si="42"/>
        <v>0</v>
      </c>
      <c r="BF32">
        <f t="shared" si="43"/>
        <v>0</v>
      </c>
      <c r="BG32">
        <f t="shared" si="44"/>
        <v>0</v>
      </c>
      <c r="BH32">
        <f t="shared" si="45"/>
        <v>0</v>
      </c>
      <c r="BI32" t="e">
        <f t="shared" si="45"/>
        <v>#DIV/0!</v>
      </c>
      <c r="BJ32">
        <f t="shared" si="46"/>
        <v>0</v>
      </c>
      <c r="BK32" t="e">
        <f t="shared" si="46"/>
        <v>#DIV/0!</v>
      </c>
      <c r="BL32">
        <f t="shared" si="24"/>
        <v>0</v>
      </c>
      <c r="BM32">
        <f t="shared" si="25"/>
        <v>0</v>
      </c>
      <c r="BO32" t="str">
        <f t="shared" si="26"/>
        <v>DAL</v>
      </c>
      <c r="BP32" s="11">
        <f t="shared" si="27"/>
        <v>1</v>
      </c>
      <c r="BQ32" s="11">
        <f t="shared" si="27"/>
        <v>1</v>
      </c>
      <c r="BR32" s="11">
        <f t="shared" si="27"/>
        <v>0</v>
      </c>
      <c r="BS32" s="11">
        <f t="shared" si="27"/>
        <v>0</v>
      </c>
      <c r="BT32" s="11">
        <f t="shared" si="27"/>
        <v>1</v>
      </c>
      <c r="BU32" s="11">
        <f t="shared" si="27"/>
        <v>0</v>
      </c>
      <c r="BV32" s="11">
        <f t="shared" si="27"/>
        <v>0</v>
      </c>
      <c r="BW32" s="11">
        <f t="shared" si="27"/>
        <v>0</v>
      </c>
      <c r="BX32" s="11">
        <f t="shared" si="27"/>
        <v>0</v>
      </c>
      <c r="BY32" s="11">
        <f t="shared" si="28"/>
        <v>0</v>
      </c>
      <c r="BZ32" s="11">
        <f t="shared" si="29"/>
        <v>0</v>
      </c>
      <c r="CA32" s="11">
        <f t="shared" si="30"/>
        <v>0</v>
      </c>
      <c r="CB32" s="11">
        <f t="shared" si="31"/>
        <v>0</v>
      </c>
      <c r="CC32" s="11">
        <f t="shared" si="32"/>
        <v>0</v>
      </c>
      <c r="CD32" s="11">
        <f t="shared" si="32"/>
        <v>0</v>
      </c>
      <c r="CE32" s="11">
        <f t="shared" si="33"/>
        <v>0</v>
      </c>
      <c r="CF32" s="11">
        <f t="shared" si="34"/>
        <v>0</v>
      </c>
      <c r="CG32" s="11">
        <f t="shared" si="35"/>
        <v>0</v>
      </c>
      <c r="CH32" s="16">
        <f t="shared" si="36"/>
        <v>0</v>
      </c>
      <c r="CI32" s="16" t="e">
        <f t="shared" si="36"/>
        <v>#DIV/0!</v>
      </c>
      <c r="CJ32" s="16">
        <f t="shared" si="37"/>
        <v>0</v>
      </c>
      <c r="CK32" s="16" t="e">
        <f t="shared" si="37"/>
        <v>#DIV/0!</v>
      </c>
      <c r="CL32" s="16">
        <f t="shared" si="38"/>
        <v>0</v>
      </c>
      <c r="CM32" s="16">
        <f t="shared" si="39"/>
        <v>0</v>
      </c>
    </row>
    <row r="33" spans="1:91" x14ac:dyDescent="0.25">
      <c r="A33" s="25"/>
      <c r="B33" s="26"/>
      <c r="C33" s="27"/>
      <c r="D33" s="26"/>
      <c r="E33" s="28"/>
      <c r="F33" s="30"/>
      <c r="G33" s="28"/>
      <c r="H33" s="28"/>
      <c r="I33" s="28"/>
      <c r="J33" s="28"/>
      <c r="K33" s="28"/>
      <c r="L33" s="30"/>
      <c r="M33" s="30"/>
      <c r="N33" s="30"/>
      <c r="O33" s="30"/>
      <c r="P33" s="30"/>
      <c r="Q33" s="30"/>
      <c r="R33" s="26"/>
      <c r="S33" s="30"/>
      <c r="T33" s="30"/>
      <c r="U33" s="30"/>
      <c r="V33" s="30"/>
      <c r="W33" s="2" t="str">
        <f t="shared" si="0"/>
        <v/>
      </c>
      <c r="X33" s="30"/>
      <c r="Y33" s="30"/>
      <c r="Z33" s="30"/>
      <c r="AA33" s="25"/>
      <c r="AE33" s="5"/>
      <c r="AI33" t="s">
        <v>44</v>
      </c>
      <c r="AJ33">
        <f t="shared" si="6"/>
        <v>0</v>
      </c>
      <c r="AK33">
        <f t="shared" si="7"/>
        <v>0</v>
      </c>
      <c r="AL33">
        <f t="shared" si="8"/>
        <v>0</v>
      </c>
      <c r="AM33">
        <f t="shared" si="9"/>
        <v>0</v>
      </c>
      <c r="AN33">
        <f t="shared" si="40"/>
        <v>0</v>
      </c>
      <c r="AO33">
        <f t="shared" si="10"/>
        <v>0</v>
      </c>
      <c r="AP33">
        <f t="shared" si="11"/>
        <v>0</v>
      </c>
      <c r="AQ33">
        <f t="shared" si="12"/>
        <v>0</v>
      </c>
      <c r="AR33">
        <f t="shared" si="13"/>
        <v>0</v>
      </c>
      <c r="AS33">
        <f t="shared" si="14"/>
        <v>0</v>
      </c>
      <c r="AT33">
        <f t="shared" si="15"/>
        <v>0</v>
      </c>
      <c r="AU33">
        <f t="shared" si="16"/>
        <v>0</v>
      </c>
      <c r="AV33">
        <f t="shared" si="17"/>
        <v>0</v>
      </c>
      <c r="AW33">
        <f t="shared" si="18"/>
        <v>0</v>
      </c>
      <c r="AX33">
        <f t="shared" si="19"/>
        <v>0</v>
      </c>
      <c r="AY33">
        <f t="shared" si="20"/>
        <v>0</v>
      </c>
      <c r="AZ33">
        <f t="shared" si="21"/>
        <v>0</v>
      </c>
      <c r="BA33">
        <f t="shared" si="22"/>
        <v>0</v>
      </c>
      <c r="BB33">
        <f t="shared" si="23"/>
        <v>0</v>
      </c>
      <c r="BC33">
        <f t="shared" si="41"/>
        <v>0</v>
      </c>
      <c r="BD33">
        <f t="shared" si="41"/>
        <v>0</v>
      </c>
      <c r="BE33">
        <f t="shared" si="42"/>
        <v>0</v>
      </c>
      <c r="BF33">
        <f t="shared" si="43"/>
        <v>0</v>
      </c>
      <c r="BG33">
        <f t="shared" si="44"/>
        <v>0</v>
      </c>
      <c r="BH33" t="e">
        <f t="shared" si="45"/>
        <v>#DIV/0!</v>
      </c>
      <c r="BI33" t="e">
        <f t="shared" si="45"/>
        <v>#DIV/0!</v>
      </c>
      <c r="BJ33" t="e">
        <f t="shared" si="46"/>
        <v>#DIV/0!</v>
      </c>
      <c r="BK33" t="e">
        <f t="shared" si="46"/>
        <v>#DIV/0!</v>
      </c>
      <c r="BL33" t="e">
        <f t="shared" si="24"/>
        <v>#DIV/0!</v>
      </c>
      <c r="BM33" t="e">
        <f t="shared" si="25"/>
        <v>#DIV/0!</v>
      </c>
      <c r="BO33" t="str">
        <f t="shared" si="26"/>
        <v>COL</v>
      </c>
      <c r="BP33" s="11">
        <f t="shared" si="27"/>
        <v>0</v>
      </c>
      <c r="BQ33" s="11">
        <f t="shared" si="27"/>
        <v>0</v>
      </c>
      <c r="BR33" s="11">
        <f t="shared" si="27"/>
        <v>0</v>
      </c>
      <c r="BS33" s="11">
        <f t="shared" si="27"/>
        <v>0</v>
      </c>
      <c r="BT33" s="11">
        <f t="shared" si="27"/>
        <v>0</v>
      </c>
      <c r="BU33" s="11">
        <f t="shared" si="27"/>
        <v>0</v>
      </c>
      <c r="BV33" s="11">
        <f t="shared" si="27"/>
        <v>0</v>
      </c>
      <c r="BW33" s="11">
        <f t="shared" si="27"/>
        <v>0</v>
      </c>
      <c r="BX33" s="11">
        <f t="shared" si="27"/>
        <v>0</v>
      </c>
      <c r="BY33" s="11">
        <f t="shared" si="28"/>
        <v>0</v>
      </c>
      <c r="BZ33" s="11">
        <f t="shared" si="29"/>
        <v>0</v>
      </c>
      <c r="CA33" s="11">
        <f t="shared" si="30"/>
        <v>0</v>
      </c>
      <c r="CB33" s="11">
        <f t="shared" si="31"/>
        <v>0</v>
      </c>
      <c r="CC33" s="11">
        <f t="shared" si="32"/>
        <v>0</v>
      </c>
      <c r="CD33" s="11">
        <f t="shared" si="32"/>
        <v>0</v>
      </c>
      <c r="CE33" s="11">
        <f t="shared" si="33"/>
        <v>0</v>
      </c>
      <c r="CF33" s="11">
        <f t="shared" si="34"/>
        <v>0</v>
      </c>
      <c r="CG33" s="11">
        <f t="shared" si="35"/>
        <v>0</v>
      </c>
      <c r="CH33" s="16" t="e">
        <f t="shared" si="36"/>
        <v>#DIV/0!</v>
      </c>
      <c r="CI33" s="16" t="e">
        <f t="shared" si="36"/>
        <v>#DIV/0!</v>
      </c>
      <c r="CJ33" s="16" t="e">
        <f t="shared" si="37"/>
        <v>#DIV/0!</v>
      </c>
      <c r="CK33" s="16" t="e">
        <f t="shared" si="37"/>
        <v>#DIV/0!</v>
      </c>
      <c r="CL33" s="16" t="e">
        <f t="shared" si="38"/>
        <v>#DIV/0!</v>
      </c>
      <c r="CM33" s="16" t="e">
        <f t="shared" si="39"/>
        <v>#DIV/0!</v>
      </c>
    </row>
    <row r="34" spans="1:91" x14ac:dyDescent="0.25">
      <c r="A34" s="25"/>
      <c r="B34" s="26"/>
      <c r="C34" s="27"/>
      <c r="D34" s="26"/>
      <c r="E34" s="28"/>
      <c r="F34" s="30"/>
      <c r="G34" s="28"/>
      <c r="H34" s="28"/>
      <c r="I34" s="28"/>
      <c r="J34" s="28"/>
      <c r="K34" s="28"/>
      <c r="L34" s="30"/>
      <c r="M34" s="30"/>
      <c r="N34" s="30"/>
      <c r="O34" s="30"/>
      <c r="P34" s="30"/>
      <c r="Q34" s="30"/>
      <c r="R34" s="26"/>
      <c r="S34" s="30"/>
      <c r="T34" s="30"/>
      <c r="U34" s="30"/>
      <c r="V34" s="30"/>
      <c r="W34" s="2" t="str">
        <f t="shared" si="0"/>
        <v/>
      </c>
      <c r="X34" s="30"/>
      <c r="Y34" s="30"/>
      <c r="Z34" s="30"/>
      <c r="AA34" s="25"/>
      <c r="AE34" s="5"/>
      <c r="AI34" t="s">
        <v>51</v>
      </c>
      <c r="AJ34">
        <f t="shared" si="6"/>
        <v>0</v>
      </c>
      <c r="AK34">
        <f t="shared" si="7"/>
        <v>0</v>
      </c>
      <c r="AL34">
        <f t="shared" si="8"/>
        <v>0</v>
      </c>
      <c r="AM34">
        <f t="shared" si="9"/>
        <v>0</v>
      </c>
      <c r="AN34">
        <f t="shared" si="40"/>
        <v>0</v>
      </c>
      <c r="AO34">
        <f t="shared" si="10"/>
        <v>0</v>
      </c>
      <c r="AP34">
        <f t="shared" si="11"/>
        <v>0</v>
      </c>
      <c r="AQ34">
        <f t="shared" si="12"/>
        <v>0</v>
      </c>
      <c r="AR34">
        <f t="shared" si="13"/>
        <v>0</v>
      </c>
      <c r="AS34">
        <f t="shared" si="14"/>
        <v>0</v>
      </c>
      <c r="AT34">
        <f t="shared" si="15"/>
        <v>0</v>
      </c>
      <c r="AU34">
        <f t="shared" si="16"/>
        <v>0</v>
      </c>
      <c r="AV34">
        <f t="shared" si="17"/>
        <v>0</v>
      </c>
      <c r="AW34">
        <f t="shared" si="18"/>
        <v>0</v>
      </c>
      <c r="AX34">
        <f t="shared" si="19"/>
        <v>0</v>
      </c>
      <c r="AY34">
        <f t="shared" si="20"/>
        <v>0</v>
      </c>
      <c r="AZ34">
        <f t="shared" si="21"/>
        <v>0</v>
      </c>
      <c r="BA34">
        <f t="shared" si="22"/>
        <v>0</v>
      </c>
      <c r="BB34">
        <f t="shared" si="23"/>
        <v>0</v>
      </c>
      <c r="BC34">
        <f t="shared" si="41"/>
        <v>0</v>
      </c>
      <c r="BD34">
        <f t="shared" si="41"/>
        <v>0</v>
      </c>
      <c r="BE34">
        <f t="shared" si="42"/>
        <v>0</v>
      </c>
      <c r="BF34">
        <f t="shared" si="43"/>
        <v>0</v>
      </c>
      <c r="BG34">
        <f t="shared" si="44"/>
        <v>0</v>
      </c>
      <c r="BH34" t="e">
        <f t="shared" si="45"/>
        <v>#DIV/0!</v>
      </c>
      <c r="BI34" t="e">
        <f t="shared" si="45"/>
        <v>#DIV/0!</v>
      </c>
      <c r="BJ34" t="e">
        <f t="shared" si="46"/>
        <v>#DIV/0!</v>
      </c>
      <c r="BK34" t="e">
        <f t="shared" si="46"/>
        <v>#DIV/0!</v>
      </c>
      <c r="BL34" t="e">
        <f t="shared" si="24"/>
        <v>#DIV/0!</v>
      </c>
      <c r="BM34" t="e">
        <f t="shared" si="25"/>
        <v>#DIV/0!</v>
      </c>
      <c r="BO34" t="str">
        <f t="shared" si="26"/>
        <v>VGK</v>
      </c>
      <c r="BP34" s="11">
        <f t="shared" si="27"/>
        <v>0</v>
      </c>
      <c r="BQ34" s="11">
        <f t="shared" si="27"/>
        <v>0</v>
      </c>
      <c r="BR34" s="11">
        <f t="shared" si="27"/>
        <v>0</v>
      </c>
      <c r="BS34" s="11">
        <f t="shared" si="27"/>
        <v>0</v>
      </c>
      <c r="BT34" s="11">
        <f t="shared" si="27"/>
        <v>0</v>
      </c>
      <c r="BU34" s="11">
        <f t="shared" si="27"/>
        <v>0</v>
      </c>
      <c r="BV34" s="11">
        <f t="shared" si="27"/>
        <v>0</v>
      </c>
      <c r="BW34" s="11">
        <f t="shared" si="27"/>
        <v>0</v>
      </c>
      <c r="BX34" s="11">
        <f t="shared" si="27"/>
        <v>0</v>
      </c>
      <c r="BY34" s="11">
        <f t="shared" si="28"/>
        <v>0</v>
      </c>
      <c r="BZ34" s="11">
        <f t="shared" si="29"/>
        <v>0</v>
      </c>
      <c r="CA34" s="11">
        <f t="shared" si="30"/>
        <v>0</v>
      </c>
      <c r="CB34" s="11">
        <f t="shared" si="31"/>
        <v>0</v>
      </c>
      <c r="CC34" s="11">
        <f t="shared" si="32"/>
        <v>0</v>
      </c>
      <c r="CD34" s="11">
        <f t="shared" si="32"/>
        <v>0</v>
      </c>
      <c r="CE34" s="11">
        <f t="shared" si="33"/>
        <v>0</v>
      </c>
      <c r="CF34" s="11">
        <f t="shared" si="34"/>
        <v>0</v>
      </c>
      <c r="CG34" s="11">
        <f t="shared" si="35"/>
        <v>0</v>
      </c>
      <c r="CH34" s="16" t="e">
        <f t="shared" si="36"/>
        <v>#DIV/0!</v>
      </c>
      <c r="CI34" s="16" t="e">
        <f t="shared" si="36"/>
        <v>#DIV/0!</v>
      </c>
      <c r="CJ34" s="16" t="e">
        <f t="shared" si="37"/>
        <v>#DIV/0!</v>
      </c>
      <c r="CK34" s="16" t="e">
        <f t="shared" si="37"/>
        <v>#DIV/0!</v>
      </c>
      <c r="CL34" s="16" t="e">
        <f t="shared" si="38"/>
        <v>#DIV/0!</v>
      </c>
      <c r="CM34" s="16" t="e">
        <f t="shared" si="39"/>
        <v>#DIV/0!</v>
      </c>
    </row>
    <row r="35" spans="1:91" x14ac:dyDescent="0.25">
      <c r="A35" s="25"/>
      <c r="B35" s="26"/>
      <c r="C35" s="27"/>
      <c r="D35" s="30"/>
      <c r="E35" s="28"/>
      <c r="F35" s="30"/>
      <c r="G35" s="28"/>
      <c r="H35" s="28"/>
      <c r="I35" s="28"/>
      <c r="J35" s="28"/>
      <c r="K35" s="28"/>
      <c r="L35" s="30"/>
      <c r="M35" s="30"/>
      <c r="N35" s="30"/>
      <c r="O35" s="30"/>
      <c r="P35" s="30"/>
      <c r="Q35" s="30"/>
      <c r="R35" s="26"/>
      <c r="S35" s="30"/>
      <c r="T35" s="30"/>
      <c r="U35" s="30"/>
      <c r="V35" s="30"/>
      <c r="W35" s="2" t="str">
        <f t="shared" si="0"/>
        <v/>
      </c>
      <c r="X35" s="30"/>
      <c r="Y35" s="30"/>
      <c r="Z35" s="30"/>
      <c r="AA35" s="25"/>
      <c r="AE35" s="5"/>
      <c r="AI35" t="s">
        <v>161</v>
      </c>
      <c r="AJ35">
        <f t="shared" si="6"/>
        <v>1</v>
      </c>
      <c r="AK35">
        <f t="shared" si="7"/>
        <v>0</v>
      </c>
      <c r="AL35">
        <f t="shared" si="8"/>
        <v>0</v>
      </c>
      <c r="AM35">
        <f t="shared" si="9"/>
        <v>0</v>
      </c>
      <c r="AN35">
        <f t="shared" si="40"/>
        <v>1</v>
      </c>
      <c r="AO35">
        <f t="shared" si="10"/>
        <v>0</v>
      </c>
      <c r="AP35">
        <f t="shared" si="11"/>
        <v>1</v>
      </c>
      <c r="AQ35">
        <f t="shared" si="12"/>
        <v>0</v>
      </c>
      <c r="AR35">
        <f t="shared" si="13"/>
        <v>1</v>
      </c>
      <c r="AS35">
        <f t="shared" si="14"/>
        <v>0</v>
      </c>
      <c r="AT35">
        <f t="shared" si="15"/>
        <v>0</v>
      </c>
      <c r="AU35">
        <f t="shared" si="16"/>
        <v>0</v>
      </c>
      <c r="AV35">
        <f t="shared" si="17"/>
        <v>0</v>
      </c>
      <c r="AW35">
        <f t="shared" si="18"/>
        <v>0</v>
      </c>
      <c r="AX35">
        <f t="shared" si="19"/>
        <v>1</v>
      </c>
      <c r="AY35">
        <f t="shared" si="20"/>
        <v>0</v>
      </c>
      <c r="AZ35">
        <f t="shared" si="21"/>
        <v>0</v>
      </c>
      <c r="BA35">
        <f t="shared" si="22"/>
        <v>0</v>
      </c>
      <c r="BB35">
        <f t="shared" si="23"/>
        <v>0</v>
      </c>
      <c r="BC35">
        <f t="shared" si="41"/>
        <v>0</v>
      </c>
      <c r="BD35">
        <f t="shared" si="41"/>
        <v>0</v>
      </c>
      <c r="BE35">
        <f t="shared" si="42"/>
        <v>0</v>
      </c>
      <c r="BF35">
        <f t="shared" si="43"/>
        <v>0</v>
      </c>
      <c r="BG35">
        <f t="shared" si="44"/>
        <v>0</v>
      </c>
      <c r="BH35" t="e">
        <f t="shared" si="45"/>
        <v>#DIV/0!</v>
      </c>
      <c r="BI35">
        <f t="shared" si="45"/>
        <v>0</v>
      </c>
      <c r="BJ35" t="e">
        <f t="shared" si="46"/>
        <v>#DIV/0!</v>
      </c>
      <c r="BK35">
        <f t="shared" si="46"/>
        <v>0</v>
      </c>
      <c r="BL35">
        <f t="shared" si="24"/>
        <v>0</v>
      </c>
      <c r="BM35">
        <f t="shared" si="25"/>
        <v>0</v>
      </c>
      <c r="BO35" t="str">
        <f t="shared" si="26"/>
        <v>MIN</v>
      </c>
      <c r="BP35" s="11">
        <f t="shared" si="27"/>
        <v>1</v>
      </c>
      <c r="BQ35" s="11">
        <f t="shared" si="27"/>
        <v>0</v>
      </c>
      <c r="BR35" s="11">
        <f t="shared" si="27"/>
        <v>1</v>
      </c>
      <c r="BS35" s="11">
        <f t="shared" si="27"/>
        <v>0</v>
      </c>
      <c r="BT35" s="11">
        <f t="shared" si="27"/>
        <v>1</v>
      </c>
      <c r="BU35" s="11">
        <f t="shared" si="27"/>
        <v>0</v>
      </c>
      <c r="BV35" s="11">
        <f t="shared" si="27"/>
        <v>0</v>
      </c>
      <c r="BW35" s="11">
        <f t="shared" si="27"/>
        <v>0</v>
      </c>
      <c r="BX35" s="11">
        <f t="shared" si="27"/>
        <v>0</v>
      </c>
      <c r="BY35" s="11">
        <f t="shared" si="28"/>
        <v>0</v>
      </c>
      <c r="BZ35" s="11">
        <f t="shared" si="29"/>
        <v>0</v>
      </c>
      <c r="CA35" s="11">
        <f t="shared" si="30"/>
        <v>0</v>
      </c>
      <c r="CB35" s="11">
        <f t="shared" si="31"/>
        <v>0</v>
      </c>
      <c r="CC35" s="11">
        <f t="shared" si="32"/>
        <v>0</v>
      </c>
      <c r="CD35" s="11">
        <f t="shared" si="32"/>
        <v>0</v>
      </c>
      <c r="CE35" s="11">
        <f t="shared" si="33"/>
        <v>0</v>
      </c>
      <c r="CF35" s="11">
        <f t="shared" si="34"/>
        <v>0</v>
      </c>
      <c r="CG35" s="11">
        <f t="shared" si="35"/>
        <v>0</v>
      </c>
      <c r="CH35" s="16" t="e">
        <f t="shared" si="36"/>
        <v>#DIV/0!</v>
      </c>
      <c r="CI35" s="16">
        <f t="shared" si="36"/>
        <v>0</v>
      </c>
      <c r="CJ35" s="16" t="e">
        <f t="shared" si="37"/>
        <v>#DIV/0!</v>
      </c>
      <c r="CK35" s="16">
        <f t="shared" si="37"/>
        <v>0</v>
      </c>
      <c r="CL35" s="16">
        <f t="shared" si="38"/>
        <v>0</v>
      </c>
      <c r="CM35" s="16">
        <f t="shared" si="39"/>
        <v>0</v>
      </c>
    </row>
    <row r="36" spans="1:91" x14ac:dyDescent="0.25">
      <c r="A36" s="25"/>
      <c r="B36" s="26"/>
      <c r="C36" s="27"/>
      <c r="D36" s="26"/>
      <c r="E36" s="28"/>
      <c r="F36" s="30"/>
      <c r="G36" s="28"/>
      <c r="H36" s="28"/>
      <c r="I36" s="28"/>
      <c r="J36" s="28"/>
      <c r="K36" s="28"/>
      <c r="L36" s="30"/>
      <c r="M36" s="30"/>
      <c r="N36" s="30"/>
      <c r="O36" s="30"/>
      <c r="P36" s="30"/>
      <c r="Q36" s="30"/>
      <c r="R36" s="26"/>
      <c r="S36" s="30"/>
      <c r="T36" s="30"/>
      <c r="U36" s="30"/>
      <c r="V36" s="30"/>
      <c r="W36" s="2" t="str">
        <f t="shared" si="0"/>
        <v/>
      </c>
      <c r="X36" s="30"/>
      <c r="Y36" s="30"/>
      <c r="Z36" s="30"/>
      <c r="AA36" s="25"/>
      <c r="AE36" s="5"/>
      <c r="AI36" t="s">
        <v>53</v>
      </c>
      <c r="AJ36">
        <f t="shared" si="6"/>
        <v>0</v>
      </c>
      <c r="AK36">
        <f t="shared" si="7"/>
        <v>0</v>
      </c>
      <c r="AL36">
        <f t="shared" si="8"/>
        <v>0</v>
      </c>
      <c r="AM36">
        <f t="shared" si="9"/>
        <v>0</v>
      </c>
      <c r="AN36">
        <f t="shared" si="40"/>
        <v>0</v>
      </c>
      <c r="AO36">
        <f t="shared" si="10"/>
        <v>0</v>
      </c>
      <c r="AP36">
        <f t="shared" si="11"/>
        <v>0</v>
      </c>
      <c r="AQ36">
        <f t="shared" si="12"/>
        <v>0</v>
      </c>
      <c r="AR36">
        <f t="shared" si="13"/>
        <v>0</v>
      </c>
      <c r="AS36">
        <f t="shared" si="14"/>
        <v>0</v>
      </c>
      <c r="AT36">
        <f t="shared" si="15"/>
        <v>0</v>
      </c>
      <c r="AU36">
        <f t="shared" si="16"/>
        <v>0</v>
      </c>
      <c r="AV36">
        <f t="shared" si="17"/>
        <v>0</v>
      </c>
      <c r="AW36">
        <f t="shared" si="18"/>
        <v>0</v>
      </c>
      <c r="AX36">
        <f t="shared" si="19"/>
        <v>0</v>
      </c>
      <c r="AY36">
        <f t="shared" si="20"/>
        <v>0</v>
      </c>
      <c r="AZ36">
        <f t="shared" si="21"/>
        <v>0</v>
      </c>
      <c r="BA36">
        <f t="shared" si="22"/>
        <v>0</v>
      </c>
      <c r="BB36">
        <f t="shared" si="23"/>
        <v>0</v>
      </c>
      <c r="BC36">
        <f t="shared" si="41"/>
        <v>0</v>
      </c>
      <c r="BD36">
        <f t="shared" si="41"/>
        <v>0</v>
      </c>
      <c r="BE36">
        <f t="shared" si="42"/>
        <v>0</v>
      </c>
      <c r="BF36">
        <f t="shared" si="43"/>
        <v>0</v>
      </c>
      <c r="BG36">
        <f t="shared" si="44"/>
        <v>0</v>
      </c>
      <c r="BH36" t="e">
        <f t="shared" si="45"/>
        <v>#DIV/0!</v>
      </c>
      <c r="BI36" t="e">
        <f t="shared" si="45"/>
        <v>#DIV/0!</v>
      </c>
      <c r="BJ36" t="e">
        <f t="shared" si="46"/>
        <v>#DIV/0!</v>
      </c>
      <c r="BK36" t="e">
        <f t="shared" si="46"/>
        <v>#DIV/0!</v>
      </c>
      <c r="BL36" t="e">
        <f t="shared" si="24"/>
        <v>#DIV/0!</v>
      </c>
      <c r="BM36" t="e">
        <f t="shared" si="25"/>
        <v>#DIV/0!</v>
      </c>
      <c r="BO36" t="str">
        <f t="shared" si="26"/>
        <v>LAK</v>
      </c>
      <c r="BP36" s="11">
        <f t="shared" si="27"/>
        <v>0</v>
      </c>
      <c r="BQ36" s="11">
        <f t="shared" si="27"/>
        <v>0</v>
      </c>
      <c r="BR36" s="11">
        <f t="shared" si="27"/>
        <v>0</v>
      </c>
      <c r="BS36" s="11">
        <f t="shared" si="27"/>
        <v>0</v>
      </c>
      <c r="BT36" s="11">
        <f t="shared" si="27"/>
        <v>0</v>
      </c>
      <c r="BU36" s="11">
        <f t="shared" si="27"/>
        <v>0</v>
      </c>
      <c r="BV36" s="11">
        <f t="shared" si="27"/>
        <v>0</v>
      </c>
      <c r="BW36" s="11">
        <f t="shared" si="27"/>
        <v>0</v>
      </c>
      <c r="BX36" s="11">
        <f t="shared" si="27"/>
        <v>0</v>
      </c>
      <c r="BY36" s="11">
        <f t="shared" si="28"/>
        <v>0</v>
      </c>
      <c r="BZ36" s="11">
        <f t="shared" si="29"/>
        <v>0</v>
      </c>
      <c r="CA36" s="11">
        <f t="shared" si="30"/>
        <v>0</v>
      </c>
      <c r="CB36" s="11">
        <f t="shared" si="31"/>
        <v>0</v>
      </c>
      <c r="CC36" s="11">
        <f t="shared" si="32"/>
        <v>0</v>
      </c>
      <c r="CD36" s="11">
        <f t="shared" si="32"/>
        <v>0</v>
      </c>
      <c r="CE36" s="11">
        <f t="shared" si="33"/>
        <v>0</v>
      </c>
      <c r="CF36" s="11">
        <f t="shared" si="34"/>
        <v>0</v>
      </c>
      <c r="CG36" s="11">
        <f t="shared" si="35"/>
        <v>0</v>
      </c>
      <c r="CH36" s="16" t="e">
        <f t="shared" si="36"/>
        <v>#DIV/0!</v>
      </c>
      <c r="CI36" s="16" t="e">
        <f t="shared" si="36"/>
        <v>#DIV/0!</v>
      </c>
      <c r="CJ36" s="16" t="e">
        <f t="shared" si="37"/>
        <v>#DIV/0!</v>
      </c>
      <c r="CK36" s="16" t="e">
        <f t="shared" si="37"/>
        <v>#DIV/0!</v>
      </c>
      <c r="CL36" s="16" t="e">
        <f t="shared" si="38"/>
        <v>#DIV/0!</v>
      </c>
      <c r="CM36" s="16" t="e">
        <f t="shared" si="39"/>
        <v>#DIV/0!</v>
      </c>
    </row>
    <row r="37" spans="1:91" x14ac:dyDescent="0.25">
      <c r="A37" s="25"/>
      <c r="B37" s="26"/>
      <c r="C37" s="27"/>
      <c r="D37" s="26"/>
      <c r="E37" s="28"/>
      <c r="F37" s="30"/>
      <c r="G37" s="28"/>
      <c r="H37" s="28"/>
      <c r="I37" s="28"/>
      <c r="J37" s="28"/>
      <c r="K37" s="28"/>
      <c r="L37" s="30"/>
      <c r="M37" s="30"/>
      <c r="N37" s="30"/>
      <c r="O37" s="30"/>
      <c r="P37" s="30"/>
      <c r="Q37" s="30"/>
      <c r="R37" s="26"/>
      <c r="S37" s="30"/>
      <c r="T37" s="30"/>
      <c r="U37" s="30"/>
      <c r="V37" s="30"/>
      <c r="W37" s="2" t="str">
        <f t="shared" si="0"/>
        <v/>
      </c>
      <c r="X37" s="30"/>
      <c r="Y37" s="30"/>
      <c r="Z37" s="30"/>
      <c r="AA37" s="25"/>
      <c r="AE37" s="5"/>
      <c r="AI37" t="s">
        <v>52</v>
      </c>
      <c r="AJ37">
        <f t="shared" si="6"/>
        <v>0</v>
      </c>
      <c r="AK37">
        <f t="shared" si="7"/>
        <v>0</v>
      </c>
      <c r="AL37">
        <f t="shared" si="8"/>
        <v>0</v>
      </c>
      <c r="AM37">
        <f t="shared" si="9"/>
        <v>0</v>
      </c>
      <c r="AN37">
        <f t="shared" si="40"/>
        <v>0</v>
      </c>
      <c r="AO37">
        <f t="shared" si="10"/>
        <v>0</v>
      </c>
      <c r="AP37">
        <f t="shared" si="11"/>
        <v>0</v>
      </c>
      <c r="AQ37">
        <f t="shared" si="12"/>
        <v>0</v>
      </c>
      <c r="AR37">
        <f t="shared" si="13"/>
        <v>0</v>
      </c>
      <c r="AS37">
        <f t="shared" si="14"/>
        <v>0</v>
      </c>
      <c r="AT37">
        <f t="shared" si="15"/>
        <v>0</v>
      </c>
      <c r="AU37">
        <f t="shared" si="16"/>
        <v>0</v>
      </c>
      <c r="AV37">
        <f t="shared" si="17"/>
        <v>0</v>
      </c>
      <c r="AW37">
        <f t="shared" si="18"/>
        <v>0</v>
      </c>
      <c r="AX37">
        <f t="shared" si="19"/>
        <v>0</v>
      </c>
      <c r="AY37">
        <f t="shared" si="20"/>
        <v>0</v>
      </c>
      <c r="AZ37">
        <f t="shared" si="21"/>
        <v>0</v>
      </c>
      <c r="BA37">
        <f t="shared" si="22"/>
        <v>0</v>
      </c>
      <c r="BB37">
        <f t="shared" si="23"/>
        <v>0</v>
      </c>
      <c r="BC37">
        <f t="shared" si="41"/>
        <v>0</v>
      </c>
      <c r="BD37">
        <f t="shared" si="41"/>
        <v>0</v>
      </c>
      <c r="BE37">
        <f t="shared" si="42"/>
        <v>0</v>
      </c>
      <c r="BF37">
        <f t="shared" si="43"/>
        <v>0</v>
      </c>
      <c r="BG37">
        <f t="shared" si="44"/>
        <v>0</v>
      </c>
      <c r="BH37" t="e">
        <f t="shared" si="45"/>
        <v>#DIV/0!</v>
      </c>
      <c r="BI37" t="e">
        <f t="shared" si="45"/>
        <v>#DIV/0!</v>
      </c>
      <c r="BJ37" t="e">
        <f t="shared" si="46"/>
        <v>#DIV/0!</v>
      </c>
      <c r="BK37" t="e">
        <f t="shared" si="46"/>
        <v>#DIV/0!</v>
      </c>
      <c r="BL37" t="e">
        <f t="shared" si="24"/>
        <v>#DIV/0!</v>
      </c>
      <c r="BM37" t="e">
        <f t="shared" si="25"/>
        <v>#DIV/0!</v>
      </c>
      <c r="BO37" t="str">
        <f t="shared" si="26"/>
        <v>EDM</v>
      </c>
      <c r="BP37" s="11">
        <f t="shared" si="27"/>
        <v>0</v>
      </c>
      <c r="BQ37" s="11">
        <f t="shared" si="27"/>
        <v>0</v>
      </c>
      <c r="BR37" s="11">
        <f t="shared" si="27"/>
        <v>0</v>
      </c>
      <c r="BS37" s="11">
        <f t="shared" si="27"/>
        <v>0</v>
      </c>
      <c r="BT37" s="11">
        <f t="shared" si="27"/>
        <v>0</v>
      </c>
      <c r="BU37" s="11">
        <f t="shared" si="27"/>
        <v>0</v>
      </c>
      <c r="BV37" s="11">
        <f t="shared" si="27"/>
        <v>0</v>
      </c>
      <c r="BW37" s="11">
        <f t="shared" si="27"/>
        <v>0</v>
      </c>
      <c r="BX37" s="11">
        <f t="shared" si="27"/>
        <v>0</v>
      </c>
      <c r="BY37" s="11">
        <f t="shared" si="28"/>
        <v>0</v>
      </c>
      <c r="BZ37" s="11">
        <f t="shared" si="29"/>
        <v>0</v>
      </c>
      <c r="CA37" s="11">
        <f t="shared" si="30"/>
        <v>0</v>
      </c>
      <c r="CB37" s="11">
        <f t="shared" si="31"/>
        <v>0</v>
      </c>
      <c r="CC37" s="11">
        <f t="shared" si="32"/>
        <v>0</v>
      </c>
      <c r="CD37" s="11">
        <f t="shared" si="32"/>
        <v>0</v>
      </c>
      <c r="CE37" s="11">
        <f t="shared" si="33"/>
        <v>0</v>
      </c>
      <c r="CF37" s="11">
        <f t="shared" si="34"/>
        <v>0</v>
      </c>
      <c r="CG37" s="11">
        <f t="shared" si="35"/>
        <v>0</v>
      </c>
      <c r="CH37" s="16" t="e">
        <f t="shared" si="36"/>
        <v>#DIV/0!</v>
      </c>
      <c r="CI37" s="16" t="e">
        <f t="shared" si="36"/>
        <v>#DIV/0!</v>
      </c>
      <c r="CJ37" s="16" t="e">
        <f t="shared" si="37"/>
        <v>#DIV/0!</v>
      </c>
      <c r="CK37" s="16" t="e">
        <f t="shared" si="37"/>
        <v>#DIV/0!</v>
      </c>
      <c r="CL37" s="16" t="e">
        <f t="shared" si="38"/>
        <v>#DIV/0!</v>
      </c>
      <c r="CM37" s="16" t="e">
        <f t="shared" si="39"/>
        <v>#DIV/0!</v>
      </c>
    </row>
    <row r="38" spans="1:91" x14ac:dyDescent="0.25">
      <c r="A38" s="25"/>
      <c r="B38" s="26"/>
      <c r="C38" s="27"/>
      <c r="D38" s="26"/>
      <c r="E38" s="28"/>
      <c r="F38" s="30"/>
      <c r="G38" s="28"/>
      <c r="H38" s="28"/>
      <c r="I38" s="28"/>
      <c r="J38" s="28"/>
      <c r="K38" s="28"/>
      <c r="L38" s="30"/>
      <c r="M38" s="30"/>
      <c r="N38" s="30"/>
      <c r="O38" s="30"/>
      <c r="P38" s="30"/>
      <c r="Q38" s="30"/>
      <c r="R38" s="26"/>
      <c r="S38" s="30"/>
      <c r="T38" s="30"/>
      <c r="U38" s="30"/>
      <c r="V38" s="30"/>
      <c r="W38" s="2" t="str">
        <f t="shared" si="0"/>
        <v/>
      </c>
      <c r="X38" s="30"/>
      <c r="Y38" s="30"/>
      <c r="Z38" s="30"/>
      <c r="AA38" s="25"/>
      <c r="AE38" s="5"/>
    </row>
    <row r="39" spans="1:91" x14ac:dyDescent="0.25">
      <c r="A39" s="25"/>
      <c r="B39" s="26"/>
      <c r="C39" s="27"/>
      <c r="D39" s="26"/>
      <c r="E39" s="28"/>
      <c r="F39" s="30"/>
      <c r="G39" s="28"/>
      <c r="H39" s="28"/>
      <c r="I39" s="28"/>
      <c r="J39" s="28"/>
      <c r="K39" s="28"/>
      <c r="L39" s="30"/>
      <c r="M39" s="30"/>
      <c r="N39" s="30"/>
      <c r="O39" s="30"/>
      <c r="P39" s="30"/>
      <c r="Q39" s="30"/>
      <c r="R39" s="26"/>
      <c r="S39" s="30"/>
      <c r="T39" s="30"/>
      <c r="U39" s="30"/>
      <c r="V39" s="30"/>
      <c r="W39" s="2" t="str">
        <f t="shared" si="0"/>
        <v/>
      </c>
      <c r="X39" s="30"/>
      <c r="Y39" s="30"/>
      <c r="Z39" s="30"/>
      <c r="AA39" s="25"/>
      <c r="AE39" s="5"/>
    </row>
    <row r="40" spans="1:91" x14ac:dyDescent="0.25">
      <c r="A40" s="25"/>
      <c r="B40" s="26"/>
      <c r="C40" s="27"/>
      <c r="D40" s="26"/>
      <c r="E40" s="28"/>
      <c r="F40" s="30"/>
      <c r="G40" s="28"/>
      <c r="H40" s="28"/>
      <c r="I40" s="28"/>
      <c r="J40" s="28"/>
      <c r="K40" s="28"/>
      <c r="L40" s="30"/>
      <c r="M40" s="30"/>
      <c r="N40" s="30"/>
      <c r="O40" s="30"/>
      <c r="P40" s="30"/>
      <c r="Q40" s="30"/>
      <c r="R40" s="26"/>
      <c r="S40" s="30"/>
      <c r="T40" s="30"/>
      <c r="U40" s="30"/>
      <c r="V40" s="30"/>
      <c r="W40" s="2" t="str">
        <f t="shared" si="0"/>
        <v/>
      </c>
      <c r="X40" s="30"/>
      <c r="Y40" s="30"/>
      <c r="Z40" s="30"/>
      <c r="AA40" s="25"/>
      <c r="AE40" s="5"/>
      <c r="AI40" s="1"/>
      <c r="AJ40" s="1" t="s">
        <v>61</v>
      </c>
      <c r="AK40" s="1" t="s">
        <v>62</v>
      </c>
      <c r="AL40" s="1" t="s">
        <v>63</v>
      </c>
      <c r="AM40" s="1" t="s">
        <v>64</v>
      </c>
      <c r="AN40" s="1" t="s">
        <v>65</v>
      </c>
      <c r="AO40" s="1" t="s">
        <v>66</v>
      </c>
      <c r="AP40" s="1" t="s">
        <v>67</v>
      </c>
      <c r="AQ40" s="1" t="s">
        <v>68</v>
      </c>
      <c r="AR40" s="1" t="s">
        <v>69</v>
      </c>
      <c r="AS40" s="1" t="s">
        <v>70</v>
      </c>
      <c r="AT40" s="1" t="s">
        <v>71</v>
      </c>
      <c r="AU40" s="1" t="s">
        <v>72</v>
      </c>
      <c r="AV40" s="1" t="s">
        <v>73</v>
      </c>
      <c r="AW40" s="1" t="s">
        <v>107</v>
      </c>
      <c r="AX40" s="1" t="s">
        <v>108</v>
      </c>
      <c r="AY40" s="1" t="s">
        <v>109</v>
      </c>
      <c r="AZ40" s="1" t="s">
        <v>110</v>
      </c>
      <c r="BA40" s="1" t="s">
        <v>111</v>
      </c>
      <c r="BB40" s="1" t="s">
        <v>112</v>
      </c>
      <c r="BC40" s="1" t="s">
        <v>113</v>
      </c>
      <c r="BD40" s="1" t="s">
        <v>114</v>
      </c>
      <c r="BE40" s="1" t="s">
        <v>115</v>
      </c>
      <c r="BF40" s="1" t="s">
        <v>116</v>
      </c>
      <c r="BG40" s="1" t="s">
        <v>117</v>
      </c>
      <c r="BH40" s="1" t="s">
        <v>118</v>
      </c>
      <c r="BI40" s="1" t="s">
        <v>119</v>
      </c>
      <c r="BJ40" s="1" t="s">
        <v>120</v>
      </c>
      <c r="BK40" s="1" t="s">
        <v>121</v>
      </c>
      <c r="BL40" s="1" t="s">
        <v>122</v>
      </c>
      <c r="BM40" s="1" t="s">
        <v>123</v>
      </c>
    </row>
    <row r="41" spans="1:91" x14ac:dyDescent="0.25">
      <c r="A41" s="25"/>
      <c r="B41" s="26"/>
      <c r="C41" s="27"/>
      <c r="D41" s="26"/>
      <c r="E41" s="28"/>
      <c r="F41" s="30"/>
      <c r="G41" s="28"/>
      <c r="H41" s="28"/>
      <c r="I41" s="28"/>
      <c r="J41" s="28"/>
      <c r="K41" s="28"/>
      <c r="L41" s="30"/>
      <c r="M41" s="30"/>
      <c r="N41" s="30"/>
      <c r="O41" s="30"/>
      <c r="P41" s="30"/>
      <c r="Q41" s="30"/>
      <c r="R41" s="26"/>
      <c r="S41" s="30"/>
      <c r="T41" s="30"/>
      <c r="U41" s="30"/>
      <c r="V41" s="30"/>
      <c r="W41" s="2" t="str">
        <f t="shared" si="0"/>
        <v/>
      </c>
      <c r="X41" s="30"/>
      <c r="Y41" s="30"/>
      <c r="Z41" s="30"/>
      <c r="AA41" s="25"/>
      <c r="AE41" s="5"/>
      <c r="AI41" t="s">
        <v>39</v>
      </c>
      <c r="AJ41">
        <f t="shared" ref="AJ41:AJ48" si="47">COUNTIFS($L$2:$L$106, AI41, $E$2:$E$106, 1) + COUNTIFS($M$2:$M$106, AI41, $E$2:$E$106, 1)</f>
        <v>0</v>
      </c>
      <c r="AK41">
        <f t="shared" ref="AK41:AK48" si="48">COUNTIFS($L$2:$L$106, AI41, $E$2:$E$106, 2) + COUNTIFS($M$2:$M$106, AI41, $E$2:$E$106, 2)</f>
        <v>0</v>
      </c>
      <c r="AL41">
        <f t="shared" ref="AL41:AL48" si="49">COUNTIFS($L$2:$L$106, AI41, $E$2:$E$106, 3) + COUNTIFS($M$2:$M$106, AI41, $E$2:$E$106, 3)</f>
        <v>0</v>
      </c>
      <c r="AM41">
        <f t="shared" ref="AM41:AM48" si="50">COUNTIFS($L$2:$L$106, AI41, $E$2:$E$106, 4) + COUNTIFS($M$2:$M$106, AI41, $E$2:$E$106, 4)</f>
        <v>0</v>
      </c>
      <c r="AN41">
        <f>AJ41+AK41+AL41+AM41</f>
        <v>0</v>
      </c>
      <c r="AO41">
        <f t="shared" ref="AO41:AO48" si="51">COUNTIF($M$2:$M$106, AI41)</f>
        <v>0</v>
      </c>
      <c r="AP41">
        <f t="shared" ref="AP41:AP48" si="52">COUNTIF($L$2:$L$106, AI41)</f>
        <v>0</v>
      </c>
      <c r="AQ41">
        <f>AS41+AU41</f>
        <v>0</v>
      </c>
      <c r="AR41">
        <f>AN41-AQ41</f>
        <v>0</v>
      </c>
      <c r="AS41">
        <f t="shared" ref="AS41:AS48" si="53">SUMPRODUCT(($M$2:$M$106=AI41)*($T$2:$T$106&gt;$S$2:$S$106))</f>
        <v>0</v>
      </c>
      <c r="AT41">
        <f t="shared" ref="AT41:AT48" si="54">SUMPRODUCT(($M$2:$M$106=AI22)*($T$2:$T$106&lt;$S$2:$S$106))</f>
        <v>0</v>
      </c>
      <c r="AU41">
        <f t="shared" ref="AU41:AU48" si="55">SUMPRODUCT(($L$2:$L$106=AI41)*($T$2:$T$106&lt;$S$2:$S$106))</f>
        <v>0</v>
      </c>
      <c r="AV41">
        <f t="shared" ref="AV41:AV48" si="56">SUMPRODUCT(($L$2:$L$106=AI41)*($T$2:$T$106&gt;$S$2:$S$106))</f>
        <v>0</v>
      </c>
      <c r="AW41">
        <f t="shared" ref="AW41:AW48" si="57">COUNTIFS($M$2:$M$106,AI41,$E$2:$E$106,2)</f>
        <v>0</v>
      </c>
      <c r="AX41">
        <f t="shared" ref="AX41:AX48" si="58">COUNTIFS($L$2:$L$106,AI41,$E$2:$E$106,2)</f>
        <v>0</v>
      </c>
      <c r="AY41">
        <f t="shared" ref="AY41:AY48" si="59">SUMIFS($T$2:$T$106, $M$2:$M$106, AI41,$E$2:$E$106, 2)</f>
        <v>0</v>
      </c>
      <c r="AZ41">
        <f t="shared" ref="AZ41:AZ48" si="60">SUMIFS($S$2:$S$106, $L$2:$L$106, AI41,$E$2:$E$106, 2)</f>
        <v>0</v>
      </c>
      <c r="BA41">
        <f t="shared" ref="BA41:BA48" si="61">SUMIFS($S$2:$S$106, $M$2:$M$106, AI41,$E$2:$E$106, 2)</f>
        <v>0</v>
      </c>
      <c r="BB41">
        <f t="shared" ref="BB41:BB48" si="62">SUMIFS($T$2:$T$106, $L$2:$L$106, AI41,$E$2:$E$106, 2)</f>
        <v>0</v>
      </c>
      <c r="BC41">
        <f>AY41-BA41</f>
        <v>0</v>
      </c>
      <c r="BD41">
        <f>AZ41-BB41</f>
        <v>0</v>
      </c>
      <c r="BE41">
        <f>AY41+AZ41</f>
        <v>0</v>
      </c>
      <c r="BF41">
        <f>BA41+BB41</f>
        <v>0</v>
      </c>
      <c r="BG41">
        <f>(AY41+AZ41)-(BA41+BB41)</f>
        <v>0</v>
      </c>
      <c r="BH41" t="e">
        <f>AY41/AW41</f>
        <v>#DIV/0!</v>
      </c>
      <c r="BI41" t="e">
        <f>AZ41/AX41</f>
        <v>#DIV/0!</v>
      </c>
      <c r="BJ41" t="e">
        <f>BA41/AW41</f>
        <v>#DIV/0!</v>
      </c>
      <c r="BK41" t="e">
        <f>BB41/AX41</f>
        <v>#DIV/0!</v>
      </c>
      <c r="BL41" t="e">
        <f>BE41/AJ41</f>
        <v>#DIV/0!</v>
      </c>
      <c r="BM41" t="e">
        <f>BF41/AJ41</f>
        <v>#DIV/0!</v>
      </c>
    </row>
    <row r="42" spans="1:91" x14ac:dyDescent="0.25">
      <c r="A42" s="25"/>
      <c r="B42" s="26"/>
      <c r="C42" s="27"/>
      <c r="D42" s="26"/>
      <c r="E42" s="28"/>
      <c r="F42" s="30"/>
      <c r="G42" s="28"/>
      <c r="H42" s="28"/>
      <c r="I42" s="28"/>
      <c r="J42" s="28"/>
      <c r="K42" s="28"/>
      <c r="L42" s="30"/>
      <c r="M42" s="30"/>
      <c r="N42" s="30"/>
      <c r="O42" s="30"/>
      <c r="P42" s="30"/>
      <c r="Q42" s="30"/>
      <c r="R42" s="26"/>
      <c r="S42" s="30"/>
      <c r="T42" s="30"/>
      <c r="U42" s="30"/>
      <c r="V42" s="30"/>
      <c r="W42" s="2" t="str">
        <f t="shared" si="0"/>
        <v/>
      </c>
      <c r="X42" s="30"/>
      <c r="Y42" s="30"/>
      <c r="Z42" s="30"/>
      <c r="AA42" s="25"/>
      <c r="AI42" t="s">
        <v>18</v>
      </c>
      <c r="AJ42">
        <f t="shared" si="47"/>
        <v>1</v>
      </c>
      <c r="AK42">
        <f t="shared" si="48"/>
        <v>0</v>
      </c>
      <c r="AL42">
        <f t="shared" si="49"/>
        <v>0</v>
      </c>
      <c r="AM42">
        <f t="shared" si="50"/>
        <v>0</v>
      </c>
      <c r="AN42">
        <f t="shared" ref="AN42:AN48" si="63">AJ42+AK42+AL42+AM42</f>
        <v>1</v>
      </c>
      <c r="AO42">
        <f t="shared" si="51"/>
        <v>1</v>
      </c>
      <c r="AP42">
        <f t="shared" si="52"/>
        <v>0</v>
      </c>
      <c r="AQ42">
        <f t="shared" ref="AQ42:AQ48" si="64">AS42+AU42</f>
        <v>0</v>
      </c>
      <c r="AR42">
        <f t="shared" ref="AR42:AR48" si="65">AN42-AQ42</f>
        <v>1</v>
      </c>
      <c r="AS42">
        <f t="shared" si="53"/>
        <v>0</v>
      </c>
      <c r="AT42">
        <f t="shared" si="54"/>
        <v>0</v>
      </c>
      <c r="AU42">
        <f t="shared" si="55"/>
        <v>0</v>
      </c>
      <c r="AV42">
        <f t="shared" si="56"/>
        <v>0</v>
      </c>
      <c r="AW42">
        <f t="shared" si="57"/>
        <v>0</v>
      </c>
      <c r="AX42">
        <f t="shared" si="58"/>
        <v>0</v>
      </c>
      <c r="AY42">
        <f t="shared" si="59"/>
        <v>0</v>
      </c>
      <c r="AZ42">
        <f t="shared" si="60"/>
        <v>0</v>
      </c>
      <c r="BA42">
        <f t="shared" si="61"/>
        <v>0</v>
      </c>
      <c r="BB42">
        <f t="shared" si="62"/>
        <v>0</v>
      </c>
      <c r="BC42">
        <f t="shared" ref="BC42:BD48" si="66">AY42-BA42</f>
        <v>0</v>
      </c>
      <c r="BD42">
        <f t="shared" si="66"/>
        <v>0</v>
      </c>
      <c r="BE42">
        <f t="shared" ref="BE42:BE48" si="67">AY42+AZ42</f>
        <v>0</v>
      </c>
      <c r="BF42">
        <f t="shared" ref="BF42:BF48" si="68">BA42+BB42</f>
        <v>0</v>
      </c>
      <c r="BG42">
        <f t="shared" ref="BG42:BG48" si="69">(AY42+AZ42)-(BA42+BB42)</f>
        <v>0</v>
      </c>
      <c r="BH42" t="e">
        <f t="shared" ref="BH42:BI48" si="70">AY42/AW42</f>
        <v>#DIV/0!</v>
      </c>
      <c r="BI42" t="e">
        <f t="shared" si="70"/>
        <v>#DIV/0!</v>
      </c>
      <c r="BJ42" t="e">
        <f t="shared" ref="BJ42:BK48" si="71">BA42/AW42</f>
        <v>#DIV/0!</v>
      </c>
      <c r="BK42" t="e">
        <f t="shared" si="71"/>
        <v>#DIV/0!</v>
      </c>
      <c r="BL42">
        <f t="shared" ref="BL42:BL48" si="72">BE42/AJ42</f>
        <v>0</v>
      </c>
      <c r="BM42">
        <f t="shared" ref="BM42:BM48" si="73">BF42/AJ42</f>
        <v>0</v>
      </c>
    </row>
    <row r="43" spans="1:91" x14ac:dyDescent="0.25">
      <c r="A43" s="25"/>
      <c r="B43" s="26"/>
      <c r="C43" s="27"/>
      <c r="D43" s="26"/>
      <c r="E43" s="28"/>
      <c r="F43" s="30"/>
      <c r="G43" s="28"/>
      <c r="H43" s="28"/>
      <c r="I43" s="28"/>
      <c r="J43" s="28"/>
      <c r="K43" s="28"/>
      <c r="L43" s="30"/>
      <c r="M43" s="30"/>
      <c r="N43" s="30"/>
      <c r="O43" s="30"/>
      <c r="P43" s="30"/>
      <c r="Q43" s="30"/>
      <c r="R43" s="26"/>
      <c r="S43" s="30"/>
      <c r="T43" s="30"/>
      <c r="U43" s="30"/>
      <c r="V43" s="30"/>
      <c r="W43" s="2" t="str">
        <f t="shared" si="0"/>
        <v/>
      </c>
      <c r="X43" s="30"/>
      <c r="Y43" s="30"/>
      <c r="Z43" s="30"/>
      <c r="AA43" s="25"/>
      <c r="AI43" t="s">
        <v>32</v>
      </c>
      <c r="AJ43">
        <f t="shared" si="47"/>
        <v>0</v>
      </c>
      <c r="AK43">
        <f t="shared" si="48"/>
        <v>0</v>
      </c>
      <c r="AL43">
        <f t="shared" si="49"/>
        <v>0</v>
      </c>
      <c r="AM43">
        <f t="shared" si="50"/>
        <v>0</v>
      </c>
      <c r="AN43">
        <f t="shared" si="63"/>
        <v>0</v>
      </c>
      <c r="AO43">
        <f t="shared" si="51"/>
        <v>0</v>
      </c>
      <c r="AP43">
        <f t="shared" si="52"/>
        <v>0</v>
      </c>
      <c r="AQ43">
        <f t="shared" si="64"/>
        <v>0</v>
      </c>
      <c r="AR43">
        <f t="shared" si="65"/>
        <v>0</v>
      </c>
      <c r="AS43">
        <f t="shared" si="53"/>
        <v>0</v>
      </c>
      <c r="AT43">
        <f t="shared" si="54"/>
        <v>0</v>
      </c>
      <c r="AU43">
        <f t="shared" si="55"/>
        <v>0</v>
      </c>
      <c r="AV43">
        <f t="shared" si="56"/>
        <v>0</v>
      </c>
      <c r="AW43">
        <f t="shared" si="57"/>
        <v>0</v>
      </c>
      <c r="AX43">
        <f t="shared" si="58"/>
        <v>0</v>
      </c>
      <c r="AY43">
        <f t="shared" si="59"/>
        <v>0</v>
      </c>
      <c r="AZ43">
        <f t="shared" si="60"/>
        <v>0</v>
      </c>
      <c r="BA43">
        <f t="shared" si="61"/>
        <v>0</v>
      </c>
      <c r="BB43">
        <f t="shared" si="62"/>
        <v>0</v>
      </c>
      <c r="BC43">
        <f t="shared" si="66"/>
        <v>0</v>
      </c>
      <c r="BD43">
        <f t="shared" si="66"/>
        <v>0</v>
      </c>
      <c r="BE43">
        <f t="shared" si="67"/>
        <v>0</v>
      </c>
      <c r="BF43">
        <f t="shared" si="68"/>
        <v>0</v>
      </c>
      <c r="BG43">
        <f t="shared" si="69"/>
        <v>0</v>
      </c>
      <c r="BH43" t="e">
        <f t="shared" si="70"/>
        <v>#DIV/0!</v>
      </c>
      <c r="BI43" t="e">
        <f t="shared" si="70"/>
        <v>#DIV/0!</v>
      </c>
      <c r="BJ43" t="e">
        <f t="shared" si="71"/>
        <v>#DIV/0!</v>
      </c>
      <c r="BK43" t="e">
        <f t="shared" si="71"/>
        <v>#DIV/0!</v>
      </c>
      <c r="BL43" t="e">
        <f t="shared" si="72"/>
        <v>#DIV/0!</v>
      </c>
      <c r="BM43" t="e">
        <f t="shared" si="73"/>
        <v>#DIV/0!</v>
      </c>
    </row>
    <row r="44" spans="1:91" x14ac:dyDescent="0.25">
      <c r="A44" s="25"/>
      <c r="B44" s="26"/>
      <c r="C44" s="27"/>
      <c r="D44" s="26"/>
      <c r="E44" s="28"/>
      <c r="F44" s="30"/>
      <c r="G44" s="28"/>
      <c r="H44" s="28"/>
      <c r="I44" s="28"/>
      <c r="J44" s="28"/>
      <c r="K44" s="28"/>
      <c r="L44" s="30"/>
      <c r="M44" s="30"/>
      <c r="N44" s="30"/>
      <c r="O44" s="30"/>
      <c r="P44" s="30"/>
      <c r="Q44" s="30"/>
      <c r="R44" s="26"/>
      <c r="S44" s="30"/>
      <c r="T44" s="30"/>
      <c r="U44" s="30"/>
      <c r="V44" s="30"/>
      <c r="W44" s="2" t="str">
        <f t="shared" si="0"/>
        <v/>
      </c>
      <c r="X44" s="30"/>
      <c r="Y44" s="30"/>
      <c r="Z44" s="30"/>
      <c r="AA44" s="25"/>
      <c r="AI44" t="s">
        <v>35</v>
      </c>
      <c r="AJ44">
        <f t="shared" si="47"/>
        <v>0</v>
      </c>
      <c r="AK44">
        <f t="shared" si="48"/>
        <v>0</v>
      </c>
      <c r="AL44">
        <f t="shared" si="49"/>
        <v>0</v>
      </c>
      <c r="AM44">
        <f t="shared" si="50"/>
        <v>0</v>
      </c>
      <c r="AN44">
        <f t="shared" si="63"/>
        <v>0</v>
      </c>
      <c r="AO44">
        <f t="shared" si="51"/>
        <v>0</v>
      </c>
      <c r="AP44">
        <f t="shared" si="52"/>
        <v>0</v>
      </c>
      <c r="AQ44">
        <f t="shared" si="64"/>
        <v>0</v>
      </c>
      <c r="AR44">
        <f t="shared" si="65"/>
        <v>0</v>
      </c>
      <c r="AS44">
        <f t="shared" si="53"/>
        <v>0</v>
      </c>
      <c r="AT44">
        <f t="shared" si="54"/>
        <v>0</v>
      </c>
      <c r="AU44">
        <f t="shared" si="55"/>
        <v>0</v>
      </c>
      <c r="AV44">
        <f t="shared" si="56"/>
        <v>0</v>
      </c>
      <c r="AW44">
        <f t="shared" si="57"/>
        <v>0</v>
      </c>
      <c r="AX44">
        <f t="shared" si="58"/>
        <v>0</v>
      </c>
      <c r="AY44">
        <f t="shared" si="59"/>
        <v>0</v>
      </c>
      <c r="AZ44">
        <f t="shared" si="60"/>
        <v>0</v>
      </c>
      <c r="BA44">
        <f t="shared" si="61"/>
        <v>0</v>
      </c>
      <c r="BB44">
        <f t="shared" si="62"/>
        <v>0</v>
      </c>
      <c r="BC44">
        <f t="shared" si="66"/>
        <v>0</v>
      </c>
      <c r="BD44">
        <f t="shared" si="66"/>
        <v>0</v>
      </c>
      <c r="BE44">
        <f t="shared" si="67"/>
        <v>0</v>
      </c>
      <c r="BF44">
        <f t="shared" si="68"/>
        <v>0</v>
      </c>
      <c r="BG44">
        <f t="shared" si="69"/>
        <v>0</v>
      </c>
      <c r="BH44" t="e">
        <f t="shared" si="70"/>
        <v>#DIV/0!</v>
      </c>
      <c r="BI44" t="e">
        <f t="shared" si="70"/>
        <v>#DIV/0!</v>
      </c>
      <c r="BJ44" t="e">
        <f t="shared" si="71"/>
        <v>#DIV/0!</v>
      </c>
      <c r="BK44" t="e">
        <f t="shared" si="71"/>
        <v>#DIV/0!</v>
      </c>
      <c r="BL44" t="e">
        <f t="shared" si="72"/>
        <v>#DIV/0!</v>
      </c>
      <c r="BM44" t="e">
        <f t="shared" si="73"/>
        <v>#DIV/0!</v>
      </c>
    </row>
    <row r="45" spans="1:91" x14ac:dyDescent="0.25">
      <c r="A45" s="25"/>
      <c r="B45" s="26"/>
      <c r="C45" s="27"/>
      <c r="D45" s="26"/>
      <c r="E45" s="28"/>
      <c r="F45" s="30"/>
      <c r="G45" s="28"/>
      <c r="H45" s="28"/>
      <c r="I45" s="28"/>
      <c r="J45" s="28"/>
      <c r="K45" s="28"/>
      <c r="L45" s="30"/>
      <c r="M45" s="30"/>
      <c r="N45" s="30"/>
      <c r="O45" s="30"/>
      <c r="P45" s="30"/>
      <c r="Q45" s="30"/>
      <c r="R45" s="26"/>
      <c r="S45" s="30"/>
      <c r="T45" s="30"/>
      <c r="U45" s="30"/>
      <c r="V45" s="30"/>
      <c r="W45" s="2" t="str">
        <f t="shared" si="0"/>
        <v/>
      </c>
      <c r="X45" s="30"/>
      <c r="Y45" s="30"/>
      <c r="Z45" s="30"/>
      <c r="AA45" s="25"/>
      <c r="AI45" t="s">
        <v>43</v>
      </c>
      <c r="AJ45">
        <f t="shared" si="47"/>
        <v>0</v>
      </c>
      <c r="AK45">
        <f t="shared" si="48"/>
        <v>0</v>
      </c>
      <c r="AL45">
        <f t="shared" si="49"/>
        <v>0</v>
      </c>
      <c r="AM45">
        <f t="shared" si="50"/>
        <v>0</v>
      </c>
      <c r="AN45">
        <f t="shared" si="63"/>
        <v>0</v>
      </c>
      <c r="AO45">
        <f t="shared" si="51"/>
        <v>0</v>
      </c>
      <c r="AP45">
        <f t="shared" si="52"/>
        <v>0</v>
      </c>
      <c r="AQ45">
        <f t="shared" si="64"/>
        <v>0</v>
      </c>
      <c r="AR45">
        <f t="shared" si="65"/>
        <v>0</v>
      </c>
      <c r="AS45">
        <f t="shared" si="53"/>
        <v>0</v>
      </c>
      <c r="AT45">
        <f t="shared" si="54"/>
        <v>0</v>
      </c>
      <c r="AU45">
        <f t="shared" si="55"/>
        <v>0</v>
      </c>
      <c r="AV45">
        <f t="shared" si="56"/>
        <v>0</v>
      </c>
      <c r="AW45">
        <f t="shared" si="57"/>
        <v>0</v>
      </c>
      <c r="AX45">
        <f t="shared" si="58"/>
        <v>0</v>
      </c>
      <c r="AY45">
        <f t="shared" si="59"/>
        <v>0</v>
      </c>
      <c r="AZ45">
        <f t="shared" si="60"/>
        <v>0</v>
      </c>
      <c r="BA45">
        <f t="shared" si="61"/>
        <v>0</v>
      </c>
      <c r="BB45">
        <f t="shared" si="62"/>
        <v>0</v>
      </c>
      <c r="BC45">
        <f t="shared" si="66"/>
        <v>0</v>
      </c>
      <c r="BD45">
        <f t="shared" si="66"/>
        <v>0</v>
      </c>
      <c r="BE45">
        <f t="shared" si="67"/>
        <v>0</v>
      </c>
      <c r="BF45">
        <f t="shared" si="68"/>
        <v>0</v>
      </c>
      <c r="BG45">
        <f t="shared" si="69"/>
        <v>0</v>
      </c>
      <c r="BH45" t="e">
        <f t="shared" si="70"/>
        <v>#DIV/0!</v>
      </c>
      <c r="BI45" t="e">
        <f t="shared" si="70"/>
        <v>#DIV/0!</v>
      </c>
      <c r="BJ45" t="e">
        <f t="shared" si="71"/>
        <v>#DIV/0!</v>
      </c>
      <c r="BK45" t="e">
        <f t="shared" si="71"/>
        <v>#DIV/0!</v>
      </c>
      <c r="BL45" t="e">
        <f t="shared" si="72"/>
        <v>#DIV/0!</v>
      </c>
      <c r="BM45" t="e">
        <f t="shared" si="73"/>
        <v>#DIV/0!</v>
      </c>
    </row>
    <row r="46" spans="1:91" x14ac:dyDescent="0.25">
      <c r="A46" s="25"/>
      <c r="B46" s="26"/>
      <c r="C46" s="27"/>
      <c r="D46" s="26"/>
      <c r="E46" s="28"/>
      <c r="F46" s="29"/>
      <c r="G46" s="28"/>
      <c r="H46" s="28"/>
      <c r="I46" s="28"/>
      <c r="J46" s="28"/>
      <c r="K46" s="28"/>
      <c r="L46" s="30"/>
      <c r="M46" s="30"/>
      <c r="N46" s="30"/>
      <c r="O46" s="30"/>
      <c r="P46" s="30"/>
      <c r="Q46" s="30"/>
      <c r="R46" s="26"/>
      <c r="S46" s="30"/>
      <c r="T46" s="30"/>
      <c r="U46" s="30"/>
      <c r="V46" s="30"/>
      <c r="W46" s="2" t="str">
        <f t="shared" si="0"/>
        <v/>
      </c>
      <c r="X46" s="30"/>
      <c r="Y46" s="30"/>
      <c r="Z46" s="30"/>
      <c r="AA46" s="25"/>
      <c r="AI46" t="s">
        <v>50</v>
      </c>
      <c r="AJ46">
        <f t="shared" si="47"/>
        <v>1</v>
      </c>
      <c r="AK46">
        <f t="shared" si="48"/>
        <v>0</v>
      </c>
      <c r="AL46">
        <f t="shared" si="49"/>
        <v>0</v>
      </c>
      <c r="AM46">
        <f t="shared" si="50"/>
        <v>0</v>
      </c>
      <c r="AN46">
        <f t="shared" si="63"/>
        <v>1</v>
      </c>
      <c r="AO46">
        <f t="shared" si="51"/>
        <v>1</v>
      </c>
      <c r="AP46">
        <f t="shared" si="52"/>
        <v>0</v>
      </c>
      <c r="AQ46">
        <f t="shared" si="64"/>
        <v>0</v>
      </c>
      <c r="AR46">
        <f t="shared" si="65"/>
        <v>1</v>
      </c>
      <c r="AS46">
        <f t="shared" si="53"/>
        <v>0</v>
      </c>
      <c r="AT46">
        <f t="shared" si="54"/>
        <v>0</v>
      </c>
      <c r="AU46">
        <f t="shared" si="55"/>
        <v>0</v>
      </c>
      <c r="AV46">
        <f t="shared" si="56"/>
        <v>0</v>
      </c>
      <c r="AW46">
        <f t="shared" si="57"/>
        <v>0</v>
      </c>
      <c r="AX46">
        <f t="shared" si="58"/>
        <v>0</v>
      </c>
      <c r="AY46">
        <f t="shared" si="59"/>
        <v>0</v>
      </c>
      <c r="AZ46">
        <f t="shared" si="60"/>
        <v>0</v>
      </c>
      <c r="BA46">
        <f t="shared" si="61"/>
        <v>0</v>
      </c>
      <c r="BB46">
        <f t="shared" si="62"/>
        <v>0</v>
      </c>
      <c r="BC46">
        <f t="shared" si="66"/>
        <v>0</v>
      </c>
      <c r="BD46">
        <f t="shared" si="66"/>
        <v>0</v>
      </c>
      <c r="BE46">
        <f t="shared" si="67"/>
        <v>0</v>
      </c>
      <c r="BF46">
        <f t="shared" si="68"/>
        <v>0</v>
      </c>
      <c r="BG46">
        <f t="shared" si="69"/>
        <v>0</v>
      </c>
      <c r="BH46" t="e">
        <f t="shared" si="70"/>
        <v>#DIV/0!</v>
      </c>
      <c r="BI46" t="e">
        <f t="shared" si="70"/>
        <v>#DIV/0!</v>
      </c>
      <c r="BJ46" t="e">
        <f t="shared" si="71"/>
        <v>#DIV/0!</v>
      </c>
      <c r="BK46" t="e">
        <f t="shared" si="71"/>
        <v>#DIV/0!</v>
      </c>
      <c r="BL46">
        <f t="shared" si="72"/>
        <v>0</v>
      </c>
      <c r="BM46">
        <f t="shared" si="73"/>
        <v>0</v>
      </c>
    </row>
    <row r="47" spans="1:91" x14ac:dyDescent="0.25">
      <c r="A47" s="25"/>
      <c r="B47" s="26"/>
      <c r="C47" s="27"/>
      <c r="D47" s="26"/>
      <c r="E47" s="28"/>
      <c r="F47" s="29"/>
      <c r="G47" s="28"/>
      <c r="H47" s="28"/>
      <c r="I47" s="28"/>
      <c r="J47" s="28"/>
      <c r="K47" s="28"/>
      <c r="L47" s="30"/>
      <c r="M47" s="30"/>
      <c r="N47" s="30"/>
      <c r="O47" s="30"/>
      <c r="P47" s="30"/>
      <c r="Q47" s="30"/>
      <c r="R47" s="26"/>
      <c r="S47" s="30"/>
      <c r="T47" s="30"/>
      <c r="U47" s="30"/>
      <c r="V47" s="30"/>
      <c r="W47" s="2" t="str">
        <f t="shared" si="0"/>
        <v/>
      </c>
      <c r="X47" s="30"/>
      <c r="Y47" s="30"/>
      <c r="Z47" s="30"/>
      <c r="AA47" s="25"/>
      <c r="AI47" t="s">
        <v>51</v>
      </c>
      <c r="AJ47">
        <f t="shared" si="47"/>
        <v>0</v>
      </c>
      <c r="AK47">
        <f t="shared" si="48"/>
        <v>0</v>
      </c>
      <c r="AL47">
        <f t="shared" si="49"/>
        <v>0</v>
      </c>
      <c r="AM47">
        <f t="shared" si="50"/>
        <v>0</v>
      </c>
      <c r="AN47">
        <f t="shared" si="63"/>
        <v>0</v>
      </c>
      <c r="AO47">
        <f t="shared" si="51"/>
        <v>0</v>
      </c>
      <c r="AP47">
        <f t="shared" si="52"/>
        <v>0</v>
      </c>
      <c r="AQ47">
        <f t="shared" si="64"/>
        <v>0</v>
      </c>
      <c r="AR47">
        <f t="shared" si="65"/>
        <v>0</v>
      </c>
      <c r="AS47">
        <f t="shared" si="53"/>
        <v>0</v>
      </c>
      <c r="AT47">
        <f t="shared" si="54"/>
        <v>0</v>
      </c>
      <c r="AU47">
        <f t="shared" si="55"/>
        <v>0</v>
      </c>
      <c r="AV47">
        <f t="shared" si="56"/>
        <v>0</v>
      </c>
      <c r="AW47">
        <f t="shared" si="57"/>
        <v>0</v>
      </c>
      <c r="AX47">
        <f t="shared" si="58"/>
        <v>0</v>
      </c>
      <c r="AY47">
        <f t="shared" si="59"/>
        <v>0</v>
      </c>
      <c r="AZ47">
        <f t="shared" si="60"/>
        <v>0</v>
      </c>
      <c r="BA47">
        <f t="shared" si="61"/>
        <v>0</v>
      </c>
      <c r="BB47">
        <f t="shared" si="62"/>
        <v>0</v>
      </c>
      <c r="BC47">
        <f t="shared" si="66"/>
        <v>0</v>
      </c>
      <c r="BD47">
        <f t="shared" si="66"/>
        <v>0</v>
      </c>
      <c r="BE47">
        <f t="shared" si="67"/>
        <v>0</v>
      </c>
      <c r="BF47">
        <f t="shared" si="68"/>
        <v>0</v>
      </c>
      <c r="BG47">
        <f t="shared" si="69"/>
        <v>0</v>
      </c>
      <c r="BH47" t="e">
        <f t="shared" si="70"/>
        <v>#DIV/0!</v>
      </c>
      <c r="BI47" t="e">
        <f t="shared" si="70"/>
        <v>#DIV/0!</v>
      </c>
      <c r="BJ47" t="e">
        <f t="shared" si="71"/>
        <v>#DIV/0!</v>
      </c>
      <c r="BK47" t="e">
        <f t="shared" si="71"/>
        <v>#DIV/0!</v>
      </c>
      <c r="BL47" t="e">
        <f t="shared" si="72"/>
        <v>#DIV/0!</v>
      </c>
      <c r="BM47" t="e">
        <f t="shared" si="73"/>
        <v>#DIV/0!</v>
      </c>
    </row>
    <row r="48" spans="1:91" x14ac:dyDescent="0.25">
      <c r="A48" s="25"/>
      <c r="B48" s="26"/>
      <c r="C48" s="27"/>
      <c r="D48" s="26"/>
      <c r="E48" s="28"/>
      <c r="F48" s="29"/>
      <c r="G48" s="28"/>
      <c r="H48" s="28"/>
      <c r="I48" s="28"/>
      <c r="J48" s="28"/>
      <c r="K48" s="28"/>
      <c r="L48" s="30"/>
      <c r="M48" s="30"/>
      <c r="N48" s="30"/>
      <c r="O48" s="30"/>
      <c r="P48" s="30"/>
      <c r="Q48" s="30"/>
      <c r="R48" s="26"/>
      <c r="S48" s="30"/>
      <c r="T48" s="30"/>
      <c r="U48" s="30"/>
      <c r="V48" s="30"/>
      <c r="W48" s="2" t="str">
        <f t="shared" si="0"/>
        <v/>
      </c>
      <c r="X48" s="30"/>
      <c r="Y48" s="30"/>
      <c r="Z48" s="30"/>
      <c r="AA48" s="25"/>
      <c r="AI48" t="s">
        <v>52</v>
      </c>
      <c r="AJ48">
        <f t="shared" si="47"/>
        <v>0</v>
      </c>
      <c r="AK48">
        <f t="shared" si="48"/>
        <v>0</v>
      </c>
      <c r="AL48">
        <f t="shared" si="49"/>
        <v>0</v>
      </c>
      <c r="AM48">
        <f t="shared" si="50"/>
        <v>0</v>
      </c>
      <c r="AN48">
        <f t="shared" si="63"/>
        <v>0</v>
      </c>
      <c r="AO48">
        <f t="shared" si="51"/>
        <v>0</v>
      </c>
      <c r="AP48">
        <f t="shared" si="52"/>
        <v>0</v>
      </c>
      <c r="AQ48">
        <f t="shared" si="64"/>
        <v>0</v>
      </c>
      <c r="AR48">
        <f t="shared" si="65"/>
        <v>0</v>
      </c>
      <c r="AS48">
        <f t="shared" si="53"/>
        <v>0</v>
      </c>
      <c r="AT48">
        <f t="shared" si="54"/>
        <v>0</v>
      </c>
      <c r="AU48">
        <f t="shared" si="55"/>
        <v>0</v>
      </c>
      <c r="AV48">
        <f t="shared" si="56"/>
        <v>0</v>
      </c>
      <c r="AW48">
        <f t="shared" si="57"/>
        <v>0</v>
      </c>
      <c r="AX48">
        <f t="shared" si="58"/>
        <v>0</v>
      </c>
      <c r="AY48">
        <f t="shared" si="59"/>
        <v>0</v>
      </c>
      <c r="AZ48">
        <f t="shared" si="60"/>
        <v>0</v>
      </c>
      <c r="BA48">
        <f t="shared" si="61"/>
        <v>0</v>
      </c>
      <c r="BB48">
        <f t="shared" si="62"/>
        <v>0</v>
      </c>
      <c r="BC48">
        <f t="shared" si="66"/>
        <v>0</v>
      </c>
      <c r="BD48">
        <f t="shared" si="66"/>
        <v>0</v>
      </c>
      <c r="BE48">
        <f t="shared" si="67"/>
        <v>0</v>
      </c>
      <c r="BF48">
        <f t="shared" si="68"/>
        <v>0</v>
      </c>
      <c r="BG48">
        <f t="shared" si="69"/>
        <v>0</v>
      </c>
      <c r="BH48" t="e">
        <f t="shared" si="70"/>
        <v>#DIV/0!</v>
      </c>
      <c r="BI48" t="e">
        <f t="shared" si="70"/>
        <v>#DIV/0!</v>
      </c>
      <c r="BJ48" t="e">
        <f t="shared" si="71"/>
        <v>#DIV/0!</v>
      </c>
      <c r="BK48" t="e">
        <f t="shared" si="71"/>
        <v>#DIV/0!</v>
      </c>
      <c r="BL48" t="e">
        <f t="shared" si="72"/>
        <v>#DIV/0!</v>
      </c>
      <c r="BM48" t="e">
        <f t="shared" si="73"/>
        <v>#DIV/0!</v>
      </c>
    </row>
    <row r="49" spans="1:65" x14ac:dyDescent="0.25">
      <c r="A49" s="25"/>
      <c r="B49" s="26"/>
      <c r="C49" s="27"/>
      <c r="D49" s="26"/>
      <c r="E49" s="28"/>
      <c r="F49" s="29"/>
      <c r="G49" s="28"/>
      <c r="H49" s="28"/>
      <c r="I49" s="28"/>
      <c r="J49" s="28"/>
      <c r="K49" s="28"/>
      <c r="L49" s="30"/>
      <c r="M49" s="30"/>
      <c r="N49" s="30"/>
      <c r="O49" s="30"/>
      <c r="P49" s="30"/>
      <c r="Q49" s="30"/>
      <c r="R49" s="26"/>
      <c r="S49" s="30"/>
      <c r="T49" s="30"/>
      <c r="U49" s="30"/>
      <c r="V49" s="30"/>
      <c r="W49" s="2" t="str">
        <f t="shared" si="0"/>
        <v/>
      </c>
      <c r="X49" s="30"/>
      <c r="Y49" s="30"/>
      <c r="Z49" s="30"/>
      <c r="AA49" s="25"/>
    </row>
    <row r="50" spans="1:65" x14ac:dyDescent="0.25">
      <c r="A50" s="25"/>
      <c r="B50" s="26"/>
      <c r="C50" s="27"/>
      <c r="D50" s="26"/>
      <c r="E50" s="28"/>
      <c r="F50" s="29"/>
      <c r="G50" s="28"/>
      <c r="H50" s="28"/>
      <c r="I50" s="28"/>
      <c r="J50" s="28"/>
      <c r="K50" s="28"/>
      <c r="L50" s="30"/>
      <c r="M50" s="30"/>
      <c r="N50" s="30"/>
      <c r="O50" s="30"/>
      <c r="P50" s="30"/>
      <c r="Q50" s="30"/>
      <c r="R50" s="26"/>
      <c r="S50" s="30"/>
      <c r="T50" s="30"/>
      <c r="U50" s="30"/>
      <c r="V50" s="30"/>
      <c r="W50" s="2" t="str">
        <f t="shared" si="0"/>
        <v/>
      </c>
      <c r="X50" s="30"/>
      <c r="Y50" s="30"/>
      <c r="Z50" s="30"/>
      <c r="AA50" s="25"/>
    </row>
    <row r="51" spans="1:65" x14ac:dyDescent="0.25">
      <c r="A51" s="25"/>
      <c r="B51" s="26"/>
      <c r="C51" s="27"/>
      <c r="D51" s="26"/>
      <c r="E51" s="28"/>
      <c r="F51" s="29"/>
      <c r="G51" s="28"/>
      <c r="H51" s="28"/>
      <c r="I51" s="28"/>
      <c r="J51" s="28"/>
      <c r="K51" s="28"/>
      <c r="L51" s="28"/>
      <c r="M51" s="28"/>
      <c r="N51" s="30"/>
      <c r="O51" s="30"/>
      <c r="P51" s="30"/>
      <c r="Q51" s="30"/>
      <c r="R51" s="26"/>
      <c r="S51" s="30"/>
      <c r="T51" s="30"/>
      <c r="U51" s="30"/>
      <c r="V51" s="30"/>
      <c r="W51" s="2" t="str">
        <f t="shared" si="0"/>
        <v/>
      </c>
      <c r="X51" s="30"/>
      <c r="Y51" s="30"/>
      <c r="Z51" s="30"/>
      <c r="AA51" s="25"/>
      <c r="AI51" s="1"/>
      <c r="AJ51" s="1" t="s">
        <v>61</v>
      </c>
      <c r="AK51" s="1" t="s">
        <v>62</v>
      </c>
      <c r="AL51" s="1" t="s">
        <v>63</v>
      </c>
      <c r="AM51" s="1" t="s">
        <v>64</v>
      </c>
      <c r="AN51" s="1" t="s">
        <v>65</v>
      </c>
      <c r="AO51" s="1" t="s">
        <v>66</v>
      </c>
      <c r="AP51" s="1" t="s">
        <v>67</v>
      </c>
      <c r="AQ51" s="1" t="s">
        <v>68</v>
      </c>
      <c r="AR51" s="1" t="s">
        <v>69</v>
      </c>
      <c r="AS51" s="1" t="s">
        <v>70</v>
      </c>
      <c r="AT51" s="1" t="s">
        <v>71</v>
      </c>
      <c r="AU51" s="1" t="s">
        <v>72</v>
      </c>
      <c r="AV51" s="1" t="s">
        <v>73</v>
      </c>
      <c r="AW51" s="1" t="s">
        <v>124</v>
      </c>
      <c r="AX51" s="1" t="s">
        <v>125</v>
      </c>
      <c r="AY51" s="1" t="s">
        <v>126</v>
      </c>
      <c r="AZ51" s="1" t="s">
        <v>127</v>
      </c>
      <c r="BA51" s="1" t="s">
        <v>128</v>
      </c>
      <c r="BB51" s="1" t="s">
        <v>129</v>
      </c>
      <c r="BC51" s="1" t="s">
        <v>130</v>
      </c>
      <c r="BD51" s="1" t="s">
        <v>131</v>
      </c>
      <c r="BE51" s="1" t="s">
        <v>132</v>
      </c>
      <c r="BF51" s="1" t="s">
        <v>133</v>
      </c>
      <c r="BG51" s="1" t="s">
        <v>134</v>
      </c>
      <c r="BH51" s="1" t="s">
        <v>135</v>
      </c>
      <c r="BI51" s="1" t="s">
        <v>136</v>
      </c>
      <c r="BJ51" s="1" t="s">
        <v>137</v>
      </c>
      <c r="BK51" s="1" t="s">
        <v>138</v>
      </c>
      <c r="BL51" s="1" t="s">
        <v>139</v>
      </c>
      <c r="BM51" s="1" t="s">
        <v>140</v>
      </c>
    </row>
    <row r="52" spans="1:65" x14ac:dyDescent="0.25">
      <c r="A52" s="25"/>
      <c r="B52" s="26"/>
      <c r="C52" s="27"/>
      <c r="D52" s="26"/>
      <c r="E52" s="28"/>
      <c r="F52" s="29"/>
      <c r="G52" s="28"/>
      <c r="H52" s="28"/>
      <c r="I52" s="28"/>
      <c r="J52" s="28"/>
      <c r="K52" s="28"/>
      <c r="L52" s="30"/>
      <c r="M52" s="30"/>
      <c r="N52" s="30"/>
      <c r="O52" s="30"/>
      <c r="P52" s="30"/>
      <c r="Q52" s="30"/>
      <c r="R52" s="26"/>
      <c r="S52" s="30"/>
      <c r="T52" s="30"/>
      <c r="U52" s="30"/>
      <c r="V52" s="30"/>
      <c r="W52" s="2" t="str">
        <f t="shared" si="0"/>
        <v/>
      </c>
      <c r="X52" s="30"/>
      <c r="Y52" s="30"/>
      <c r="Z52" s="30"/>
      <c r="AA52" s="25"/>
      <c r="AI52" t="s">
        <v>18</v>
      </c>
      <c r="AJ52">
        <f>COUNTIFS($L$2:$L$106, AI52, $E$2:$E$106, 1) + COUNTIFS($M$2:$M$106, AI52, $E$2:$E$106, 1)</f>
        <v>1</v>
      </c>
      <c r="AK52">
        <f>COUNTIFS($L$2:$L$106, AI52, $E$2:$E$106, 2) + COUNTIFS($M$2:$M$106, AI52, $E$2:$E$106, 2)</f>
        <v>0</v>
      </c>
      <c r="AL52">
        <f>COUNTIFS($L$2:$L$106, AI52, $E$2:$E$106, 3) + COUNTIFS($M$2:$M$106, AI52, $E$2:$E$106, 3)</f>
        <v>0</v>
      </c>
      <c r="AM52">
        <f>COUNTIFS($L$2:$L$106, AI52, $E$2:$E$106, 4) + COUNTIFS($M$2:$M$106, AI52, $E$2:$E$106, 4)</f>
        <v>0</v>
      </c>
      <c r="AN52">
        <f>AJ52+AK52+AL52+AM52</f>
        <v>1</v>
      </c>
      <c r="AO52">
        <f>COUNTIF($M$2:$M$106, AI52)</f>
        <v>1</v>
      </c>
      <c r="AP52">
        <f>COUNTIF($L$2:$L$106, AI52)</f>
        <v>0</v>
      </c>
      <c r="AQ52">
        <f>AS52+AU52</f>
        <v>0</v>
      </c>
      <c r="AR52">
        <f>AN52-AQ52</f>
        <v>1</v>
      </c>
      <c r="AS52">
        <f>SUMPRODUCT(($M$2:$M$106=AI52)*($T$2:$T$106&gt;$S$2:$S$106))</f>
        <v>0</v>
      </c>
      <c r="AT52">
        <f>SUMPRODUCT(($M$2:$M$106=AI52)*($T$2:$T$106&lt;$S$2:$S$106))</f>
        <v>0</v>
      </c>
      <c r="AU52">
        <f>SUMPRODUCT(($L$2:$L$106=AI52)*($T$2:$T$106&lt;$S$2:$S$106))</f>
        <v>0</v>
      </c>
      <c r="AV52">
        <f>SUMPRODUCT(($L$2:$L$106=AI52)*($T$2:$T$106&gt;$S$2:$S$106))</f>
        <v>0</v>
      </c>
      <c r="AW52">
        <f>COUNTIFS($M$2:$M$106,AI52,$E$2:$E$106,3)</f>
        <v>0</v>
      </c>
      <c r="AX52">
        <f>COUNTIFS($L$2:$L$106,AI52,$E$2:$E$106,3)</f>
        <v>0</v>
      </c>
      <c r="AY52">
        <f>SUMIFS($T$2:$T$106, $M$2:$M$106, AI52,$E$2:$E$106, 3)</f>
        <v>0</v>
      </c>
      <c r="AZ52">
        <f>SUMIFS($S$2:$S$106, $L$2:$L$106, AI52,$E$2:$E$106, 3)</f>
        <v>0</v>
      </c>
      <c r="BA52">
        <f>SUMIFS($S$2:$S$106, $M$2:$M$106, AI52,$E$2:$E$106, 3)</f>
        <v>0</v>
      </c>
      <c r="BB52">
        <f>SUMIFS($T$2:$T$106, $L$2:$L$106, AI52,$E$2:$E$106, 3)</f>
        <v>0</v>
      </c>
      <c r="BC52">
        <f t="shared" ref="BC52:BD55" si="74">AY52-BA52</f>
        <v>0</v>
      </c>
      <c r="BD52">
        <f t="shared" si="74"/>
        <v>0</v>
      </c>
      <c r="BE52">
        <f>AY52+AZ52</f>
        <v>0</v>
      </c>
      <c r="BF52">
        <f>BA52+BB52</f>
        <v>0</v>
      </c>
      <c r="BG52">
        <f>(AY52+AZ52)-(BA52+BB52)</f>
        <v>0</v>
      </c>
      <c r="BH52" t="e">
        <f t="shared" ref="BH52:BI55" si="75">AY52/AW52</f>
        <v>#DIV/0!</v>
      </c>
      <c r="BI52" t="e">
        <f t="shared" si="75"/>
        <v>#DIV/0!</v>
      </c>
      <c r="BJ52" t="e">
        <f t="shared" ref="BJ52:BK55" si="76">BA52/AW52</f>
        <v>#DIV/0!</v>
      </c>
      <c r="BK52" t="e">
        <f t="shared" si="76"/>
        <v>#DIV/0!</v>
      </c>
      <c r="BL52">
        <f>BE52/AJ52</f>
        <v>0</v>
      </c>
      <c r="BM52">
        <f>BF52/AJ52</f>
        <v>0</v>
      </c>
    </row>
    <row r="53" spans="1:65" x14ac:dyDescent="0.25">
      <c r="A53" s="25"/>
      <c r="B53" s="26"/>
      <c r="C53" s="27"/>
      <c r="D53" s="26"/>
      <c r="E53" s="28"/>
      <c r="F53" s="29"/>
      <c r="G53" s="28"/>
      <c r="H53" s="28"/>
      <c r="I53" s="28"/>
      <c r="J53" s="28"/>
      <c r="K53" s="28"/>
      <c r="L53" s="28"/>
      <c r="M53" s="28"/>
      <c r="N53" s="30"/>
      <c r="O53" s="30"/>
      <c r="P53" s="30"/>
      <c r="Q53" s="30"/>
      <c r="R53" s="26"/>
      <c r="S53" s="30"/>
      <c r="T53" s="30"/>
      <c r="U53" s="30"/>
      <c r="V53" s="30"/>
      <c r="W53" s="2" t="str">
        <f t="shared" si="0"/>
        <v/>
      </c>
      <c r="X53" s="30"/>
      <c r="Y53" s="30"/>
      <c r="Z53" s="30"/>
      <c r="AA53" s="25"/>
      <c r="AI53" t="s">
        <v>35</v>
      </c>
      <c r="AJ53">
        <f>COUNTIFS($L$2:$L$106, AI53, $E$2:$E$106, 1) + COUNTIFS($M$2:$M$106, AI53, $E$2:$E$106, 1)</f>
        <v>0</v>
      </c>
      <c r="AK53">
        <f>COUNTIFS($L$2:$L$106, AI53, $E$2:$E$106, 2) + COUNTIFS($M$2:$M$106, AI53, $E$2:$E$106, 2)</f>
        <v>0</v>
      </c>
      <c r="AL53">
        <f>COUNTIFS($L$2:$L$106, AI53, $E$2:$E$106, 3) + COUNTIFS($M$2:$M$106, AI53, $E$2:$E$106, 3)</f>
        <v>0</v>
      </c>
      <c r="AM53">
        <f>COUNTIFS($L$2:$L$106, AI53, $E$2:$E$106, 4) + COUNTIFS($M$2:$M$106, AI53, $E$2:$E$106, 4)</f>
        <v>0</v>
      </c>
      <c r="AN53">
        <f t="shared" ref="AN53:AN55" si="77">AJ53+AK53+AL53+AM53</f>
        <v>0</v>
      </c>
      <c r="AO53">
        <f>COUNTIF($M$2:$M$106, AI53)</f>
        <v>0</v>
      </c>
      <c r="AP53">
        <f>COUNTIF($L$2:$L$106, AI53)</f>
        <v>0</v>
      </c>
      <c r="AQ53">
        <f t="shared" ref="AQ53:AQ55" si="78">AS53+AU53</f>
        <v>0</v>
      </c>
      <c r="AR53">
        <f t="shared" ref="AR53:AR55" si="79">AN53-AQ53</f>
        <v>0</v>
      </c>
      <c r="AS53">
        <f>SUMPRODUCT(($M$2:$M$106=AI53)*($T$2:$T$106&gt;$S$2:$S$106))</f>
        <v>0</v>
      </c>
      <c r="AT53">
        <f>SUMPRODUCT(($M$2:$M$106=AI53)*($T$2:$T$106&lt;$S$2:$S$106))</f>
        <v>0</v>
      </c>
      <c r="AU53">
        <f>SUMPRODUCT(($L$2:$L$106=AI53)*($T$2:$T$106&lt;$S$2:$S$106))</f>
        <v>0</v>
      </c>
      <c r="AV53">
        <f>SUMPRODUCT(($L$2:$L$106=AI53)*($T$2:$T$106&gt;$S$2:$S$106))</f>
        <v>0</v>
      </c>
      <c r="AW53">
        <f>COUNTIFS($M$2:$M$106,AI53,$E$2:$E$106,3)</f>
        <v>0</v>
      </c>
      <c r="AX53">
        <f>COUNTIFS($L$2:$L$106,AI53,$E$2:$E$106,3)</f>
        <v>0</v>
      </c>
      <c r="AY53">
        <f>SUMIFS($T$2:$T$106, $M$2:$M$106, AI53,$E$2:$E$106, 3)</f>
        <v>0</v>
      </c>
      <c r="AZ53">
        <f>SUMIFS($S$2:$S$106, $L$2:$L$106, AI53,$E$2:$E$106, 3)</f>
        <v>0</v>
      </c>
      <c r="BA53">
        <f>SUMIFS($S$2:$S$106, $M$2:$M$106, AI53,$E$2:$E$106, 3)</f>
        <v>0</v>
      </c>
      <c r="BB53">
        <f>SUMIFS($T$2:$T$106, $L$2:$L$106, AI53,$E$2:$E$106, 3)</f>
        <v>0</v>
      </c>
      <c r="BC53">
        <f t="shared" si="74"/>
        <v>0</v>
      </c>
      <c r="BD53">
        <f t="shared" si="74"/>
        <v>0</v>
      </c>
      <c r="BE53">
        <f t="shared" ref="BE53:BE55" si="80">AY53+AZ53</f>
        <v>0</v>
      </c>
      <c r="BF53">
        <f t="shared" ref="BF53:BF55" si="81">BA53+BB53</f>
        <v>0</v>
      </c>
      <c r="BG53">
        <f t="shared" ref="BG53:BG55" si="82">(AY53+AZ53)-(BA53+BB53)</f>
        <v>0</v>
      </c>
      <c r="BH53" t="e">
        <f t="shared" si="75"/>
        <v>#DIV/0!</v>
      </c>
      <c r="BI53" t="e">
        <f t="shared" si="75"/>
        <v>#DIV/0!</v>
      </c>
      <c r="BJ53" t="e">
        <f t="shared" si="76"/>
        <v>#DIV/0!</v>
      </c>
      <c r="BK53" t="e">
        <f t="shared" si="76"/>
        <v>#DIV/0!</v>
      </c>
      <c r="BL53" t="e">
        <f t="shared" ref="BL53:BL55" si="83">BE53/AJ53</f>
        <v>#DIV/0!</v>
      </c>
      <c r="BM53" t="e">
        <f t="shared" ref="BM53:BM55" si="84">BF53/AJ53</f>
        <v>#DIV/0!</v>
      </c>
    </row>
    <row r="54" spans="1:65" x14ac:dyDescent="0.25">
      <c r="A54" s="25"/>
      <c r="B54" s="26"/>
      <c r="C54" s="27"/>
      <c r="D54" s="26"/>
      <c r="E54" s="28"/>
      <c r="F54" s="29"/>
      <c r="G54" s="28"/>
      <c r="H54" s="28"/>
      <c r="I54" s="28"/>
      <c r="J54" s="28"/>
      <c r="K54" s="28"/>
      <c r="L54" s="30"/>
      <c r="M54" s="30"/>
      <c r="N54" s="30"/>
      <c r="O54" s="30"/>
      <c r="P54" s="30"/>
      <c r="Q54" s="30"/>
      <c r="R54" s="26"/>
      <c r="S54" s="30"/>
      <c r="T54" s="30"/>
      <c r="U54" s="30"/>
      <c r="V54" s="30"/>
      <c r="W54" s="2" t="str">
        <f t="shared" si="0"/>
        <v/>
      </c>
      <c r="X54" s="30"/>
      <c r="Y54" s="30"/>
      <c r="Z54" s="30"/>
      <c r="AA54" s="25"/>
      <c r="AI54" t="s">
        <v>50</v>
      </c>
      <c r="AJ54">
        <f>COUNTIFS($L$2:$L$106, AI54, $E$2:$E$106, 1) + COUNTIFS($M$2:$M$106, AI54, $E$2:$E$106, 1)</f>
        <v>1</v>
      </c>
      <c r="AK54">
        <f>COUNTIFS($L$2:$L$106, AI54, $E$2:$E$106, 2) + COUNTIFS($M$2:$M$106, AI54, $E$2:$E$106, 2)</f>
        <v>0</v>
      </c>
      <c r="AL54">
        <f>COUNTIFS($L$2:$L$106, AI54, $E$2:$E$106, 3) + COUNTIFS($M$2:$M$106, AI54, $E$2:$E$106, 3)</f>
        <v>0</v>
      </c>
      <c r="AM54">
        <f>COUNTIFS($L$2:$L$106, AI54, $E$2:$E$106, 4) + COUNTIFS($M$2:$M$106, AI54, $E$2:$E$106, 4)</f>
        <v>0</v>
      </c>
      <c r="AN54">
        <f t="shared" si="77"/>
        <v>1</v>
      </c>
      <c r="AO54">
        <f>COUNTIF($M$2:$M$106, AI54)</f>
        <v>1</v>
      </c>
      <c r="AP54">
        <f>COUNTIF($L$2:$L$106, AI54)</f>
        <v>0</v>
      </c>
      <c r="AQ54">
        <f t="shared" si="78"/>
        <v>0</v>
      </c>
      <c r="AR54">
        <f t="shared" si="79"/>
        <v>1</v>
      </c>
      <c r="AS54">
        <f>SUMPRODUCT(($M$2:$M$106=AI54)*($T$2:$T$106&gt;$S$2:$S$106))</f>
        <v>0</v>
      </c>
      <c r="AT54">
        <f>SUMPRODUCT(($M$2:$M$106=AI54)*($T$2:$T$106&lt;$S$2:$S$106))</f>
        <v>0</v>
      </c>
      <c r="AU54">
        <f>SUMPRODUCT(($L$2:$L$106=AI54)*($T$2:$T$106&lt;$S$2:$S$106))</f>
        <v>0</v>
      </c>
      <c r="AV54">
        <f>SUMPRODUCT(($L$2:$L$106=AI54)*($T$2:$T$106&gt;$S$2:$S$106))</f>
        <v>0</v>
      </c>
      <c r="AW54">
        <f>COUNTIFS($M$2:$M$106,AI54,$E$2:$E$106,3)</f>
        <v>0</v>
      </c>
      <c r="AX54">
        <f>COUNTIFS($L$2:$L$106,AI54,$E$2:$E$106,3)</f>
        <v>0</v>
      </c>
      <c r="AY54">
        <f>SUMIFS($T$2:$T$106, $M$2:$M$106, AI54,$E$2:$E$106, 3)</f>
        <v>0</v>
      </c>
      <c r="AZ54">
        <f>SUMIFS($S$2:$S$106, $L$2:$L$106, AI54,$E$2:$E$106, 3)</f>
        <v>0</v>
      </c>
      <c r="BA54">
        <f>SUMIFS($S$2:$S$106, $M$2:$M$106, AI54,$E$2:$E$106, 3)</f>
        <v>0</v>
      </c>
      <c r="BB54">
        <f>SUMIFS($T$2:$T$106, $L$2:$L$106, AI54,$E$2:$E$106, 3)</f>
        <v>0</v>
      </c>
      <c r="BC54">
        <f t="shared" si="74"/>
        <v>0</v>
      </c>
      <c r="BD54">
        <f t="shared" si="74"/>
        <v>0</v>
      </c>
      <c r="BE54">
        <f t="shared" si="80"/>
        <v>0</v>
      </c>
      <c r="BF54">
        <f t="shared" si="81"/>
        <v>0</v>
      </c>
      <c r="BG54">
        <f t="shared" si="82"/>
        <v>0</v>
      </c>
      <c r="BH54" t="e">
        <f t="shared" si="75"/>
        <v>#DIV/0!</v>
      </c>
      <c r="BI54" t="e">
        <f t="shared" si="75"/>
        <v>#DIV/0!</v>
      </c>
      <c r="BJ54" t="e">
        <f t="shared" si="76"/>
        <v>#DIV/0!</v>
      </c>
      <c r="BK54" t="e">
        <f t="shared" si="76"/>
        <v>#DIV/0!</v>
      </c>
      <c r="BL54">
        <f t="shared" si="83"/>
        <v>0</v>
      </c>
      <c r="BM54">
        <f t="shared" si="84"/>
        <v>0</v>
      </c>
    </row>
    <row r="55" spans="1:65" x14ac:dyDescent="0.25">
      <c r="A55" s="25"/>
      <c r="B55" s="26"/>
      <c r="C55" s="27"/>
      <c r="D55" s="26"/>
      <c r="E55" s="28"/>
      <c r="F55" s="29"/>
      <c r="G55" s="28"/>
      <c r="H55" s="28"/>
      <c r="I55" s="28"/>
      <c r="J55" s="28"/>
      <c r="K55" s="28"/>
      <c r="L55" s="28"/>
      <c r="M55" s="28"/>
      <c r="N55" s="30"/>
      <c r="O55" s="30"/>
      <c r="P55" s="30"/>
      <c r="Q55" s="30"/>
      <c r="R55" s="26"/>
      <c r="S55" s="30"/>
      <c r="T55" s="30"/>
      <c r="U55" s="30"/>
      <c r="V55" s="30"/>
      <c r="W55" s="2" t="str">
        <f t="shared" si="0"/>
        <v/>
      </c>
      <c r="X55" s="30"/>
      <c r="Y55" s="30"/>
      <c r="Z55" s="30"/>
      <c r="AA55" s="25"/>
      <c r="AI55" t="s">
        <v>52</v>
      </c>
      <c r="AJ55">
        <f>COUNTIFS($L$2:$L$106, AI55, $E$2:$E$106, 1) + COUNTIFS($M$2:$M$106, AI55, $E$2:$E$106, 1)</f>
        <v>0</v>
      </c>
      <c r="AK55">
        <f>COUNTIFS($L$2:$L$106, AI55, $E$2:$E$106, 2) + COUNTIFS($M$2:$M$106, AI55, $E$2:$E$106, 2)</f>
        <v>0</v>
      </c>
      <c r="AL55">
        <f>COUNTIFS($L$2:$L$106, AI55, $E$2:$E$106, 3) + COUNTIFS($M$2:$M$106, AI55, $E$2:$E$106, 3)</f>
        <v>0</v>
      </c>
      <c r="AM55">
        <f>COUNTIFS($L$2:$L$106, AI55, $E$2:$E$106, 4) + COUNTIFS($M$2:$M$106, AI55, $E$2:$E$106, 4)</f>
        <v>0</v>
      </c>
      <c r="AN55">
        <f t="shared" si="77"/>
        <v>0</v>
      </c>
      <c r="AO55">
        <f>COUNTIF($M$2:$M$106, AI55)</f>
        <v>0</v>
      </c>
      <c r="AP55">
        <f>COUNTIF($L$2:$L$106, AI55)</f>
        <v>0</v>
      </c>
      <c r="AQ55">
        <f t="shared" si="78"/>
        <v>0</v>
      </c>
      <c r="AR55">
        <f t="shared" si="79"/>
        <v>0</v>
      </c>
      <c r="AS55">
        <f>SUMPRODUCT(($M$2:$M$106=AI55)*($T$2:$T$106&gt;$S$2:$S$106))</f>
        <v>0</v>
      </c>
      <c r="AT55">
        <f>SUMPRODUCT(($M$2:$M$106=AI55)*($T$2:$T$106&lt;$S$2:$S$106))</f>
        <v>0</v>
      </c>
      <c r="AU55">
        <f>SUMPRODUCT(($L$2:$L$106=AI55)*($T$2:$T$106&lt;$S$2:$S$106))</f>
        <v>0</v>
      </c>
      <c r="AV55">
        <f>SUMPRODUCT(($L$2:$L$106=AI55)*($T$2:$T$106&gt;$S$2:$S$106))</f>
        <v>0</v>
      </c>
      <c r="AW55">
        <f>COUNTIFS($M$2:$M$106,AI55,$E$2:$E$106,3)</f>
        <v>0</v>
      </c>
      <c r="AX55">
        <f>COUNTIFS($L$2:$L$106,AI55,$E$2:$E$106,3)</f>
        <v>0</v>
      </c>
      <c r="AY55">
        <f>SUMIFS($T$2:$T$106, $M$2:$M$106, AI55,$E$2:$E$106, 3)</f>
        <v>0</v>
      </c>
      <c r="AZ55">
        <f>SUMIFS($S$2:$S$106, $L$2:$L$106, AI55,$E$2:$E$106, 3)</f>
        <v>0</v>
      </c>
      <c r="BA55">
        <f>SUMIFS($S$2:$S$106, $M$2:$M$106, AI55,$E$2:$E$106, 3)</f>
        <v>0</v>
      </c>
      <c r="BB55">
        <f>SUMIFS($T$2:$T$106, $L$2:$L$106, AI55,$E$2:$E$106, 3)</f>
        <v>0</v>
      </c>
      <c r="BC55">
        <f t="shared" si="74"/>
        <v>0</v>
      </c>
      <c r="BD55">
        <f t="shared" si="74"/>
        <v>0</v>
      </c>
      <c r="BE55">
        <f t="shared" si="80"/>
        <v>0</v>
      </c>
      <c r="BF55">
        <f t="shared" si="81"/>
        <v>0</v>
      </c>
      <c r="BG55">
        <f t="shared" si="82"/>
        <v>0</v>
      </c>
      <c r="BH55" t="e">
        <f t="shared" si="75"/>
        <v>#DIV/0!</v>
      </c>
      <c r="BI55" t="e">
        <f t="shared" si="75"/>
        <v>#DIV/0!</v>
      </c>
      <c r="BJ55" t="e">
        <f t="shared" si="76"/>
        <v>#DIV/0!</v>
      </c>
      <c r="BK55" t="e">
        <f t="shared" si="76"/>
        <v>#DIV/0!</v>
      </c>
      <c r="BL55" t="e">
        <f t="shared" si="83"/>
        <v>#DIV/0!</v>
      </c>
      <c r="BM55" t="e">
        <f t="shared" si="84"/>
        <v>#DIV/0!</v>
      </c>
    </row>
    <row r="56" spans="1:65" x14ac:dyDescent="0.25">
      <c r="A56" s="25"/>
      <c r="B56" s="26"/>
      <c r="C56" s="27"/>
      <c r="D56" s="26"/>
      <c r="E56" s="28"/>
      <c r="F56" s="29"/>
      <c r="G56" s="28"/>
      <c r="H56" s="28"/>
      <c r="I56" s="28"/>
      <c r="J56" s="28"/>
      <c r="K56" s="28"/>
      <c r="L56" s="28"/>
      <c r="M56" s="28"/>
      <c r="N56" s="30"/>
      <c r="O56" s="30"/>
      <c r="P56" s="30"/>
      <c r="Q56" s="30"/>
      <c r="R56" s="26"/>
      <c r="S56" s="30"/>
      <c r="T56" s="30"/>
      <c r="U56" s="30"/>
      <c r="V56" s="30"/>
      <c r="W56" s="2" t="str">
        <f t="shared" si="0"/>
        <v/>
      </c>
      <c r="X56" s="30"/>
      <c r="Y56" s="30"/>
      <c r="Z56" s="30"/>
      <c r="AA56" s="25"/>
    </row>
    <row r="57" spans="1:65" x14ac:dyDescent="0.25">
      <c r="A57" s="25"/>
      <c r="B57" s="26"/>
      <c r="C57" s="27"/>
      <c r="D57" s="26"/>
      <c r="E57" s="28"/>
      <c r="F57" s="29"/>
      <c r="G57" s="28"/>
      <c r="H57" s="28"/>
      <c r="I57" s="28"/>
      <c r="J57" s="28"/>
      <c r="K57" s="28"/>
      <c r="L57" s="28"/>
      <c r="M57" s="28"/>
      <c r="N57" s="30"/>
      <c r="O57" s="30"/>
      <c r="P57" s="30"/>
      <c r="Q57" s="30"/>
      <c r="R57" s="26"/>
      <c r="S57" s="30"/>
      <c r="T57" s="30"/>
      <c r="U57" s="30"/>
      <c r="V57" s="30"/>
      <c r="W57" s="2" t="str">
        <f t="shared" si="0"/>
        <v/>
      </c>
      <c r="X57" s="30"/>
      <c r="Y57" s="30"/>
      <c r="Z57" s="30"/>
      <c r="AA57" s="25"/>
    </row>
    <row r="58" spans="1:65" x14ac:dyDescent="0.25">
      <c r="A58" s="25"/>
      <c r="B58" s="26"/>
      <c r="C58" s="27"/>
      <c r="D58" s="26"/>
      <c r="E58" s="28"/>
      <c r="F58" s="29"/>
      <c r="G58" s="28"/>
      <c r="H58" s="28"/>
      <c r="I58" s="28"/>
      <c r="J58" s="28"/>
      <c r="K58" s="28"/>
      <c r="L58" s="28"/>
      <c r="M58" s="28"/>
      <c r="N58" s="30"/>
      <c r="O58" s="30"/>
      <c r="P58" s="30"/>
      <c r="Q58" s="30"/>
      <c r="R58" s="26"/>
      <c r="S58" s="30"/>
      <c r="T58" s="30"/>
      <c r="U58" s="30"/>
      <c r="V58" s="30"/>
      <c r="W58" s="2" t="str">
        <f t="shared" si="0"/>
        <v/>
      </c>
      <c r="X58" s="30"/>
      <c r="Y58" s="30"/>
      <c r="Z58" s="30"/>
      <c r="AA58" s="25"/>
      <c r="AI58" s="1"/>
      <c r="AJ58" s="1" t="s">
        <v>61</v>
      </c>
      <c r="AK58" s="1" t="s">
        <v>62</v>
      </c>
      <c r="AL58" s="1" t="s">
        <v>63</v>
      </c>
      <c r="AM58" s="1" t="s">
        <v>64</v>
      </c>
      <c r="AN58" s="1" t="s">
        <v>65</v>
      </c>
      <c r="AO58" s="1" t="s">
        <v>66</v>
      </c>
      <c r="AP58" s="1" t="s">
        <v>67</v>
      </c>
      <c r="AQ58" s="1" t="s">
        <v>68</v>
      </c>
      <c r="AR58" s="1" t="s">
        <v>69</v>
      </c>
      <c r="AS58" s="1" t="s">
        <v>70</v>
      </c>
      <c r="AT58" s="1" t="s">
        <v>71</v>
      </c>
      <c r="AU58" s="1" t="s">
        <v>72</v>
      </c>
      <c r="AV58" s="1" t="s">
        <v>73</v>
      </c>
      <c r="AW58" s="1" t="s">
        <v>141</v>
      </c>
      <c r="AX58" s="1" t="s">
        <v>142</v>
      </c>
      <c r="AY58" s="1" t="s">
        <v>143</v>
      </c>
      <c r="AZ58" s="1" t="s">
        <v>144</v>
      </c>
      <c r="BA58" s="1" t="s">
        <v>145</v>
      </c>
      <c r="BB58" s="1" t="s">
        <v>146</v>
      </c>
      <c r="BC58" s="1" t="s">
        <v>147</v>
      </c>
      <c r="BD58" s="1" t="s">
        <v>148</v>
      </c>
      <c r="BE58" s="1" t="s">
        <v>149</v>
      </c>
      <c r="BF58" s="1" t="s">
        <v>150</v>
      </c>
      <c r="BG58" s="1" t="s">
        <v>151</v>
      </c>
      <c r="BH58" s="1" t="s">
        <v>152</v>
      </c>
      <c r="BI58" s="1" t="s">
        <v>153</v>
      </c>
      <c r="BJ58" s="1" t="s">
        <v>154</v>
      </c>
      <c r="BK58" s="1" t="s">
        <v>155</v>
      </c>
      <c r="BL58" s="1" t="s">
        <v>156</v>
      </c>
      <c r="BM58" s="1" t="s">
        <v>157</v>
      </c>
    </row>
    <row r="59" spans="1:65" x14ac:dyDescent="0.25">
      <c r="A59" s="25"/>
      <c r="B59" s="26"/>
      <c r="C59" s="27"/>
      <c r="D59" s="26"/>
      <c r="E59" s="28"/>
      <c r="F59" s="29"/>
      <c r="G59" s="28"/>
      <c r="H59" s="28"/>
      <c r="I59" s="28"/>
      <c r="J59" s="28"/>
      <c r="K59" s="28"/>
      <c r="L59" s="28"/>
      <c r="M59" s="28"/>
      <c r="N59" s="30"/>
      <c r="O59" s="30"/>
      <c r="P59" s="30"/>
      <c r="Q59" s="30"/>
      <c r="R59" s="26"/>
      <c r="S59" s="30"/>
      <c r="T59" s="30"/>
      <c r="U59" s="30"/>
      <c r="V59" s="30"/>
      <c r="W59" s="2" t="str">
        <f t="shared" si="0"/>
        <v/>
      </c>
      <c r="X59" s="30"/>
      <c r="Y59" s="30"/>
      <c r="Z59" s="30"/>
      <c r="AA59" s="25"/>
      <c r="AJ59">
        <f>COUNTIFS($L$2:$L$106, AI59, $E$2:$E$106, 1) + COUNTIFS($M$2:$M$106, AI59, $E$2:$E$106, 1)</f>
        <v>0</v>
      </c>
      <c r="AK59">
        <f>COUNTIFS($L$2:$L$106, AI59, $E$2:$E$106, 2) + COUNTIFS($M$2:$M$106, AI59, $E$2:$E$106, 2)</f>
        <v>0</v>
      </c>
      <c r="AL59">
        <f>COUNTIFS($L$2:$L$106, AI59, $E$2:$E$106, 3) + COUNTIFS($M$2:$M$106, AI59, $E$2:$E$106, 3)</f>
        <v>0</v>
      </c>
      <c r="AM59">
        <f>COUNTIFS($L$2:$L$106, AI59, $E$2:$E$106, 4) + COUNTIFS($M$2:$M$106, AI59, $E$2:$E$106, 4)</f>
        <v>0</v>
      </c>
      <c r="AN59">
        <f>AJ59+AK59+AL59+AM59</f>
        <v>0</v>
      </c>
      <c r="AO59">
        <f>COUNTIF($M$2:$M$106, AI59)</f>
        <v>0</v>
      </c>
      <c r="AP59">
        <f>COUNTIF($L$2:$L$106, AI59)</f>
        <v>0</v>
      </c>
      <c r="AQ59">
        <f>AS59+AU59</f>
        <v>0</v>
      </c>
      <c r="AR59">
        <f>AN59-AQ59</f>
        <v>0</v>
      </c>
      <c r="AS59">
        <f>SUMPRODUCT(($M$2:$M$106=AI59)*($T$2:$T$106&gt;$S$2:$S$106))</f>
        <v>0</v>
      </c>
      <c r="AT59">
        <f>SUMPRODUCT(($M$2:$M$106=AI59)*($T$2:$T$106&lt;$S$2:$S$106))</f>
        <v>0</v>
      </c>
      <c r="AU59">
        <f>SUMPRODUCT(($L$2:$L$106=AI59)*($T$2:$T$106&lt;$S$2:$S$106))</f>
        <v>0</v>
      </c>
      <c r="AV59">
        <f>SUMPRODUCT(($L$2:$L$106=AI59)*($T$2:$T$106&gt;$S$2:$S$106))</f>
        <v>0</v>
      </c>
      <c r="AW59">
        <f>COUNTIFS($M$2:$M$106,AI59,$E$2:$E$106,4)</f>
        <v>0</v>
      </c>
      <c r="AX59">
        <f>COUNTIFS($L$2:$L$106,AI59,$E$2:$E$106,4)</f>
        <v>0</v>
      </c>
      <c r="AY59">
        <f>SUMIFS($T$2:$T$106, $M$2:$M$106, AI59,$E$2:$E$106, 4)</f>
        <v>0</v>
      </c>
      <c r="AZ59">
        <f>SUMIFS($S$2:$S$106, $L$2:$L$106, AI59,$E$2:$E$106, 4)</f>
        <v>0</v>
      </c>
      <c r="BA59">
        <f>SUMIFS($S$2:$S$106, $M$2:$M$106, AI59,$E$2:$E$106, 4)</f>
        <v>0</v>
      </c>
      <c r="BB59">
        <f>SUMIFS($T$2:$T$106, $L$2:$L$106, AI59,$E$2:$E$106, 4)</f>
        <v>0</v>
      </c>
      <c r="BC59">
        <f t="shared" ref="BC59:BD60" si="85">AY59-BA59</f>
        <v>0</v>
      </c>
      <c r="BD59">
        <f t="shared" si="85"/>
        <v>0</v>
      </c>
      <c r="BE59">
        <f>AY59+AZ59</f>
        <v>0</v>
      </c>
      <c r="BF59">
        <f>BA59+BB59</f>
        <v>0</v>
      </c>
      <c r="BG59">
        <f>(AY59+AZ59)-(BA59+BB59)</f>
        <v>0</v>
      </c>
      <c r="BH59" t="e">
        <f t="shared" ref="BH59:BI60" si="86">AY59/AW59</f>
        <v>#DIV/0!</v>
      </c>
      <c r="BI59" t="e">
        <f t="shared" si="86"/>
        <v>#DIV/0!</v>
      </c>
      <c r="BJ59" t="e">
        <f t="shared" ref="BJ59:BK60" si="87">BA59/AW59</f>
        <v>#DIV/0!</v>
      </c>
      <c r="BK59" t="e">
        <f t="shared" si="87"/>
        <v>#DIV/0!</v>
      </c>
      <c r="BL59" t="e">
        <f>BE59/AJ59</f>
        <v>#DIV/0!</v>
      </c>
      <c r="BM59" t="e">
        <f>BF59/AJ59</f>
        <v>#DIV/0!</v>
      </c>
    </row>
    <row r="60" spans="1:65" x14ac:dyDescent="0.25">
      <c r="A60" s="25"/>
      <c r="B60" s="26"/>
      <c r="C60" s="27"/>
      <c r="D60" s="26"/>
      <c r="E60" s="28"/>
      <c r="F60" s="29"/>
      <c r="G60" s="28"/>
      <c r="H60" s="28"/>
      <c r="I60" s="28"/>
      <c r="J60" s="28"/>
      <c r="K60" s="28"/>
      <c r="L60" s="28"/>
      <c r="M60" s="28"/>
      <c r="N60" s="30"/>
      <c r="O60" s="30"/>
      <c r="P60" s="30"/>
      <c r="Q60" s="30"/>
      <c r="R60" s="26"/>
      <c r="S60" s="30"/>
      <c r="T60" s="30"/>
      <c r="U60" s="30"/>
      <c r="V60" s="30"/>
      <c r="W60" s="2" t="str">
        <f t="shared" si="0"/>
        <v/>
      </c>
      <c r="X60" s="30"/>
      <c r="Y60" s="30"/>
      <c r="Z60" s="30"/>
      <c r="AA60" s="25"/>
      <c r="AJ60">
        <f>COUNTIFS($L$2:$L$106, AI60, $E$2:$E$106, 1) + COUNTIFS($M$2:$M$106, AI60, $E$2:$E$106, 1)</f>
        <v>0</v>
      </c>
      <c r="AK60">
        <f>COUNTIFS($L$2:$L$106, AI60, $E$2:$E$106, 2) + COUNTIFS($M$2:$M$106, AI60, $E$2:$E$106, 2)</f>
        <v>0</v>
      </c>
      <c r="AL60">
        <f>COUNTIFS($L$2:$L$106, AI60, $E$2:$E$106, 3) + COUNTIFS($M$2:$M$106, AI60, $E$2:$E$106, 3)</f>
        <v>0</v>
      </c>
      <c r="AM60">
        <f>COUNTIFS($L$2:$L$106, AI60, $E$2:$E$106, 4) + COUNTIFS($M$2:$M$106, AI60, $E$2:$E$106, 4)</f>
        <v>0</v>
      </c>
      <c r="AN60">
        <f t="shared" ref="AN60" si="88">AJ60+AK60+AL60+AM60</f>
        <v>0</v>
      </c>
      <c r="AO60">
        <f>COUNTIF($M$2:$M$106, AI60)</f>
        <v>0</v>
      </c>
      <c r="AP60">
        <f>COUNTIF($L$2:$L$106, AI60)</f>
        <v>0</v>
      </c>
      <c r="AQ60">
        <f>AS60+AU60</f>
        <v>0</v>
      </c>
      <c r="AR60">
        <f>AN60-AQ60</f>
        <v>0</v>
      </c>
      <c r="AS60">
        <f>SUMPRODUCT(($M$2:$M$106=AI60)*($T$2:$T$106&gt;$S$2:$S$106))</f>
        <v>0</v>
      </c>
      <c r="AT60">
        <f>SUMPRODUCT(($M$2:$M$106=AI60)*($T$2:$T$106&lt;$S$2:$S$106))</f>
        <v>0</v>
      </c>
      <c r="AU60">
        <f>SUMPRODUCT(($L$2:$L$106=AI60)*($T$2:$T$106&lt;$S$2:$S$106))</f>
        <v>0</v>
      </c>
      <c r="AV60">
        <f>SUMPRODUCT(($L$2:$L$106=AI60)*($T$2:$T$106&gt;$S$2:$S$106))</f>
        <v>0</v>
      </c>
      <c r="AW60">
        <f>COUNTIFS($M$2:$M$106,AI60,$E$2:$E$106,4)</f>
        <v>0</v>
      </c>
      <c r="AX60">
        <f>COUNTIFS($L$2:$L$106,AI60,$E$2:$E$106,4)</f>
        <v>0</v>
      </c>
      <c r="AY60">
        <f>SUMIFS($T$2:$T$106, $M$2:$M$106, AI60,$E$2:$E$106, 4)</f>
        <v>0</v>
      </c>
      <c r="AZ60">
        <f>SUMIFS($S$2:$S$106, $L$2:$L$106, AI60,$E$2:$E$106, 4)</f>
        <v>0</v>
      </c>
      <c r="BA60">
        <f>SUMIFS($S$2:$S$106, $M$2:$M$106, AI60,$E$2:$E$106, 4)</f>
        <v>0</v>
      </c>
      <c r="BB60">
        <f>SUMIFS($T$2:$T$106, $L$2:$L$106, AI60,$E$2:$E$106, 4)</f>
        <v>0</v>
      </c>
      <c r="BC60">
        <f t="shared" si="85"/>
        <v>0</v>
      </c>
      <c r="BD60">
        <f t="shared" si="85"/>
        <v>0</v>
      </c>
      <c r="BE60">
        <f t="shared" ref="BE60" si="89">AY60+AZ60</f>
        <v>0</v>
      </c>
      <c r="BF60">
        <f t="shared" ref="BF60" si="90">BA60+BB60</f>
        <v>0</v>
      </c>
      <c r="BG60">
        <f t="shared" ref="BG60" si="91">(AY60+AZ60)-(BA60+BB60)</f>
        <v>0</v>
      </c>
      <c r="BH60" t="e">
        <f t="shared" si="86"/>
        <v>#DIV/0!</v>
      </c>
      <c r="BI60" t="e">
        <f t="shared" si="86"/>
        <v>#DIV/0!</v>
      </c>
      <c r="BJ60" t="e">
        <f t="shared" si="87"/>
        <v>#DIV/0!</v>
      </c>
      <c r="BK60" t="e">
        <f t="shared" si="87"/>
        <v>#DIV/0!</v>
      </c>
      <c r="BL60" t="e">
        <f t="shared" ref="BL60" si="92">BE60/AJ60</f>
        <v>#DIV/0!</v>
      </c>
      <c r="BM60" t="e">
        <f t="shared" ref="BM60" si="93">BF60/AJ60</f>
        <v>#DIV/0!</v>
      </c>
    </row>
    <row r="61" spans="1:65" x14ac:dyDescent="0.25">
      <c r="A61" s="25"/>
      <c r="B61" s="26"/>
      <c r="C61" s="27"/>
      <c r="D61" s="26"/>
      <c r="E61" s="28"/>
      <c r="F61" s="29"/>
      <c r="G61" s="28"/>
      <c r="H61" s="28"/>
      <c r="I61" s="28"/>
      <c r="J61" s="28"/>
      <c r="K61" s="28"/>
      <c r="L61" s="28"/>
      <c r="M61" s="28"/>
      <c r="N61" s="30"/>
      <c r="O61" s="30"/>
      <c r="P61" s="30"/>
      <c r="Q61" s="30"/>
      <c r="R61" s="26"/>
      <c r="S61" s="30"/>
      <c r="T61" s="30"/>
      <c r="U61" s="30"/>
      <c r="V61" s="30"/>
      <c r="W61" s="2" t="str">
        <f t="shared" si="0"/>
        <v/>
      </c>
      <c r="X61" s="30"/>
      <c r="Y61" s="30"/>
      <c r="Z61" s="30"/>
      <c r="AA61" s="25"/>
    </row>
    <row r="62" spans="1:65" x14ac:dyDescent="0.25">
      <c r="A62" s="25"/>
      <c r="B62" s="26"/>
      <c r="C62" s="27"/>
      <c r="D62" s="26"/>
      <c r="E62" s="28"/>
      <c r="F62" s="29"/>
      <c r="G62" s="28"/>
      <c r="H62" s="28"/>
      <c r="I62" s="28"/>
      <c r="J62" s="28"/>
      <c r="K62" s="28"/>
      <c r="L62" s="28"/>
      <c r="M62" s="28"/>
      <c r="N62" s="30"/>
      <c r="O62" s="30"/>
      <c r="P62" s="30"/>
      <c r="Q62" s="30"/>
      <c r="R62" s="26"/>
      <c r="S62" s="30"/>
      <c r="T62" s="30"/>
      <c r="U62" s="30"/>
      <c r="V62" s="30"/>
      <c r="W62" s="2" t="str">
        <f t="shared" si="0"/>
        <v/>
      </c>
      <c r="X62" s="30"/>
      <c r="Y62" s="30"/>
      <c r="Z62" s="30"/>
      <c r="AA62" s="25"/>
    </row>
    <row r="63" spans="1:65" x14ac:dyDescent="0.25">
      <c r="A63" s="25"/>
      <c r="B63" s="26"/>
      <c r="C63" s="27"/>
      <c r="D63" s="26"/>
      <c r="E63" s="28"/>
      <c r="F63" s="29"/>
      <c r="G63" s="28"/>
      <c r="H63" s="28"/>
      <c r="I63" s="28"/>
      <c r="J63" s="28"/>
      <c r="K63" s="28"/>
      <c r="L63" s="28"/>
      <c r="M63" s="28"/>
      <c r="N63" s="30"/>
      <c r="O63" s="30"/>
      <c r="P63" s="30"/>
      <c r="Q63" s="30"/>
      <c r="R63" s="26"/>
      <c r="S63" s="30"/>
      <c r="T63" s="30"/>
      <c r="U63" s="30"/>
      <c r="V63" s="30"/>
      <c r="W63" s="2" t="str">
        <f t="shared" si="0"/>
        <v/>
      </c>
      <c r="X63" s="30"/>
      <c r="Y63" s="30"/>
      <c r="Z63" s="30"/>
      <c r="AA63" s="25"/>
    </row>
    <row r="64" spans="1:65" x14ac:dyDescent="0.25">
      <c r="A64" s="25"/>
      <c r="B64" s="26"/>
      <c r="C64" s="27"/>
      <c r="D64" s="26"/>
      <c r="E64" s="28"/>
      <c r="F64" s="29"/>
      <c r="G64" s="28"/>
      <c r="H64" s="28"/>
      <c r="I64" s="28"/>
      <c r="J64" s="28"/>
      <c r="K64" s="28"/>
      <c r="L64" s="28"/>
      <c r="M64" s="28"/>
      <c r="N64" s="30"/>
      <c r="O64" s="30"/>
      <c r="P64" s="30"/>
      <c r="Q64" s="30"/>
      <c r="R64" s="26"/>
      <c r="S64" s="30"/>
      <c r="T64" s="30"/>
      <c r="U64" s="30"/>
      <c r="V64" s="30"/>
      <c r="W64" s="2" t="str">
        <f t="shared" si="0"/>
        <v/>
      </c>
      <c r="X64" s="30"/>
      <c r="Y64" s="30"/>
      <c r="Z64" s="30"/>
      <c r="AA64" s="25"/>
    </row>
    <row r="65" spans="1:32" x14ac:dyDescent="0.25">
      <c r="A65" s="25"/>
      <c r="B65" s="26"/>
      <c r="C65" s="27"/>
      <c r="D65" s="26"/>
      <c r="E65" s="28"/>
      <c r="F65" s="29"/>
      <c r="G65" s="28"/>
      <c r="H65" s="28"/>
      <c r="I65" s="28"/>
      <c r="J65" s="28"/>
      <c r="K65" s="28"/>
      <c r="L65" s="30"/>
      <c r="M65" s="30"/>
      <c r="N65" s="30"/>
      <c r="O65" s="30"/>
      <c r="P65" s="30"/>
      <c r="Q65" s="30"/>
      <c r="R65" s="26"/>
      <c r="S65" s="30"/>
      <c r="T65" s="30"/>
      <c r="U65" s="30"/>
      <c r="V65" s="30"/>
      <c r="W65" s="2" t="str">
        <f t="shared" si="0"/>
        <v/>
      </c>
      <c r="X65" s="30"/>
      <c r="Y65" s="30"/>
      <c r="Z65" s="30"/>
      <c r="AA65" s="25"/>
    </row>
    <row r="66" spans="1:32" x14ac:dyDescent="0.25">
      <c r="A66" s="25"/>
      <c r="B66" s="26"/>
      <c r="C66" s="27"/>
      <c r="D66" s="26"/>
      <c r="E66" s="28"/>
      <c r="F66" s="29"/>
      <c r="G66" s="28"/>
      <c r="H66" s="28"/>
      <c r="I66" s="28"/>
      <c r="J66" s="28"/>
      <c r="K66" s="28"/>
      <c r="L66" s="30"/>
      <c r="M66" s="30"/>
      <c r="N66" s="30"/>
      <c r="O66" s="30"/>
      <c r="P66" s="30"/>
      <c r="Q66" s="30"/>
      <c r="R66" s="26"/>
      <c r="S66" s="30"/>
      <c r="T66" s="30"/>
      <c r="U66" s="30"/>
      <c r="V66" s="30"/>
      <c r="W66" s="2" t="str">
        <f t="shared" si="0"/>
        <v/>
      </c>
      <c r="X66" s="30"/>
      <c r="Y66" s="30"/>
      <c r="Z66" s="30"/>
      <c r="AA66" s="25"/>
    </row>
    <row r="67" spans="1:32" x14ac:dyDescent="0.25">
      <c r="A67" s="25"/>
      <c r="B67" s="26"/>
      <c r="C67" s="27"/>
      <c r="D67" s="26"/>
      <c r="E67" s="28"/>
      <c r="F67" s="29"/>
      <c r="G67" s="28"/>
      <c r="H67" s="28"/>
      <c r="I67" s="28"/>
      <c r="J67" s="28"/>
      <c r="K67" s="28"/>
      <c r="L67" s="30"/>
      <c r="M67" s="30"/>
      <c r="N67" s="30"/>
      <c r="O67" s="30"/>
      <c r="P67" s="30"/>
      <c r="Q67" s="30"/>
      <c r="R67" s="26"/>
      <c r="S67" s="30"/>
      <c r="T67" s="30"/>
      <c r="U67" s="30"/>
      <c r="V67" s="30"/>
      <c r="W67" s="2" t="str">
        <f t="shared" ref="W67:W87" si="94">IF(OR(ISBLANK($S67), ISBLANK($T67), ISBLANK($U67)), "", IF(S67&gt;T67,L67,M67))</f>
        <v/>
      </c>
      <c r="X67" s="30"/>
      <c r="Y67" s="30"/>
      <c r="Z67" s="30"/>
      <c r="AA67" s="25"/>
    </row>
    <row r="68" spans="1:32" x14ac:dyDescent="0.25">
      <c r="A68" s="25"/>
      <c r="B68" s="26"/>
      <c r="C68" s="27"/>
      <c r="D68" s="26"/>
      <c r="E68" s="28"/>
      <c r="F68" s="29"/>
      <c r="G68" s="28"/>
      <c r="H68" s="28"/>
      <c r="I68" s="28"/>
      <c r="J68" s="28"/>
      <c r="K68" s="28"/>
      <c r="L68" s="30"/>
      <c r="M68" s="30"/>
      <c r="N68" s="30"/>
      <c r="O68" s="30"/>
      <c r="P68" s="30"/>
      <c r="Q68" s="30"/>
      <c r="R68" s="26"/>
      <c r="S68" s="30"/>
      <c r="T68" s="30"/>
      <c r="U68" s="30"/>
      <c r="V68" s="30"/>
      <c r="W68" s="2" t="str">
        <f t="shared" si="94"/>
        <v/>
      </c>
      <c r="X68" s="30"/>
      <c r="Y68" s="30"/>
      <c r="Z68" s="30"/>
      <c r="AA68" s="25"/>
    </row>
    <row r="69" spans="1:32" x14ac:dyDescent="0.25">
      <c r="A69" s="25"/>
      <c r="B69" s="26"/>
      <c r="C69" s="27"/>
      <c r="D69" s="26"/>
      <c r="E69" s="28"/>
      <c r="F69" s="29"/>
      <c r="G69" s="28"/>
      <c r="H69" s="28"/>
      <c r="I69" s="28"/>
      <c r="J69" s="28"/>
      <c r="K69" s="28"/>
      <c r="L69" s="28"/>
      <c r="M69" s="28"/>
      <c r="N69" s="30"/>
      <c r="O69" s="30"/>
      <c r="P69" s="30"/>
      <c r="Q69" s="30"/>
      <c r="R69" s="26"/>
      <c r="S69" s="30"/>
      <c r="T69" s="30"/>
      <c r="U69" s="30"/>
      <c r="V69" s="30"/>
      <c r="W69" s="2" t="str">
        <f t="shared" si="94"/>
        <v/>
      </c>
      <c r="X69" s="30"/>
      <c r="Y69" s="30"/>
      <c r="Z69" s="30"/>
      <c r="AA69" s="25"/>
    </row>
    <row r="70" spans="1:32" x14ac:dyDescent="0.25">
      <c r="A70" s="25"/>
      <c r="B70" s="26"/>
      <c r="C70" s="27"/>
      <c r="D70" s="26"/>
      <c r="E70" s="28"/>
      <c r="F70" s="29"/>
      <c r="G70" s="28"/>
      <c r="H70" s="28"/>
      <c r="I70" s="28"/>
      <c r="J70" s="28"/>
      <c r="K70" s="28"/>
      <c r="L70" s="28"/>
      <c r="M70" s="28"/>
      <c r="N70" s="30"/>
      <c r="O70" s="30"/>
      <c r="P70" s="30"/>
      <c r="Q70" s="30"/>
      <c r="R70" s="26"/>
      <c r="S70" s="30"/>
      <c r="T70" s="30"/>
      <c r="U70" s="30"/>
      <c r="V70" s="30"/>
      <c r="W70" s="2" t="str">
        <f t="shared" si="94"/>
        <v/>
      </c>
      <c r="X70" s="30"/>
      <c r="Y70" s="30"/>
      <c r="Z70" s="30"/>
      <c r="AA70" s="25"/>
    </row>
    <row r="71" spans="1:32" x14ac:dyDescent="0.25">
      <c r="A71" s="25"/>
      <c r="B71" s="26"/>
      <c r="C71" s="27"/>
      <c r="D71" s="26"/>
      <c r="E71" s="28"/>
      <c r="F71" s="29"/>
      <c r="G71" s="28"/>
      <c r="H71" s="28"/>
      <c r="I71" s="28"/>
      <c r="J71" s="28"/>
      <c r="K71" s="28"/>
      <c r="L71" s="30"/>
      <c r="M71" s="30"/>
      <c r="N71" s="30"/>
      <c r="O71" s="30"/>
      <c r="P71" s="30"/>
      <c r="Q71" s="30"/>
      <c r="R71" s="26"/>
      <c r="S71" s="30"/>
      <c r="T71" s="30"/>
      <c r="U71" s="30"/>
      <c r="V71" s="30"/>
      <c r="W71" s="2" t="str">
        <f t="shared" si="94"/>
        <v/>
      </c>
      <c r="X71" s="30"/>
      <c r="Y71" s="30"/>
      <c r="Z71" s="30"/>
      <c r="AA71" s="25"/>
    </row>
    <row r="72" spans="1:32" x14ac:dyDescent="0.25">
      <c r="A72" s="25"/>
      <c r="B72" s="26"/>
      <c r="C72" s="27"/>
      <c r="D72" s="26"/>
      <c r="E72" s="28"/>
      <c r="F72" s="29"/>
      <c r="G72" s="28"/>
      <c r="H72" s="28"/>
      <c r="I72" s="30"/>
      <c r="J72" s="28"/>
      <c r="K72" s="28"/>
      <c r="L72" s="30"/>
      <c r="M72" s="28"/>
      <c r="N72" s="30"/>
      <c r="O72" s="30"/>
      <c r="P72" s="30"/>
      <c r="Q72" s="30"/>
      <c r="R72" s="26"/>
      <c r="S72" s="30"/>
      <c r="T72" s="30"/>
      <c r="U72" s="30"/>
      <c r="V72" s="30"/>
      <c r="W72" s="2" t="str">
        <f t="shared" si="94"/>
        <v/>
      </c>
      <c r="X72" s="30"/>
      <c r="Y72" s="30"/>
      <c r="Z72" s="30"/>
      <c r="AA72" s="25"/>
    </row>
    <row r="73" spans="1:32" x14ac:dyDescent="0.25">
      <c r="A73" s="25"/>
      <c r="B73" s="26"/>
      <c r="C73" s="27"/>
      <c r="D73" s="26"/>
      <c r="E73" s="28"/>
      <c r="F73" s="29"/>
      <c r="G73" s="28"/>
      <c r="H73" s="28"/>
      <c r="I73" s="28"/>
      <c r="J73" s="28"/>
      <c r="K73" s="28"/>
      <c r="L73" s="28"/>
      <c r="M73" s="28"/>
      <c r="N73" s="30"/>
      <c r="O73" s="30"/>
      <c r="P73" s="30"/>
      <c r="Q73" s="30"/>
      <c r="R73" s="26"/>
      <c r="S73" s="30"/>
      <c r="T73" s="30"/>
      <c r="U73" s="30"/>
      <c r="V73" s="30"/>
      <c r="W73" s="2" t="str">
        <f t="shared" si="94"/>
        <v/>
      </c>
      <c r="X73" s="30"/>
      <c r="Y73" s="30"/>
      <c r="Z73" s="30"/>
      <c r="AA73" s="25"/>
    </row>
    <row r="74" spans="1:32" x14ac:dyDescent="0.25">
      <c r="A74" s="25"/>
      <c r="B74" s="26"/>
      <c r="C74" s="27"/>
      <c r="D74" s="26"/>
      <c r="E74" s="28"/>
      <c r="F74" s="29"/>
      <c r="G74" s="28"/>
      <c r="H74" s="28"/>
      <c r="I74" s="30"/>
      <c r="J74" s="28"/>
      <c r="K74" s="28"/>
      <c r="L74" s="30"/>
      <c r="M74" s="28"/>
      <c r="N74" s="30"/>
      <c r="O74" s="30"/>
      <c r="P74" s="30"/>
      <c r="Q74" s="30"/>
      <c r="R74" s="26"/>
      <c r="S74" s="30"/>
      <c r="T74" s="30"/>
      <c r="U74" s="30"/>
      <c r="V74" s="30"/>
      <c r="W74" s="2" t="str">
        <f t="shared" si="94"/>
        <v/>
      </c>
      <c r="X74" s="30"/>
      <c r="Y74" s="30"/>
      <c r="Z74" s="30"/>
      <c r="AA74" s="25"/>
      <c r="AF74" s="2" t="e">
        <f>WEEKDAY(#REF!)</f>
        <v>#REF!</v>
      </c>
    </row>
    <row r="75" spans="1:32" x14ac:dyDescent="0.25">
      <c r="A75" s="25"/>
      <c r="B75" s="26"/>
      <c r="C75" s="27"/>
      <c r="D75" s="26"/>
      <c r="E75" s="28"/>
      <c r="F75" s="29"/>
      <c r="G75" s="28"/>
      <c r="H75" s="28"/>
      <c r="I75" s="28"/>
      <c r="J75" s="28"/>
      <c r="K75" s="28"/>
      <c r="L75" s="28"/>
      <c r="M75" s="28"/>
      <c r="N75" s="30"/>
      <c r="O75" s="30"/>
      <c r="P75" s="30"/>
      <c r="Q75" s="30"/>
      <c r="R75" s="26"/>
      <c r="S75" s="30"/>
      <c r="T75" s="30"/>
      <c r="U75" s="30"/>
      <c r="V75" s="30"/>
      <c r="W75" s="2" t="str">
        <f t="shared" si="94"/>
        <v/>
      </c>
      <c r="X75" s="30"/>
      <c r="Y75" s="30"/>
      <c r="Z75" s="30"/>
      <c r="AA75" s="25"/>
    </row>
    <row r="76" spans="1:32" x14ac:dyDescent="0.25">
      <c r="A76" s="25"/>
      <c r="B76" s="26"/>
      <c r="C76" s="32"/>
      <c r="D76" s="33"/>
      <c r="E76" s="34"/>
      <c r="F76" s="35"/>
      <c r="G76" s="34"/>
      <c r="H76" s="34"/>
      <c r="I76" s="34"/>
      <c r="J76" s="34"/>
      <c r="K76" s="34"/>
      <c r="L76" s="34"/>
      <c r="M76" s="30"/>
      <c r="N76" s="30"/>
      <c r="O76" s="30"/>
      <c r="P76" s="30"/>
      <c r="Q76" s="30"/>
      <c r="R76" s="26"/>
      <c r="S76" s="30"/>
      <c r="T76" s="30"/>
      <c r="U76" s="30"/>
      <c r="V76" s="30"/>
      <c r="W76" s="2" t="str">
        <f t="shared" si="94"/>
        <v/>
      </c>
      <c r="X76" s="30"/>
      <c r="Y76" s="30"/>
      <c r="Z76" s="30"/>
      <c r="AA76" s="25"/>
    </row>
    <row r="77" spans="1:32" x14ac:dyDescent="0.25">
      <c r="A77" s="25"/>
      <c r="B77" s="26"/>
      <c r="C77" s="27"/>
      <c r="D77" s="26"/>
      <c r="E77" s="28"/>
      <c r="F77" s="29"/>
      <c r="G77" s="28"/>
      <c r="H77" s="28"/>
      <c r="I77" s="28"/>
      <c r="J77" s="28"/>
      <c r="K77" s="28"/>
      <c r="L77" s="28"/>
      <c r="M77" s="28"/>
      <c r="N77" s="30"/>
      <c r="O77" s="30"/>
      <c r="P77" s="30"/>
      <c r="Q77" s="30"/>
      <c r="R77" s="26"/>
      <c r="S77" s="30"/>
      <c r="T77" s="30"/>
      <c r="U77" s="30"/>
      <c r="V77" s="30"/>
      <c r="W77" s="2" t="str">
        <f t="shared" si="94"/>
        <v/>
      </c>
      <c r="X77" s="30"/>
      <c r="Y77" s="30"/>
      <c r="Z77" s="30"/>
      <c r="AA77" s="25"/>
    </row>
    <row r="78" spans="1:32" x14ac:dyDescent="0.25">
      <c r="A78" s="25"/>
      <c r="B78" s="26"/>
      <c r="C78" s="27"/>
      <c r="D78" s="26"/>
      <c r="E78" s="28"/>
      <c r="F78" s="35"/>
      <c r="G78" s="28"/>
      <c r="H78" s="28"/>
      <c r="I78" s="30"/>
      <c r="J78" s="28"/>
      <c r="K78" s="28"/>
      <c r="L78" s="34"/>
      <c r="M78" s="30"/>
      <c r="N78" s="30"/>
      <c r="O78" s="30"/>
      <c r="P78" s="30"/>
      <c r="Q78" s="30"/>
      <c r="R78" s="26"/>
      <c r="S78" s="30"/>
      <c r="T78" s="30"/>
      <c r="U78" s="30"/>
      <c r="V78" s="30"/>
      <c r="W78" s="2" t="str">
        <f t="shared" si="94"/>
        <v/>
      </c>
      <c r="X78" s="30"/>
      <c r="Y78" s="30"/>
      <c r="Z78" s="30"/>
      <c r="AA78" s="25"/>
    </row>
    <row r="79" spans="1:32" x14ac:dyDescent="0.25">
      <c r="A79" s="25"/>
      <c r="B79" s="26"/>
      <c r="C79" s="27"/>
      <c r="D79" s="26"/>
      <c r="E79" s="28"/>
      <c r="F79" s="29"/>
      <c r="G79" s="28"/>
      <c r="H79" s="28"/>
      <c r="I79" s="28"/>
      <c r="J79" s="28"/>
      <c r="K79" s="28"/>
      <c r="L79" s="28"/>
      <c r="M79" s="28"/>
      <c r="N79" s="30"/>
      <c r="O79" s="30"/>
      <c r="P79" s="30"/>
      <c r="Q79" s="30"/>
      <c r="R79" s="26"/>
      <c r="S79" s="30"/>
      <c r="T79" s="30"/>
      <c r="U79" s="30"/>
      <c r="V79" s="30"/>
      <c r="W79" s="2" t="str">
        <f t="shared" si="94"/>
        <v/>
      </c>
      <c r="X79" s="30"/>
      <c r="Y79" s="30"/>
      <c r="Z79" s="30"/>
      <c r="AA79" s="25"/>
    </row>
    <row r="80" spans="1:32" x14ac:dyDescent="0.25">
      <c r="A80" s="25"/>
      <c r="B80" s="26"/>
      <c r="C80" s="27"/>
      <c r="D80" s="26"/>
      <c r="E80" s="28"/>
      <c r="F80" s="35"/>
      <c r="G80" s="28"/>
      <c r="H80" s="28"/>
      <c r="I80" s="30"/>
      <c r="J80" s="28"/>
      <c r="K80" s="28"/>
      <c r="L80" s="30"/>
      <c r="M80" s="28"/>
      <c r="N80" s="30"/>
      <c r="O80" s="30"/>
      <c r="P80" s="30"/>
      <c r="Q80" s="30"/>
      <c r="R80" s="26"/>
      <c r="S80" s="30"/>
      <c r="T80" s="30"/>
      <c r="U80" s="30"/>
      <c r="V80" s="30"/>
      <c r="W80" s="2" t="str">
        <f t="shared" si="94"/>
        <v/>
      </c>
      <c r="X80" s="30"/>
      <c r="Y80" s="30"/>
      <c r="Z80" s="30"/>
      <c r="AA80" s="25"/>
    </row>
    <row r="81" spans="1:27" x14ac:dyDescent="0.25">
      <c r="A81" s="25"/>
      <c r="B81" s="26"/>
      <c r="C81" s="27"/>
      <c r="D81" s="26"/>
      <c r="E81" s="28"/>
      <c r="F81" s="29"/>
      <c r="G81" s="28"/>
      <c r="H81" s="28"/>
      <c r="I81" s="28"/>
      <c r="J81" s="28"/>
      <c r="K81" s="28"/>
      <c r="L81" s="28"/>
      <c r="M81" s="28"/>
      <c r="N81" s="30"/>
      <c r="O81" s="30"/>
      <c r="P81" s="30"/>
      <c r="Q81" s="30"/>
      <c r="R81" s="26"/>
      <c r="S81" s="30"/>
      <c r="T81" s="30"/>
      <c r="U81" s="30"/>
      <c r="V81" s="30"/>
      <c r="W81" s="2" t="str">
        <f t="shared" si="94"/>
        <v/>
      </c>
      <c r="X81" s="30"/>
      <c r="Y81" s="30"/>
      <c r="Z81" s="30"/>
      <c r="AA81" s="25"/>
    </row>
    <row r="82" spans="1:27" x14ac:dyDescent="0.25">
      <c r="A82" s="25"/>
      <c r="B82" s="26"/>
      <c r="C82" s="27"/>
      <c r="D82" s="26"/>
      <c r="E82" s="28"/>
      <c r="F82" s="29"/>
      <c r="G82" s="28"/>
      <c r="H82" s="28"/>
      <c r="I82" s="30"/>
      <c r="J82" s="28"/>
      <c r="K82" s="28"/>
      <c r="L82" s="30"/>
      <c r="M82" s="28"/>
      <c r="N82" s="30"/>
      <c r="O82" s="30"/>
      <c r="P82" s="30"/>
      <c r="Q82" s="30"/>
      <c r="R82" s="26"/>
      <c r="S82" s="30"/>
      <c r="T82" s="30"/>
      <c r="U82" s="30"/>
      <c r="V82" s="30"/>
      <c r="W82" s="2" t="str">
        <f t="shared" si="94"/>
        <v/>
      </c>
      <c r="X82" s="30"/>
      <c r="Y82" s="30"/>
      <c r="Z82" s="30"/>
      <c r="AA82" s="25"/>
    </row>
    <row r="83" spans="1:27" x14ac:dyDescent="0.25">
      <c r="A83" s="25"/>
      <c r="B83" s="26"/>
      <c r="C83" s="27"/>
      <c r="D83" s="26"/>
      <c r="E83" s="28"/>
      <c r="F83" s="29"/>
      <c r="G83" s="28"/>
      <c r="H83" s="28"/>
      <c r="I83" s="30"/>
      <c r="J83" s="28"/>
      <c r="K83" s="28"/>
      <c r="L83" s="30"/>
      <c r="M83" s="28"/>
      <c r="N83" s="30"/>
      <c r="O83" s="30"/>
      <c r="P83" s="30"/>
      <c r="Q83" s="30"/>
      <c r="R83" s="26"/>
      <c r="S83" s="30"/>
      <c r="T83" s="30"/>
      <c r="U83" s="30"/>
      <c r="V83" s="30"/>
      <c r="W83" s="2" t="str">
        <f t="shared" si="94"/>
        <v/>
      </c>
      <c r="X83" s="30"/>
      <c r="Y83" s="30"/>
      <c r="Z83" s="30"/>
      <c r="AA83" s="25"/>
    </row>
    <row r="84" spans="1:27" x14ac:dyDescent="0.25">
      <c r="A84" s="25"/>
      <c r="B84" s="26"/>
      <c r="C84" s="27"/>
      <c r="D84" s="26"/>
      <c r="E84" s="28"/>
      <c r="F84" s="29"/>
      <c r="G84" s="28"/>
      <c r="H84" s="28"/>
      <c r="I84" s="30"/>
      <c r="J84" s="28"/>
      <c r="K84" s="28"/>
      <c r="L84" s="28"/>
      <c r="M84" s="30"/>
      <c r="N84" s="30"/>
      <c r="O84" s="30"/>
      <c r="P84" s="30"/>
      <c r="Q84" s="30"/>
      <c r="R84" s="26"/>
      <c r="S84" s="30"/>
      <c r="T84" s="30"/>
      <c r="U84" s="30"/>
      <c r="V84" s="30"/>
      <c r="W84" s="2" t="str">
        <f t="shared" si="94"/>
        <v/>
      </c>
      <c r="X84" s="30"/>
      <c r="Y84" s="30"/>
      <c r="Z84" s="30"/>
      <c r="AA84" s="25"/>
    </row>
    <row r="85" spans="1:27" x14ac:dyDescent="0.25">
      <c r="A85" s="25"/>
      <c r="B85" s="26"/>
      <c r="C85" s="27"/>
      <c r="D85" s="26"/>
      <c r="E85" s="28"/>
      <c r="F85" s="29"/>
      <c r="G85" s="28"/>
      <c r="H85" s="28"/>
      <c r="I85" s="30"/>
      <c r="J85" s="28"/>
      <c r="K85" s="28"/>
      <c r="L85" s="28"/>
      <c r="M85" s="30"/>
      <c r="N85" s="30"/>
      <c r="O85" s="30"/>
      <c r="P85" s="30"/>
      <c r="Q85" s="30"/>
      <c r="R85" s="26"/>
      <c r="S85" s="30"/>
      <c r="T85" s="30"/>
      <c r="U85" s="30"/>
      <c r="V85" s="30"/>
      <c r="W85" s="2" t="str">
        <f t="shared" si="94"/>
        <v/>
      </c>
      <c r="X85" s="30"/>
      <c r="Y85" s="30"/>
      <c r="Z85" s="30"/>
      <c r="AA85" s="25"/>
    </row>
    <row r="86" spans="1:27" x14ac:dyDescent="0.25">
      <c r="A86" s="25"/>
      <c r="B86" s="26"/>
      <c r="C86" s="27"/>
      <c r="D86" s="26"/>
      <c r="E86" s="28"/>
      <c r="F86" s="29"/>
      <c r="G86" s="28"/>
      <c r="H86" s="28"/>
      <c r="I86" s="30"/>
      <c r="J86" s="28"/>
      <c r="K86" s="28"/>
      <c r="L86" s="30"/>
      <c r="M86" s="28"/>
      <c r="N86" s="30"/>
      <c r="O86" s="30"/>
      <c r="P86" s="30"/>
      <c r="Q86" s="30"/>
      <c r="R86" s="26"/>
      <c r="S86" s="30"/>
      <c r="T86" s="30"/>
      <c r="U86" s="30"/>
      <c r="V86" s="30"/>
      <c r="W86" s="2" t="str">
        <f t="shared" si="94"/>
        <v/>
      </c>
      <c r="X86" s="30"/>
      <c r="Y86" s="30"/>
      <c r="Z86" s="30"/>
      <c r="AA86" s="25"/>
    </row>
    <row r="87" spans="1:27" x14ac:dyDescent="0.25">
      <c r="A87" s="25"/>
      <c r="B87" s="26"/>
      <c r="C87" s="27"/>
      <c r="D87" s="26"/>
      <c r="E87" s="28"/>
      <c r="F87" s="29"/>
      <c r="G87" s="28"/>
      <c r="H87" s="28"/>
      <c r="I87" s="30"/>
      <c r="J87" s="28"/>
      <c r="K87" s="28"/>
      <c r="L87" s="28"/>
      <c r="M87" s="30"/>
      <c r="N87" s="30"/>
      <c r="O87" s="30"/>
      <c r="P87" s="30"/>
      <c r="Q87" s="30"/>
      <c r="R87" s="26"/>
      <c r="S87" s="30"/>
      <c r="T87" s="30"/>
      <c r="U87" s="30"/>
      <c r="V87" s="30"/>
      <c r="W87" s="2" t="str">
        <f t="shared" si="94"/>
        <v/>
      </c>
      <c r="X87" s="30"/>
      <c r="Y87" s="30"/>
      <c r="Z87" s="30"/>
      <c r="AA87" s="25"/>
    </row>
    <row r="88" spans="1:27" x14ac:dyDescent="0.25">
      <c r="B88" s="4"/>
      <c r="C88" s="4"/>
      <c r="H88" s="5"/>
      <c r="I88" s="5"/>
      <c r="J88" s="5"/>
      <c r="K88" s="5"/>
      <c r="L88" s="2"/>
      <c r="M88" s="2"/>
      <c r="N88" s="2"/>
      <c r="O88" s="2"/>
      <c r="P88" s="2"/>
      <c r="Q88" s="2"/>
      <c r="R88" s="4"/>
      <c r="S88" s="2"/>
      <c r="T88" s="2"/>
      <c r="U88" s="2"/>
      <c r="V88" s="2" t="str">
        <f t="shared" ref="V71:V95" si="95">IF(ISBLANK($U88),"",IF($S88=$T88,0,IF($L88=$N88,IF($S88&gt;$T88,1,0),IF($T88&gt;$S88,1,0))))</f>
        <v/>
      </c>
      <c r="W88" s="2" t="str">
        <f t="shared" ref="W34:W95" si="96">IF(OR(ISBLANK($S88), ISBLANK($T88), ISBLANK($U88)), "", IF(S88&gt;T88,L88,M88))</f>
        <v/>
      </c>
    </row>
    <row r="89" spans="1:27" x14ac:dyDescent="0.25">
      <c r="B89" s="4"/>
      <c r="C89" s="4"/>
      <c r="H89" s="5"/>
      <c r="I89" s="5"/>
      <c r="J89" s="5"/>
      <c r="K89" s="5"/>
      <c r="L89" s="2"/>
      <c r="M89" s="2"/>
      <c r="N89" s="2"/>
      <c r="O89" s="2"/>
      <c r="P89" s="2"/>
      <c r="Q89" s="2"/>
      <c r="R89" s="4"/>
      <c r="S89" s="2"/>
      <c r="T89" s="2"/>
      <c r="U89" s="2"/>
      <c r="V89" s="2" t="str">
        <f t="shared" si="95"/>
        <v/>
      </c>
      <c r="W89" s="2" t="str">
        <f t="shared" si="96"/>
        <v/>
      </c>
    </row>
    <row r="90" spans="1:27" x14ac:dyDescent="0.25">
      <c r="B90" s="4"/>
      <c r="C90" s="4"/>
      <c r="H90" s="5"/>
      <c r="I90" s="5"/>
      <c r="J90" s="5"/>
      <c r="K90" s="5"/>
      <c r="L90" s="2"/>
      <c r="M90" s="2"/>
      <c r="N90" s="2"/>
      <c r="O90" s="2"/>
      <c r="P90" s="2"/>
      <c r="Q90" s="2"/>
      <c r="R90" s="4"/>
      <c r="S90" s="2"/>
      <c r="T90" s="2"/>
      <c r="U90" s="2"/>
      <c r="V90" s="2" t="str">
        <f t="shared" si="95"/>
        <v/>
      </c>
      <c r="W90" s="2" t="str">
        <f t="shared" si="96"/>
        <v/>
      </c>
    </row>
    <row r="91" spans="1:27" x14ac:dyDescent="0.25">
      <c r="B91" s="4"/>
      <c r="C91" s="4"/>
      <c r="H91" s="5"/>
      <c r="I91" s="5"/>
      <c r="J91" s="5"/>
      <c r="K91" s="5"/>
      <c r="L91" s="2"/>
      <c r="M91" s="2"/>
      <c r="N91" s="2"/>
      <c r="O91" s="2"/>
      <c r="P91" s="2"/>
      <c r="Q91" s="2"/>
      <c r="R91" s="4"/>
      <c r="S91" s="2"/>
      <c r="T91" s="2"/>
      <c r="U91" s="2"/>
      <c r="V91" s="2" t="str">
        <f t="shared" si="95"/>
        <v/>
      </c>
      <c r="W91" s="2" t="str">
        <f t="shared" si="96"/>
        <v/>
      </c>
    </row>
    <row r="92" spans="1:27" x14ac:dyDescent="0.25">
      <c r="B92" s="4"/>
      <c r="C92" s="4"/>
      <c r="H92" s="5"/>
      <c r="I92" s="5"/>
      <c r="J92" s="5"/>
      <c r="K92" s="5"/>
      <c r="L92" s="2"/>
      <c r="M92" s="2"/>
      <c r="N92" s="2"/>
      <c r="O92" s="2"/>
      <c r="P92" s="2"/>
      <c r="Q92" s="2"/>
      <c r="R92" s="4"/>
      <c r="S92" s="2"/>
      <c r="T92" s="2"/>
      <c r="U92" s="2"/>
      <c r="V92" s="2" t="str">
        <f t="shared" si="95"/>
        <v/>
      </c>
      <c r="W92" s="2" t="str">
        <f t="shared" si="96"/>
        <v/>
      </c>
    </row>
    <row r="93" spans="1:27" x14ac:dyDescent="0.25">
      <c r="B93" s="4"/>
      <c r="C93" s="4"/>
      <c r="H93" s="5"/>
      <c r="I93" s="5"/>
      <c r="J93" s="5"/>
      <c r="K93" s="5"/>
      <c r="L93" s="2"/>
      <c r="M93" s="2"/>
      <c r="N93" s="2"/>
      <c r="O93" s="2"/>
      <c r="P93" s="2"/>
      <c r="Q93" s="2"/>
      <c r="R93" s="4"/>
      <c r="S93" s="2"/>
      <c r="T93" s="2"/>
      <c r="U93" s="2"/>
      <c r="V93" s="2" t="str">
        <f t="shared" si="95"/>
        <v/>
      </c>
      <c r="W93" s="2" t="str">
        <f t="shared" si="96"/>
        <v/>
      </c>
    </row>
    <row r="94" spans="1:27" x14ac:dyDescent="0.25">
      <c r="B94" s="4"/>
      <c r="C94" s="4"/>
      <c r="H94" s="5"/>
      <c r="I94" s="5"/>
      <c r="J94" s="5"/>
      <c r="K94" s="5"/>
      <c r="L94" s="2"/>
      <c r="M94" s="2"/>
      <c r="N94" s="2"/>
      <c r="O94" s="2"/>
      <c r="P94" s="2"/>
      <c r="Q94" s="2"/>
      <c r="R94" s="4"/>
      <c r="S94" s="2"/>
      <c r="T94" s="2"/>
      <c r="U94" s="2"/>
      <c r="V94" s="2" t="str">
        <f t="shared" si="95"/>
        <v/>
      </c>
      <c r="W94" s="2" t="str">
        <f t="shared" si="96"/>
        <v/>
      </c>
    </row>
    <row r="95" spans="1:27" x14ac:dyDescent="0.25">
      <c r="B95" s="4"/>
      <c r="C95" s="4"/>
      <c r="H95" s="5"/>
      <c r="I95" s="5"/>
      <c r="J95" s="5"/>
      <c r="K95" s="5"/>
      <c r="L95" s="2"/>
      <c r="M95" s="2"/>
      <c r="N95" s="2"/>
      <c r="O95" s="2"/>
      <c r="P95" s="2"/>
      <c r="Q95" s="2"/>
      <c r="R95" s="4"/>
      <c r="S95" s="2"/>
      <c r="T95" s="2"/>
      <c r="U95" s="2"/>
      <c r="V95" s="2" t="str">
        <f t="shared" si="95"/>
        <v/>
      </c>
      <c r="W95" s="2" t="str">
        <f t="shared" si="96"/>
        <v/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Jordan Briggs</cp:lastModifiedBy>
  <dcterms:created xsi:type="dcterms:W3CDTF">2025-04-19T05:23:59Z</dcterms:created>
  <dcterms:modified xsi:type="dcterms:W3CDTF">2026-04-16T21:29:36Z</dcterms:modified>
</cp:coreProperties>
</file>