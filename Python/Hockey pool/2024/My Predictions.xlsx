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brig\Documents\Coding_Practice\Python\Hockey pool\2024\"/>
    </mc:Choice>
  </mc:AlternateContent>
  <xr:revisionPtr revIDLastSave="0" documentId="13_ncr:1_{1EF88D4F-29FD-40E5-B133-F2FAB661A4BE}" xr6:coauthVersionLast="47" xr6:coauthVersionMax="47" xr10:uidLastSave="{00000000-0000-0000-0000-000000000000}"/>
  <bookViews>
    <workbookView xWindow="-120" yWindow="-120" windowWidth="29040" windowHeight="15840" xr2:uid="{7BF13B1A-4770-4E31-9A10-40459726C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9" i="1" l="1"/>
  <c r="S8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2" i="1"/>
  <c r="R88" i="1"/>
  <c r="S88" i="1"/>
  <c r="R87" i="1"/>
  <c r="S87" i="1"/>
  <c r="R86" i="1"/>
  <c r="BQ33" i="1"/>
  <c r="BR33" i="1"/>
  <c r="BS33" i="1"/>
  <c r="BT33" i="1"/>
  <c r="BQ28" i="1"/>
  <c r="BR28" i="1"/>
  <c r="BS28" i="1"/>
  <c r="BT28" i="1"/>
  <c r="BQ29" i="1"/>
  <c r="BR29" i="1"/>
  <c r="BS29" i="1"/>
  <c r="BT29" i="1"/>
  <c r="BQ34" i="1"/>
  <c r="BR34" i="1"/>
  <c r="BS34" i="1"/>
  <c r="BT34" i="1"/>
  <c r="BQ31" i="1"/>
  <c r="BR31" i="1"/>
  <c r="BS31" i="1"/>
  <c r="BT31" i="1"/>
  <c r="BQ23" i="1"/>
  <c r="BR23" i="1"/>
  <c r="BS23" i="1"/>
  <c r="BT23" i="1"/>
  <c r="BQ22" i="1"/>
  <c r="BR22" i="1"/>
  <c r="BS22" i="1"/>
  <c r="BT22" i="1"/>
  <c r="BQ25" i="1"/>
  <c r="BR25" i="1"/>
  <c r="BS25" i="1"/>
  <c r="BT25" i="1"/>
  <c r="BQ26" i="1"/>
  <c r="BR26" i="1"/>
  <c r="BS26" i="1"/>
  <c r="BT26" i="1"/>
  <c r="BQ36" i="1"/>
  <c r="BR36" i="1"/>
  <c r="BS36" i="1"/>
  <c r="BT36" i="1"/>
  <c r="BQ27" i="1"/>
  <c r="BR27" i="1"/>
  <c r="BS27" i="1"/>
  <c r="BT27" i="1"/>
  <c r="BQ32" i="1"/>
  <c r="BR32" i="1"/>
  <c r="BS32" i="1"/>
  <c r="BT32" i="1"/>
  <c r="BQ24" i="1"/>
  <c r="BR24" i="1"/>
  <c r="BS24" i="1"/>
  <c r="BT24" i="1"/>
  <c r="BQ35" i="1"/>
  <c r="BR35" i="1"/>
  <c r="BS35" i="1"/>
  <c r="BT35" i="1"/>
  <c r="BQ30" i="1"/>
  <c r="BR30" i="1"/>
  <c r="BS30" i="1"/>
  <c r="BT30" i="1"/>
  <c r="BT37" i="1"/>
  <c r="BS37" i="1"/>
  <c r="BR37" i="1"/>
  <c r="BQ37" i="1"/>
  <c r="BG33" i="1"/>
  <c r="BG28" i="1"/>
  <c r="BG29" i="1"/>
  <c r="BG34" i="1"/>
  <c r="BG31" i="1"/>
  <c r="BG23" i="1"/>
  <c r="BG22" i="1"/>
  <c r="BG25" i="1"/>
  <c r="BG26" i="1"/>
  <c r="BG36" i="1"/>
  <c r="BG27" i="1"/>
  <c r="BG32" i="1"/>
  <c r="BG24" i="1"/>
  <c r="BG35" i="1"/>
  <c r="BG30" i="1"/>
  <c r="BG37" i="1"/>
  <c r="BX29" i="1" l="1"/>
  <c r="BW33" i="1"/>
  <c r="BX22" i="1"/>
  <c r="BX34" i="1"/>
  <c r="BV29" i="1"/>
  <c r="BU26" i="1"/>
  <c r="BV24" i="1"/>
  <c r="BV22" i="1"/>
  <c r="BX35" i="1"/>
  <c r="BX27" i="1"/>
  <c r="BX25" i="1"/>
  <c r="BU31" i="1"/>
  <c r="BY30" i="1"/>
  <c r="BU25" i="1"/>
  <c r="BX24" i="1"/>
  <c r="BX36" i="1"/>
  <c r="BV27" i="1"/>
  <c r="BY22" i="1"/>
  <c r="BX30" i="1"/>
  <c r="BV30" i="1"/>
  <c r="BX32" i="1"/>
  <c r="BU27" i="1"/>
  <c r="BU33" i="1"/>
  <c r="BV37" i="1"/>
  <c r="BW26" i="1"/>
  <c r="BX23" i="1"/>
  <c r="BY31" i="1"/>
  <c r="BX28" i="1"/>
  <c r="BW31" i="1"/>
  <c r="BY29" i="1"/>
  <c r="BU30" i="1"/>
  <c r="BU24" i="1"/>
  <c r="BY27" i="1"/>
  <c r="BX26" i="1"/>
  <c r="BW22" i="1"/>
  <c r="BX31" i="1"/>
  <c r="BW29" i="1"/>
  <c r="BU37" i="1"/>
  <c r="BV26" i="1"/>
  <c r="BU22" i="1"/>
  <c r="BV31" i="1"/>
  <c r="BU29" i="1"/>
  <c r="BW30" i="1"/>
  <c r="BW24" i="1"/>
  <c r="BW27" i="1"/>
  <c r="BY35" i="1"/>
  <c r="BY32" i="1"/>
  <c r="BY36" i="1"/>
  <c r="BY25" i="1"/>
  <c r="BY23" i="1"/>
  <c r="BY34" i="1"/>
  <c r="BY28" i="1"/>
  <c r="BV33" i="1"/>
  <c r="BW35" i="1"/>
  <c r="BW25" i="1"/>
  <c r="BW34" i="1"/>
  <c r="BW28" i="1"/>
  <c r="BW32" i="1"/>
  <c r="BV35" i="1"/>
  <c r="BY24" i="1"/>
  <c r="BV32" i="1"/>
  <c r="BV36" i="1"/>
  <c r="BY26" i="1"/>
  <c r="BV25" i="1"/>
  <c r="BV23" i="1"/>
  <c r="BV34" i="1"/>
  <c r="BV28" i="1"/>
  <c r="BY33" i="1"/>
  <c r="BW36" i="1"/>
  <c r="BW23" i="1"/>
  <c r="BU35" i="1"/>
  <c r="BU32" i="1"/>
  <c r="BU36" i="1"/>
  <c r="BU23" i="1"/>
  <c r="BU34" i="1"/>
  <c r="BU28" i="1"/>
  <c r="BX33" i="1"/>
  <c r="BX37" i="1"/>
  <c r="BW37" i="1"/>
  <c r="BY37" i="1"/>
  <c r="R85" i="1" l="1"/>
  <c r="AG60" i="1"/>
  <c r="AH60" i="1"/>
  <c r="AK60" i="1"/>
  <c r="AL60" i="1"/>
  <c r="AM60" i="1"/>
  <c r="AN60" i="1"/>
  <c r="AO60" i="1"/>
  <c r="AP60" i="1"/>
  <c r="AQ60" i="1"/>
  <c r="AR60" i="1"/>
  <c r="AS60" i="1"/>
  <c r="AT60" i="1"/>
  <c r="AT59" i="1"/>
  <c r="AS59" i="1"/>
  <c r="AR59" i="1"/>
  <c r="AQ59" i="1"/>
  <c r="AP59" i="1"/>
  <c r="AO59" i="1"/>
  <c r="AE60" i="1"/>
  <c r="AD60" i="1"/>
  <c r="AC60" i="1"/>
  <c r="AB60" i="1"/>
  <c r="AN59" i="1"/>
  <c r="AM59" i="1"/>
  <c r="AL59" i="1"/>
  <c r="AK59" i="1"/>
  <c r="AH59" i="1"/>
  <c r="AG59" i="1"/>
  <c r="AE59" i="1"/>
  <c r="AD59" i="1"/>
  <c r="AC59" i="1"/>
  <c r="AB59" i="1"/>
  <c r="AB53" i="1"/>
  <c r="AC53" i="1"/>
  <c r="AD53" i="1"/>
  <c r="AE53" i="1"/>
  <c r="AG53" i="1"/>
  <c r="AH53" i="1"/>
  <c r="AK53" i="1"/>
  <c r="AL53" i="1"/>
  <c r="AM53" i="1"/>
  <c r="AN53" i="1"/>
  <c r="AO53" i="1"/>
  <c r="AP53" i="1"/>
  <c r="AQ53" i="1"/>
  <c r="AR53" i="1"/>
  <c r="AS53" i="1"/>
  <c r="AT53" i="1"/>
  <c r="AB54" i="1"/>
  <c r="AC54" i="1"/>
  <c r="AD54" i="1"/>
  <c r="AE54" i="1"/>
  <c r="AG54" i="1"/>
  <c r="AH54" i="1"/>
  <c r="AK54" i="1"/>
  <c r="AL54" i="1"/>
  <c r="AM54" i="1"/>
  <c r="AN54" i="1"/>
  <c r="AO54" i="1"/>
  <c r="AP54" i="1"/>
  <c r="AQ54" i="1"/>
  <c r="AR54" i="1"/>
  <c r="AS54" i="1"/>
  <c r="AT54" i="1"/>
  <c r="AB55" i="1"/>
  <c r="AC55" i="1"/>
  <c r="AD55" i="1"/>
  <c r="AE55" i="1"/>
  <c r="AG55" i="1"/>
  <c r="AH55" i="1"/>
  <c r="AK55" i="1"/>
  <c r="AL55" i="1"/>
  <c r="AM55" i="1"/>
  <c r="AN55" i="1"/>
  <c r="AO55" i="1"/>
  <c r="AP55" i="1"/>
  <c r="AQ55" i="1"/>
  <c r="AR55" i="1"/>
  <c r="AS55" i="1"/>
  <c r="AT55" i="1"/>
  <c r="AT52" i="1"/>
  <c r="AS52" i="1"/>
  <c r="AR52" i="1"/>
  <c r="AQ52" i="1"/>
  <c r="AP52" i="1"/>
  <c r="AO52" i="1"/>
  <c r="AN52" i="1"/>
  <c r="AM52" i="1"/>
  <c r="AL42" i="1"/>
  <c r="AL43" i="1"/>
  <c r="AL44" i="1"/>
  <c r="AL45" i="1"/>
  <c r="AL46" i="1"/>
  <c r="AL47" i="1"/>
  <c r="AL48" i="1"/>
  <c r="AL41" i="1"/>
  <c r="AL52" i="1"/>
  <c r="AK52" i="1"/>
  <c r="AH52" i="1"/>
  <c r="AG52" i="1"/>
  <c r="AE52" i="1"/>
  <c r="AD52" i="1"/>
  <c r="AC52" i="1"/>
  <c r="AB52" i="1"/>
  <c r="AB42" i="1"/>
  <c r="AC42" i="1"/>
  <c r="AD42" i="1"/>
  <c r="AE42" i="1"/>
  <c r="AG42" i="1"/>
  <c r="AH42" i="1"/>
  <c r="AK42" i="1"/>
  <c r="AM42" i="1"/>
  <c r="AN42" i="1"/>
  <c r="AO42" i="1"/>
  <c r="AP42" i="1"/>
  <c r="AQ42" i="1"/>
  <c r="AR42" i="1"/>
  <c r="AS42" i="1"/>
  <c r="AT42" i="1"/>
  <c r="AB43" i="1"/>
  <c r="AC43" i="1"/>
  <c r="AD43" i="1"/>
  <c r="AE43" i="1"/>
  <c r="AG43" i="1"/>
  <c r="AH43" i="1"/>
  <c r="AK43" i="1"/>
  <c r="AM43" i="1"/>
  <c r="AN43" i="1"/>
  <c r="AO43" i="1"/>
  <c r="AP43" i="1"/>
  <c r="AQ43" i="1"/>
  <c r="AR43" i="1"/>
  <c r="AS43" i="1"/>
  <c r="AT43" i="1"/>
  <c r="AB44" i="1"/>
  <c r="AC44" i="1"/>
  <c r="AD44" i="1"/>
  <c r="AE44" i="1"/>
  <c r="AG44" i="1"/>
  <c r="AH44" i="1"/>
  <c r="AK44" i="1"/>
  <c r="AM44" i="1"/>
  <c r="AN44" i="1"/>
  <c r="AO44" i="1"/>
  <c r="AP44" i="1"/>
  <c r="AQ44" i="1"/>
  <c r="AR44" i="1"/>
  <c r="AS44" i="1"/>
  <c r="AT44" i="1"/>
  <c r="AB45" i="1"/>
  <c r="AC45" i="1"/>
  <c r="AD45" i="1"/>
  <c r="AE45" i="1"/>
  <c r="AG45" i="1"/>
  <c r="AH45" i="1"/>
  <c r="AK45" i="1"/>
  <c r="AM45" i="1"/>
  <c r="AN45" i="1"/>
  <c r="AO45" i="1"/>
  <c r="AP45" i="1"/>
  <c r="AQ45" i="1"/>
  <c r="AR45" i="1"/>
  <c r="AS45" i="1"/>
  <c r="AT45" i="1"/>
  <c r="AB46" i="1"/>
  <c r="AC46" i="1"/>
  <c r="AD46" i="1"/>
  <c r="AE46" i="1"/>
  <c r="AG46" i="1"/>
  <c r="AH46" i="1"/>
  <c r="AK46" i="1"/>
  <c r="AM46" i="1"/>
  <c r="AN46" i="1"/>
  <c r="AO46" i="1"/>
  <c r="AP46" i="1"/>
  <c r="AQ46" i="1"/>
  <c r="AR46" i="1"/>
  <c r="AS46" i="1"/>
  <c r="AT46" i="1"/>
  <c r="AB47" i="1"/>
  <c r="AC47" i="1"/>
  <c r="AD47" i="1"/>
  <c r="AE47" i="1"/>
  <c r="AG47" i="1"/>
  <c r="AH47" i="1"/>
  <c r="AK47" i="1"/>
  <c r="AM47" i="1"/>
  <c r="AN47" i="1"/>
  <c r="AO47" i="1"/>
  <c r="AP47" i="1"/>
  <c r="AQ47" i="1"/>
  <c r="AR47" i="1"/>
  <c r="AS47" i="1"/>
  <c r="AT47" i="1"/>
  <c r="AB48" i="1"/>
  <c r="AC48" i="1"/>
  <c r="AD48" i="1"/>
  <c r="AE48" i="1"/>
  <c r="AG48" i="1"/>
  <c r="AH48" i="1"/>
  <c r="AK48" i="1"/>
  <c r="AM48" i="1"/>
  <c r="AN48" i="1"/>
  <c r="AO48" i="1"/>
  <c r="AP48" i="1"/>
  <c r="AQ48" i="1"/>
  <c r="AR48" i="1"/>
  <c r="AS48" i="1"/>
  <c r="AT48" i="1"/>
  <c r="AT41" i="1"/>
  <c r="AS41" i="1"/>
  <c r="AR41" i="1"/>
  <c r="AQ41" i="1"/>
  <c r="AP41" i="1"/>
  <c r="AO41" i="1"/>
  <c r="AN41" i="1"/>
  <c r="AM41" i="1"/>
  <c r="R84" i="1"/>
  <c r="AK41" i="1"/>
  <c r="AH41" i="1"/>
  <c r="AG41" i="1"/>
  <c r="AE41" i="1"/>
  <c r="AD41" i="1"/>
  <c r="AC41" i="1"/>
  <c r="AB41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O37" i="1"/>
  <c r="AO36" i="1"/>
  <c r="AO35" i="1"/>
  <c r="AO34" i="1"/>
  <c r="AO33" i="1"/>
  <c r="AO32" i="1"/>
  <c r="AO31" i="1"/>
  <c r="AO30" i="1"/>
  <c r="AO29" i="1"/>
  <c r="AO28" i="1"/>
  <c r="AO27" i="1"/>
  <c r="AO26" i="1"/>
  <c r="AO25" i="1"/>
  <c r="AO24" i="1"/>
  <c r="AO23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M37" i="1"/>
  <c r="AM36" i="1"/>
  <c r="AM35" i="1"/>
  <c r="AM34" i="1"/>
  <c r="AM33" i="1"/>
  <c r="AM32" i="1"/>
  <c r="AM31" i="1"/>
  <c r="AM30" i="1"/>
  <c r="AM29" i="1"/>
  <c r="AM28" i="1"/>
  <c r="AM27" i="1"/>
  <c r="AM26" i="1"/>
  <c r="AM25" i="1"/>
  <c r="AM24" i="1"/>
  <c r="AM23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T22" i="1"/>
  <c r="AS22" i="1"/>
  <c r="AR22" i="1"/>
  <c r="AQ22" i="1"/>
  <c r="AP22" i="1"/>
  <c r="AO22" i="1"/>
  <c r="AN22" i="1"/>
  <c r="AM22" i="1"/>
  <c r="AL22" i="1"/>
  <c r="AK22" i="1"/>
  <c r="AG22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E22" i="1"/>
  <c r="AD22" i="1"/>
  <c r="AC22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  <c r="R83" i="1"/>
  <c r="AD17" i="1" s="1"/>
  <c r="R82" i="1"/>
  <c r="X5" i="1"/>
  <c r="X74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BM37" i="1" l="1"/>
  <c r="BI35" i="1"/>
  <c r="BZ35" i="1" s="1"/>
  <c r="BJ36" i="1"/>
  <c r="CC36" i="1" s="1"/>
  <c r="BJ27" i="1"/>
  <c r="CA27" i="1" s="1"/>
  <c r="BO37" i="1"/>
  <c r="BN36" i="1"/>
  <c r="BP36" i="1"/>
  <c r="BN27" i="1"/>
  <c r="BM24" i="1"/>
  <c r="BO24" i="1"/>
  <c r="AF53" i="1"/>
  <c r="BI34" i="1"/>
  <c r="BZ34" i="1" s="1"/>
  <c r="BJ32" i="1"/>
  <c r="CA32" i="1" s="1"/>
  <c r="BM30" i="1"/>
  <c r="BN32" i="1"/>
  <c r="BO30" i="1"/>
  <c r="BP32" i="1"/>
  <c r="BP27" i="1"/>
  <c r="AZ42" i="1"/>
  <c r="BI22" i="1"/>
  <c r="BZ22" i="1" s="1"/>
  <c r="BI24" i="1"/>
  <c r="BZ24" i="1" s="1"/>
  <c r="BJ29" i="1"/>
  <c r="CA29" i="1" s="1"/>
  <c r="BJ26" i="1"/>
  <c r="CC26" i="1" s="1"/>
  <c r="BM23" i="1"/>
  <c r="BN29" i="1"/>
  <c r="BN26" i="1"/>
  <c r="BP29" i="1"/>
  <c r="BP26" i="1"/>
  <c r="BO23" i="1"/>
  <c r="BI37" i="1"/>
  <c r="CB37" i="1" s="1"/>
  <c r="BM22" i="1"/>
  <c r="BO22" i="1"/>
  <c r="BA48" i="1"/>
  <c r="AF46" i="1"/>
  <c r="BA42" i="1"/>
  <c r="BI29" i="1"/>
  <c r="BZ29" i="1" s="1"/>
  <c r="BI26" i="1"/>
  <c r="BZ26" i="1" s="1"/>
  <c r="BI30" i="1"/>
  <c r="BZ30" i="1" s="1"/>
  <c r="BJ31" i="1"/>
  <c r="CA31" i="1" s="1"/>
  <c r="BM28" i="1"/>
  <c r="BM25" i="1"/>
  <c r="BM35" i="1"/>
  <c r="BN31" i="1"/>
  <c r="BO28" i="1"/>
  <c r="BO25" i="1"/>
  <c r="BO35" i="1"/>
  <c r="BP31" i="1"/>
  <c r="BC42" i="1"/>
  <c r="BI28" i="1"/>
  <c r="CB28" i="1" s="1"/>
  <c r="BI25" i="1"/>
  <c r="CB25" i="1" s="1"/>
  <c r="BJ34" i="1"/>
  <c r="CC34" i="1" s="1"/>
  <c r="BM33" i="1"/>
  <c r="BN34" i="1"/>
  <c r="BO33" i="1"/>
  <c r="BP34" i="1"/>
  <c r="BN37" i="1"/>
  <c r="BM29" i="1"/>
  <c r="BN23" i="1"/>
  <c r="BO29" i="1"/>
  <c r="BP23" i="1"/>
  <c r="BJ37" i="1"/>
  <c r="CA37" i="1" s="1"/>
  <c r="BO26" i="1"/>
  <c r="BI31" i="1"/>
  <c r="CB31" i="1" s="1"/>
  <c r="BI27" i="1"/>
  <c r="BZ27" i="1" s="1"/>
  <c r="BJ33" i="1"/>
  <c r="CA33" i="1" s="1"/>
  <c r="BJ22" i="1"/>
  <c r="CA22" i="1" s="1"/>
  <c r="BJ24" i="1"/>
  <c r="CC24" i="1" s="1"/>
  <c r="BM34" i="1"/>
  <c r="BM36" i="1"/>
  <c r="BN33" i="1"/>
  <c r="BN22" i="1"/>
  <c r="BN24" i="1"/>
  <c r="BO34" i="1"/>
  <c r="BO36" i="1"/>
  <c r="BP33" i="1"/>
  <c r="BP22" i="1"/>
  <c r="BP24" i="1"/>
  <c r="AF47" i="1"/>
  <c r="BB45" i="1"/>
  <c r="BI36" i="1"/>
  <c r="CB36" i="1" s="1"/>
  <c r="BJ23" i="1"/>
  <c r="CA23" i="1" s="1"/>
  <c r="BM26" i="1"/>
  <c r="BP37" i="1"/>
  <c r="BI23" i="1"/>
  <c r="BZ23" i="1" s="1"/>
  <c r="BI32" i="1"/>
  <c r="CB32" i="1" s="1"/>
  <c r="BJ28" i="1"/>
  <c r="CC28" i="1" s="1"/>
  <c r="BJ25" i="1"/>
  <c r="CA25" i="1" s="1"/>
  <c r="BJ35" i="1"/>
  <c r="CA35" i="1" s="1"/>
  <c r="BM31" i="1"/>
  <c r="BM27" i="1"/>
  <c r="BN28" i="1"/>
  <c r="BN25" i="1"/>
  <c r="BN35" i="1"/>
  <c r="BO31" i="1"/>
  <c r="BO27" i="1"/>
  <c r="BP28" i="1"/>
  <c r="BP25" i="1"/>
  <c r="BP35" i="1"/>
  <c r="BC48" i="1"/>
  <c r="BC46" i="1"/>
  <c r="AF43" i="1"/>
  <c r="BI33" i="1"/>
  <c r="BZ33" i="1" s="1"/>
  <c r="BJ30" i="1"/>
  <c r="CC30" i="1" s="1"/>
  <c r="BM32" i="1"/>
  <c r="BN30" i="1"/>
  <c r="BO32" i="1"/>
  <c r="BP30" i="1"/>
  <c r="CC27" i="1"/>
  <c r="BC45" i="1"/>
  <c r="BC43" i="1"/>
  <c r="AF42" i="1"/>
  <c r="BA45" i="1"/>
  <c r="AF45" i="1"/>
  <c r="AF54" i="1"/>
  <c r="AF59" i="1"/>
  <c r="AI59" i="1"/>
  <c r="BB59" i="1"/>
  <c r="BB48" i="1"/>
  <c r="BC53" i="1"/>
  <c r="AD16" i="1"/>
  <c r="AF48" i="1"/>
  <c r="AF55" i="1"/>
  <c r="AD15" i="1"/>
  <c r="AF44" i="1"/>
  <c r="BB42" i="1"/>
  <c r="BA53" i="1"/>
  <c r="BA47" i="1"/>
  <c r="BA44" i="1"/>
  <c r="BA55" i="1"/>
  <c r="AU59" i="1"/>
  <c r="BA60" i="1"/>
  <c r="BB46" i="1"/>
  <c r="BB43" i="1"/>
  <c r="BC54" i="1"/>
  <c r="BB53" i="1"/>
  <c r="BC47" i="1"/>
  <c r="BA46" i="1"/>
  <c r="BC44" i="1"/>
  <c r="BA43" i="1"/>
  <c r="BB54" i="1"/>
  <c r="BB47" i="1"/>
  <c r="BB44" i="1"/>
  <c r="AZ43" i="1"/>
  <c r="BB55" i="1"/>
  <c r="BA54" i="1"/>
  <c r="AX60" i="1"/>
  <c r="BE60" i="1" s="1"/>
  <c r="AX53" i="1"/>
  <c r="BE53" i="1" s="1"/>
  <c r="AU48" i="1"/>
  <c r="AU45" i="1"/>
  <c r="AU54" i="1"/>
  <c r="AU53" i="1"/>
  <c r="AU47" i="1"/>
  <c r="AU44" i="1"/>
  <c r="AU55" i="1"/>
  <c r="AU60" i="1"/>
  <c r="AX55" i="1"/>
  <c r="BE55" i="1" s="1"/>
  <c r="AU46" i="1"/>
  <c r="AX48" i="1"/>
  <c r="BE48" i="1" s="1"/>
  <c r="AX47" i="1"/>
  <c r="BE47" i="1" s="1"/>
  <c r="AX46" i="1"/>
  <c r="BE46" i="1" s="1"/>
  <c r="AX45" i="1"/>
  <c r="BE45" i="1" s="1"/>
  <c r="AX44" i="1"/>
  <c r="BE44" i="1" s="1"/>
  <c r="AX43" i="1"/>
  <c r="BE43" i="1" s="1"/>
  <c r="AX42" i="1"/>
  <c r="BE42" i="1" s="1"/>
  <c r="AX54" i="1"/>
  <c r="BE54" i="1" s="1"/>
  <c r="AZ53" i="1"/>
  <c r="AI48" i="1"/>
  <c r="AI47" i="1"/>
  <c r="AI46" i="1"/>
  <c r="AI45" i="1"/>
  <c r="AI44" i="1"/>
  <c r="AI43" i="1"/>
  <c r="AI42" i="1"/>
  <c r="AI55" i="1"/>
  <c r="AI60" i="1"/>
  <c r="AI54" i="1"/>
  <c r="AZ48" i="1"/>
  <c r="AZ47" i="1"/>
  <c r="AZ46" i="1"/>
  <c r="AZ45" i="1"/>
  <c r="AZ44" i="1"/>
  <c r="AZ55" i="1"/>
  <c r="AZ54" i="1"/>
  <c r="AI53" i="1"/>
  <c r="BB60" i="1"/>
  <c r="AY59" i="1"/>
  <c r="AX59" i="1"/>
  <c r="BE59" i="1" s="1"/>
  <c r="AV59" i="1"/>
  <c r="BA59" i="1"/>
  <c r="BC59" i="1"/>
  <c r="AF60" i="1"/>
  <c r="BC60" i="1"/>
  <c r="AV60" i="1"/>
  <c r="AY60" i="1"/>
  <c r="AZ59" i="1"/>
  <c r="AZ60" i="1"/>
  <c r="AW59" i="1"/>
  <c r="BD59" i="1" s="1"/>
  <c r="AW60" i="1"/>
  <c r="BD60" i="1" s="1"/>
  <c r="AY55" i="1"/>
  <c r="AY54" i="1"/>
  <c r="AY53" i="1"/>
  <c r="AW53" i="1"/>
  <c r="BD53" i="1" s="1"/>
  <c r="BC55" i="1"/>
  <c r="AW55" i="1"/>
  <c r="BD55" i="1" s="1"/>
  <c r="AV55" i="1"/>
  <c r="AV54" i="1"/>
  <c r="AV53" i="1"/>
  <c r="AW54" i="1"/>
  <c r="BD54" i="1" s="1"/>
  <c r="AY48" i="1"/>
  <c r="AY47" i="1"/>
  <c r="AY46" i="1"/>
  <c r="AY45" i="1"/>
  <c r="AY44" i="1"/>
  <c r="AY43" i="1"/>
  <c r="AY42" i="1"/>
  <c r="AW47" i="1"/>
  <c r="BD47" i="1" s="1"/>
  <c r="AW46" i="1"/>
  <c r="BD46" i="1" s="1"/>
  <c r="AW45" i="1"/>
  <c r="BD45" i="1" s="1"/>
  <c r="AW44" i="1"/>
  <c r="BD44" i="1" s="1"/>
  <c r="AW42" i="1"/>
  <c r="BD42" i="1" s="1"/>
  <c r="AW43" i="1"/>
  <c r="BD43" i="1" s="1"/>
  <c r="AV48" i="1"/>
  <c r="AV47" i="1"/>
  <c r="AV46" i="1"/>
  <c r="AV45" i="1"/>
  <c r="AV44" i="1"/>
  <c r="AV43" i="1"/>
  <c r="AV42" i="1"/>
  <c r="AW48" i="1"/>
  <c r="BD48" i="1" s="1"/>
  <c r="AU43" i="1"/>
  <c r="AU42" i="1"/>
  <c r="BB22" i="1"/>
  <c r="BA22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BB34" i="1"/>
  <c r="BB26" i="1"/>
  <c r="AZ41" i="1"/>
  <c r="AF52" i="1"/>
  <c r="AI41" i="1"/>
  <c r="AV41" i="1"/>
  <c r="AI22" i="1"/>
  <c r="AI52" i="1"/>
  <c r="AV52" i="1"/>
  <c r="AX52" i="1"/>
  <c r="BE52" i="1" s="1"/>
  <c r="BB52" i="1"/>
  <c r="BA52" i="1"/>
  <c r="BC52" i="1"/>
  <c r="AZ52" i="1"/>
  <c r="AU52" i="1"/>
  <c r="AW52" i="1"/>
  <c r="BD52" i="1" s="1"/>
  <c r="AY52" i="1"/>
  <c r="AF41" i="1"/>
  <c r="BA41" i="1"/>
  <c r="AU41" i="1"/>
  <c r="BC41" i="1"/>
  <c r="BB41" i="1"/>
  <c r="AW41" i="1"/>
  <c r="BD41" i="1" s="1"/>
  <c r="AX41" i="1"/>
  <c r="BE41" i="1" s="1"/>
  <c r="AY41" i="1"/>
  <c r="BB32" i="1"/>
  <c r="BB24" i="1"/>
  <c r="BB36" i="1"/>
  <c r="AZ36" i="1"/>
  <c r="AZ32" i="1"/>
  <c r="AZ26" i="1"/>
  <c r="AX31" i="1"/>
  <c r="BE31" i="1" s="1"/>
  <c r="AZ22" i="1"/>
  <c r="BA30" i="1"/>
  <c r="BA28" i="1"/>
  <c r="BA26" i="1"/>
  <c r="AF24" i="1"/>
  <c r="AF30" i="1"/>
  <c r="AF36" i="1"/>
  <c r="BC27" i="1"/>
  <c r="BA37" i="1"/>
  <c r="BA35" i="1"/>
  <c r="BA33" i="1"/>
  <c r="BA31" i="1"/>
  <c r="BA29" i="1"/>
  <c r="BA27" i="1"/>
  <c r="BA25" i="1"/>
  <c r="BA23" i="1"/>
  <c r="BC34" i="1"/>
  <c r="BC24" i="1"/>
  <c r="AF34" i="1"/>
  <c r="AV22" i="1"/>
  <c r="BC22" i="1"/>
  <c r="AF28" i="1"/>
  <c r="AY36" i="1"/>
  <c r="AW34" i="1"/>
  <c r="BD34" i="1" s="1"/>
  <c r="AY32" i="1"/>
  <c r="AV24" i="1"/>
  <c r="BA36" i="1"/>
  <c r="AV37" i="1"/>
  <c r="AV35" i="1"/>
  <c r="AV33" i="1"/>
  <c r="AV29" i="1"/>
  <c r="AV25" i="1"/>
  <c r="AV23" i="1"/>
  <c r="AW37" i="1"/>
  <c r="BD37" i="1" s="1"/>
  <c r="AW33" i="1"/>
  <c r="BD33" i="1" s="1"/>
  <c r="AZ29" i="1"/>
  <c r="AW27" i="1"/>
  <c r="BD27" i="1" s="1"/>
  <c r="AW23" i="1"/>
  <c r="BD23" i="1" s="1"/>
  <c r="BB31" i="1"/>
  <c r="BB29" i="1"/>
  <c r="BB27" i="1"/>
  <c r="BB25" i="1"/>
  <c r="BB23" i="1"/>
  <c r="AW31" i="1"/>
  <c r="BD31" i="1" s="1"/>
  <c r="AY25" i="1"/>
  <c r="AY29" i="1"/>
  <c r="AY35" i="1"/>
  <c r="AY31" i="1"/>
  <c r="AU37" i="1"/>
  <c r="AX35" i="1"/>
  <c r="BE35" i="1" s="1"/>
  <c r="AU33" i="1"/>
  <c r="AV27" i="1"/>
  <c r="AX25" i="1"/>
  <c r="BE25" i="1" s="1"/>
  <c r="AU30" i="1"/>
  <c r="AX28" i="1"/>
  <c r="BE28" i="1" s="1"/>
  <c r="BC31" i="1"/>
  <c r="AU23" i="1"/>
  <c r="BA34" i="1"/>
  <c r="BA32" i="1"/>
  <c r="BB30" i="1"/>
  <c r="BB28" i="1"/>
  <c r="BB37" i="1"/>
  <c r="BB35" i="1"/>
  <c r="BA24" i="1"/>
  <c r="AV36" i="1"/>
  <c r="AX34" i="1"/>
  <c r="BE34" i="1" s="1"/>
  <c r="AV32" i="1"/>
  <c r="AV30" i="1"/>
  <c r="AV28" i="1"/>
  <c r="AV26" i="1"/>
  <c r="AY34" i="1"/>
  <c r="AW30" i="1"/>
  <c r="BD30" i="1" s="1"/>
  <c r="AY28" i="1"/>
  <c r="AU26" i="1"/>
  <c r="AW24" i="1"/>
  <c r="BD24" i="1" s="1"/>
  <c r="AW22" i="1"/>
  <c r="BD22" i="1" s="1"/>
  <c r="BB33" i="1"/>
  <c r="AU22" i="1"/>
  <c r="AX22" i="1"/>
  <c r="BE22" i="1" s="1"/>
  <c r="AZ37" i="1"/>
  <c r="AX36" i="1"/>
  <c r="BE36" i="1" s="1"/>
  <c r="BC35" i="1"/>
  <c r="AW35" i="1"/>
  <c r="BD35" i="1" s="1"/>
  <c r="AV34" i="1"/>
  <c r="AZ33" i="1"/>
  <c r="AX32" i="1"/>
  <c r="BE32" i="1" s="1"/>
  <c r="AV31" i="1"/>
  <c r="AZ30" i="1"/>
  <c r="AX29" i="1"/>
  <c r="BE29" i="1" s="1"/>
  <c r="BC28" i="1"/>
  <c r="AW28" i="1"/>
  <c r="BD28" i="1" s="1"/>
  <c r="AU27" i="1"/>
  <c r="AY26" i="1"/>
  <c r="BC25" i="1"/>
  <c r="AW25" i="1"/>
  <c r="BD25" i="1" s="1"/>
  <c r="AU24" i="1"/>
  <c r="AZ23" i="1"/>
  <c r="AY22" i="1"/>
  <c r="AY37" i="1"/>
  <c r="BC36" i="1"/>
  <c r="AW36" i="1"/>
  <c r="BD36" i="1" s="1"/>
  <c r="AU34" i="1"/>
  <c r="AY33" i="1"/>
  <c r="BC32" i="1"/>
  <c r="AW32" i="1"/>
  <c r="BD32" i="1" s="1"/>
  <c r="AU31" i="1"/>
  <c r="AY30" i="1"/>
  <c r="BC29" i="1"/>
  <c r="AW29" i="1"/>
  <c r="BD29" i="1" s="1"/>
  <c r="AZ27" i="1"/>
  <c r="AX26" i="1"/>
  <c r="BE26" i="1" s="1"/>
  <c r="AZ24" i="1"/>
  <c r="AY23" i="1"/>
  <c r="AX37" i="1"/>
  <c r="BE37" i="1" s="1"/>
  <c r="AU35" i="1"/>
  <c r="AZ34" i="1"/>
  <c r="AX33" i="1"/>
  <c r="BE33" i="1" s="1"/>
  <c r="AZ31" i="1"/>
  <c r="AX30" i="1"/>
  <c r="BE30" i="1" s="1"/>
  <c r="AU28" i="1"/>
  <c r="AY27" i="1"/>
  <c r="BC26" i="1"/>
  <c r="AW26" i="1"/>
  <c r="BD26" i="1" s="1"/>
  <c r="AU25" i="1"/>
  <c r="AY24" i="1"/>
  <c r="AX23" i="1"/>
  <c r="BE23" i="1" s="1"/>
  <c r="BC37" i="1"/>
  <c r="AU36" i="1"/>
  <c r="AZ35" i="1"/>
  <c r="BC33" i="1"/>
  <c r="AU32" i="1"/>
  <c r="BC30" i="1"/>
  <c r="AU29" i="1"/>
  <c r="AZ28" i="1"/>
  <c r="AX27" i="1"/>
  <c r="BE27" i="1" s="1"/>
  <c r="AZ25" i="1"/>
  <c r="AX24" i="1"/>
  <c r="BE24" i="1" s="1"/>
  <c r="BC23" i="1"/>
  <c r="AF26" i="1"/>
  <c r="AF22" i="1"/>
  <c r="AF27" i="1"/>
  <c r="AF33" i="1"/>
  <c r="AF37" i="1"/>
  <c r="AF31" i="1"/>
  <c r="AF25" i="1"/>
  <c r="AF23" i="1"/>
  <c r="AF29" i="1"/>
  <c r="AF35" i="1"/>
  <c r="AF32" i="1"/>
  <c r="CB35" i="1" l="1"/>
  <c r="CA36" i="1"/>
  <c r="CA26" i="1"/>
  <c r="AJ53" i="1"/>
  <c r="BH24" i="1"/>
  <c r="CD24" i="1" s="1"/>
  <c r="AJ42" i="1"/>
  <c r="CC37" i="1"/>
  <c r="CB34" i="1"/>
  <c r="CC32" i="1"/>
  <c r="CA24" i="1"/>
  <c r="CA30" i="1"/>
  <c r="BZ28" i="1"/>
  <c r="CA28" i="1"/>
  <c r="CB26" i="1"/>
  <c r="BH27" i="1"/>
  <c r="CE27" i="1" s="1"/>
  <c r="BK33" i="1"/>
  <c r="BH29" i="1"/>
  <c r="CE29" i="1" s="1"/>
  <c r="CB23" i="1"/>
  <c r="CB22" i="1"/>
  <c r="BZ32" i="1"/>
  <c r="CB24" i="1"/>
  <c r="BH23" i="1"/>
  <c r="CE23" i="1" s="1"/>
  <c r="BK22" i="1"/>
  <c r="CB33" i="1"/>
  <c r="BH33" i="1"/>
  <c r="CE33" i="1" s="1"/>
  <c r="BH37" i="1"/>
  <c r="CD37" i="1" s="1"/>
  <c r="BK30" i="1"/>
  <c r="AJ47" i="1"/>
  <c r="BZ36" i="1"/>
  <c r="BZ37" i="1"/>
  <c r="CC22" i="1"/>
  <c r="CB29" i="1"/>
  <c r="AJ44" i="1"/>
  <c r="BK24" i="1"/>
  <c r="CC29" i="1"/>
  <c r="AJ46" i="1"/>
  <c r="CC31" i="1"/>
  <c r="CC25" i="1"/>
  <c r="BH22" i="1"/>
  <c r="CD22" i="1" s="1"/>
  <c r="BH31" i="1"/>
  <c r="CD31" i="1" s="1"/>
  <c r="BK28" i="1"/>
  <c r="BK25" i="1"/>
  <c r="BK35" i="1"/>
  <c r="CB30" i="1"/>
  <c r="BZ25" i="1"/>
  <c r="BH30" i="1"/>
  <c r="CD30" i="1" s="1"/>
  <c r="BH28" i="1"/>
  <c r="CE28" i="1" s="1"/>
  <c r="BK37" i="1"/>
  <c r="AJ59" i="1"/>
  <c r="BK29" i="1"/>
  <c r="BH36" i="1"/>
  <c r="CE36" i="1" s="1"/>
  <c r="BK23" i="1"/>
  <c r="BK32" i="1"/>
  <c r="CC23" i="1"/>
  <c r="CC35" i="1"/>
  <c r="BZ31" i="1"/>
  <c r="CA34" i="1"/>
  <c r="CB27" i="1"/>
  <c r="BK26" i="1"/>
  <c r="AJ55" i="1"/>
  <c r="BH34" i="1"/>
  <c r="CE34" i="1" s="1"/>
  <c r="BH32" i="1"/>
  <c r="CD32" i="1" s="1"/>
  <c r="BH35" i="1"/>
  <c r="CD35" i="1" s="1"/>
  <c r="BK34" i="1"/>
  <c r="BK36" i="1"/>
  <c r="AJ48" i="1"/>
  <c r="CC33" i="1"/>
  <c r="BH26" i="1"/>
  <c r="CE26" i="1" s="1"/>
  <c r="BH25" i="1"/>
  <c r="CE25" i="1" s="1"/>
  <c r="BK31" i="1"/>
  <c r="BK27" i="1"/>
  <c r="AJ43" i="1"/>
  <c r="CD33" i="1"/>
  <c r="AJ60" i="1"/>
  <c r="AJ54" i="1"/>
  <c r="AJ45" i="1"/>
  <c r="AJ22" i="1"/>
  <c r="AJ26" i="1"/>
  <c r="AJ32" i="1"/>
  <c r="AJ27" i="1"/>
  <c r="AJ33" i="1"/>
  <c r="AJ28" i="1"/>
  <c r="AJ34" i="1"/>
  <c r="AJ23" i="1"/>
  <c r="AJ29" i="1"/>
  <c r="AJ35" i="1"/>
  <c r="AJ24" i="1"/>
  <c r="AJ30" i="1"/>
  <c r="AJ36" i="1"/>
  <c r="AJ25" i="1"/>
  <c r="AJ31" i="1"/>
  <c r="AJ37" i="1"/>
  <c r="AJ52" i="1"/>
  <c r="AJ41" i="1"/>
  <c r="R52" i="1"/>
  <c r="R53" i="1"/>
  <c r="R54" i="1"/>
  <c r="R55" i="1"/>
  <c r="R56" i="1"/>
  <c r="R57" i="1"/>
  <c r="R58" i="1"/>
  <c r="R59" i="1"/>
  <c r="R60" i="1"/>
  <c r="R61" i="1"/>
  <c r="R62" i="1"/>
  <c r="R63" i="1"/>
  <c r="AH3" i="1"/>
  <c r="AA17" i="1" a="1"/>
  <c r="AA17" i="1" s="1"/>
  <c r="AF17" i="1" s="1"/>
  <c r="AB17" i="1" a="1"/>
  <c r="AB17" i="1" s="1"/>
  <c r="AG17" i="1" s="1"/>
  <c r="AC17" i="1" a="1"/>
  <c r="AC17" i="1" s="1"/>
  <c r="AA16" i="1" a="1"/>
  <c r="AA16" i="1" s="1"/>
  <c r="AF16" i="1" s="1"/>
  <c r="AB16" i="1" a="1"/>
  <c r="AB16" i="1" s="1"/>
  <c r="AG16" i="1" s="1"/>
  <c r="AC16" i="1" a="1"/>
  <c r="AC16" i="1" s="1"/>
  <c r="AA15" i="1" a="1"/>
  <c r="AA15" i="1" s="1"/>
  <c r="AF15" i="1" s="1"/>
  <c r="AB15" i="1" a="1"/>
  <c r="AB15" i="1" s="1"/>
  <c r="AG15" i="1" s="1"/>
  <c r="AC15" i="1" a="1"/>
  <c r="AC15" i="1" s="1"/>
  <c r="AC14" i="1" a="1"/>
  <c r="AC14" i="1" s="1"/>
  <c r="AB14" i="1" a="1"/>
  <c r="AB14" i="1" s="1"/>
  <c r="AG14" i="1" s="1"/>
  <c r="AA14" i="1" a="1"/>
  <c r="AA14" i="1" s="1"/>
  <c r="AF14" i="1" s="1"/>
  <c r="AA13" i="1" a="1"/>
  <c r="AA13" i="1" s="1"/>
  <c r="AF13" i="1" s="1"/>
  <c r="AB13" i="1" a="1"/>
  <c r="AB13" i="1" s="1"/>
  <c r="AG13" i="1" s="1"/>
  <c r="AC13" i="1" a="1"/>
  <c r="AC13" i="1" s="1"/>
  <c r="AA12" i="1" a="1"/>
  <c r="AA12" i="1" s="1"/>
  <c r="AF12" i="1" s="1"/>
  <c r="AB12" i="1" a="1"/>
  <c r="AB12" i="1" s="1"/>
  <c r="AG12" i="1" s="1"/>
  <c r="AC12" i="1" a="1"/>
  <c r="AC12" i="1" s="1"/>
  <c r="AC11" i="1" a="1"/>
  <c r="AC11" i="1" s="1"/>
  <c r="AB11" i="1" a="1"/>
  <c r="AB11" i="1" s="1"/>
  <c r="AG11" i="1" s="1"/>
  <c r="AA11" i="1" a="1"/>
  <c r="AA11" i="1" s="1"/>
  <c r="AF11" i="1" s="1"/>
  <c r="R4" i="1"/>
  <c r="R34" i="1"/>
  <c r="R22" i="1"/>
  <c r="X3" i="1"/>
  <c r="R51" i="1"/>
  <c r="R50" i="1"/>
  <c r="AD14" i="1" s="1"/>
  <c r="R49" i="1"/>
  <c r="AD13" i="1" s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3" i="1"/>
  <c r="R32" i="1"/>
  <c r="R31" i="1"/>
  <c r="R30" i="1"/>
  <c r="R29" i="1"/>
  <c r="R28" i="1"/>
  <c r="R27" i="1"/>
  <c r="R26" i="1"/>
  <c r="R25" i="1"/>
  <c r="R24" i="1"/>
  <c r="R23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2" i="1"/>
  <c r="R3" i="1"/>
  <c r="R5" i="1"/>
  <c r="CE24" i="1" l="1"/>
  <c r="AD11" i="1"/>
  <c r="CD27" i="1"/>
  <c r="CE37" i="1"/>
  <c r="CD36" i="1"/>
  <c r="CD29" i="1"/>
  <c r="BL33" i="1"/>
  <c r="BL22" i="1"/>
  <c r="CD25" i="1"/>
  <c r="CD28" i="1"/>
  <c r="CE30" i="1"/>
  <c r="CE31" i="1"/>
  <c r="CE35" i="1"/>
  <c r="CE22" i="1"/>
  <c r="CD23" i="1"/>
  <c r="CE32" i="1"/>
  <c r="AD9" i="1"/>
  <c r="BL25" i="1"/>
  <c r="CD26" i="1"/>
  <c r="BL28" i="1"/>
  <c r="BL27" i="1"/>
  <c r="BL36" i="1"/>
  <c r="BL34" i="1"/>
  <c r="CD34" i="1"/>
  <c r="BL23" i="1"/>
  <c r="BL35" i="1"/>
  <c r="BL32" i="1"/>
  <c r="BL37" i="1"/>
  <c r="AD3" i="1"/>
  <c r="BL30" i="1"/>
  <c r="BL24" i="1"/>
  <c r="BL31" i="1"/>
  <c r="BL26" i="1"/>
  <c r="BL29" i="1"/>
  <c r="AD7" i="1"/>
  <c r="AD6" i="1"/>
  <c r="AD12" i="1"/>
  <c r="AE12" i="1" s="1"/>
  <c r="AD4" i="1"/>
  <c r="AD10" i="1"/>
  <c r="AD5" i="1"/>
  <c r="AD8" i="1"/>
  <c r="AE11" i="1"/>
  <c r="X6" i="1"/>
  <c r="X7" i="1" s="1"/>
  <c r="AE14" i="1"/>
  <c r="AE15" i="1"/>
  <c r="AE16" i="1"/>
  <c r="AE17" i="1"/>
  <c r="AE13" i="1"/>
  <c r="AA9" i="1" a="1"/>
  <c r="AA9" i="1" s="1"/>
  <c r="AF9" i="1" s="1"/>
  <c r="AB9" i="1" a="1"/>
  <c r="AB9" i="1" s="1"/>
  <c r="AG9" i="1" s="1"/>
  <c r="AC6" i="1" a="1"/>
  <c r="AC6" i="1" s="1"/>
  <c r="AB3" i="1" a="1"/>
  <c r="AB3" i="1" s="1"/>
  <c r="AG3" i="1" s="1"/>
  <c r="AA6" i="1" a="1"/>
  <c r="AA6" i="1" s="1"/>
  <c r="AF6" i="1" s="1"/>
  <c r="AB8" i="1" a="1"/>
  <c r="AB8" i="1" s="1"/>
  <c r="AG8" i="1" s="1"/>
  <c r="AB7" i="1" a="1"/>
  <c r="AB7" i="1" s="1"/>
  <c r="AG7" i="1" s="1"/>
  <c r="AC8" i="1" a="1"/>
  <c r="AC8" i="1" s="1"/>
  <c r="AA10" i="1" a="1"/>
  <c r="AA10" i="1" s="1"/>
  <c r="AF10" i="1" s="1"/>
  <c r="AC7" i="1" a="1"/>
  <c r="AC7" i="1" s="1"/>
  <c r="AA4" i="1" a="1"/>
  <c r="AA4" i="1" s="1"/>
  <c r="AF4" i="1" s="1"/>
  <c r="AA3" i="1" a="1"/>
  <c r="AA3" i="1" s="1"/>
  <c r="AF3" i="1" s="1"/>
  <c r="AC10" i="1" a="1"/>
  <c r="AC10" i="1" s="1"/>
  <c r="AA5" i="1" a="1"/>
  <c r="AA5" i="1" s="1"/>
  <c r="AF5" i="1" s="1"/>
  <c r="AB6" i="1" a="1"/>
  <c r="AB6" i="1" s="1"/>
  <c r="AG6" i="1" s="1"/>
  <c r="AA8" i="1" a="1"/>
  <c r="AA8" i="1" s="1"/>
  <c r="AF8" i="1" s="1"/>
  <c r="AA7" i="1" a="1"/>
  <c r="AA7" i="1" s="1"/>
  <c r="AF7" i="1" s="1"/>
  <c r="AC9" i="1" a="1"/>
  <c r="AC9" i="1" s="1"/>
  <c r="AB5" i="1" a="1"/>
  <c r="AB5" i="1" s="1"/>
  <c r="AG5" i="1" s="1"/>
  <c r="AB10" i="1" a="1"/>
  <c r="AB10" i="1" s="1"/>
  <c r="AG10" i="1" s="1"/>
  <c r="AC4" i="1" a="1"/>
  <c r="AC4" i="1" s="1"/>
  <c r="AC5" i="1" a="1"/>
  <c r="AC5" i="1" s="1"/>
  <c r="AC3" i="1" a="1"/>
  <c r="AC3" i="1" s="1"/>
  <c r="AB4" i="1" a="1"/>
  <c r="AB4" i="1" s="1"/>
  <c r="AG4" i="1" s="1"/>
  <c r="AE9" i="1" l="1"/>
  <c r="AE6" i="1"/>
  <c r="AE10" i="1"/>
  <c r="AE8" i="1"/>
  <c r="AE3" i="1"/>
  <c r="AE5" i="1"/>
  <c r="AE7" i="1"/>
  <c r="AE4" i="1"/>
  <c r="X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<sst xmlns="http://schemas.openxmlformats.org/spreadsheetml/2006/main" count="841" uniqueCount="165">
  <si>
    <t>NYI</t>
  </si>
  <si>
    <t>CAR</t>
  </si>
  <si>
    <t>TOR</t>
  </si>
  <si>
    <t>BOS</t>
  </si>
  <si>
    <t>DATE</t>
  </si>
  <si>
    <t>AWAYTEAM</t>
  </si>
  <si>
    <t>HOMETEAM</t>
  </si>
  <si>
    <t>MYCHOICE</t>
  </si>
  <si>
    <t>AWAYSCORE</t>
  </si>
  <si>
    <t>HOMESCORE</t>
  </si>
  <si>
    <t>TBL</t>
  </si>
  <si>
    <t>FLA</t>
  </si>
  <si>
    <t>WSH</t>
  </si>
  <si>
    <t>NYR</t>
  </si>
  <si>
    <t>COL</t>
  </si>
  <si>
    <t>WPG</t>
  </si>
  <si>
    <t>NSH</t>
  </si>
  <si>
    <t>VAN</t>
  </si>
  <si>
    <t>VGK</t>
  </si>
  <si>
    <t>DAL</t>
  </si>
  <si>
    <t>LAK</t>
  </si>
  <si>
    <t>EDM</t>
  </si>
  <si>
    <t>GAMENUM</t>
  </si>
  <si>
    <t>CORRECT</t>
  </si>
  <si>
    <t>Games Completed</t>
  </si>
  <si>
    <t>Games Correct</t>
  </si>
  <si>
    <t>Percent Correct</t>
  </si>
  <si>
    <t>TOPSEED</t>
  </si>
  <si>
    <t>TOPSEEDWINS</t>
  </si>
  <si>
    <t>LOWSEEDWINS</t>
  </si>
  <si>
    <t>LOCKEDIN</t>
  </si>
  <si>
    <t>CONF</t>
  </si>
  <si>
    <t>EAST</t>
  </si>
  <si>
    <t>WEST</t>
  </si>
  <si>
    <t>SERIESCODE</t>
  </si>
  <si>
    <t>ROUNDNUM</t>
  </si>
  <si>
    <t>Max Possible Games R1</t>
  </si>
  <si>
    <t>Min Possible Games R1</t>
  </si>
  <si>
    <t>ER1M2M3</t>
  </si>
  <si>
    <t>ER1A2A3</t>
  </si>
  <si>
    <t>WR1P2P3</t>
  </si>
  <si>
    <t>WR1C2C3</t>
  </si>
  <si>
    <t>ER1A1WC1</t>
  </si>
  <si>
    <t>ER1M1WC2</t>
  </si>
  <si>
    <t>WR1P1WC1</t>
  </si>
  <si>
    <t>WR1C1WC2</t>
  </si>
  <si>
    <t>LOWSEED</t>
  </si>
  <si>
    <t>OTROUNDNUM</t>
  </si>
  <si>
    <t>GP In Series</t>
  </si>
  <si>
    <t>TopSeed</t>
  </si>
  <si>
    <t>LowSeed</t>
  </si>
  <si>
    <t>TopSeedGoals</t>
  </si>
  <si>
    <t>LowSeedGoals</t>
  </si>
  <si>
    <t>HomeGoals</t>
  </si>
  <si>
    <t>AwayGoals</t>
  </si>
  <si>
    <t>HomeWins</t>
  </si>
  <si>
    <t>AwayWins</t>
  </si>
  <si>
    <t>Num Ots</t>
  </si>
  <si>
    <t>ER2M1M2</t>
  </si>
  <si>
    <t>ER2A1A2</t>
  </si>
  <si>
    <t>WR2C1C2</t>
  </si>
  <si>
    <t>ER3AM</t>
  </si>
  <si>
    <t>WR3PC</t>
  </si>
  <si>
    <t>SCF</t>
  </si>
  <si>
    <t>WR2P1P2</t>
  </si>
  <si>
    <t>Guessed Right</t>
  </si>
  <si>
    <t>Pct Right</t>
  </si>
  <si>
    <t>GP R1</t>
  </si>
  <si>
    <t>GP R2</t>
  </si>
  <si>
    <t>GP R3</t>
  </si>
  <si>
    <t>GP R4</t>
  </si>
  <si>
    <t>GP TOT</t>
  </si>
  <si>
    <t>GF R1 H</t>
  </si>
  <si>
    <t>GA R1 H</t>
  </si>
  <si>
    <t>GF R1 A</t>
  </si>
  <si>
    <t>GA R1 A</t>
  </si>
  <si>
    <t>DIFF R1 H</t>
  </si>
  <si>
    <t>DIFF R1 A</t>
  </si>
  <si>
    <t>GF R1 T</t>
  </si>
  <si>
    <t>GA R1 T</t>
  </si>
  <si>
    <t>DIFF R1 T</t>
  </si>
  <si>
    <t>GP R1 H</t>
  </si>
  <si>
    <t>GP R1 A</t>
  </si>
  <si>
    <t>GFPG R1 H</t>
  </si>
  <si>
    <t>GFPG R1 A</t>
  </si>
  <si>
    <t>GAPG R1 A</t>
  </si>
  <si>
    <t>GAPG R1 H</t>
  </si>
  <si>
    <t>GFPG R1</t>
  </si>
  <si>
    <t>GAPG R1</t>
  </si>
  <si>
    <t>W TOT</t>
  </si>
  <si>
    <t>L TOT</t>
  </si>
  <si>
    <t>W H</t>
  </si>
  <si>
    <t>L H</t>
  </si>
  <si>
    <t>W A</t>
  </si>
  <si>
    <t>L A</t>
  </si>
  <si>
    <t>GP H</t>
  </si>
  <si>
    <t>GP A</t>
  </si>
  <si>
    <t>GP R2 H</t>
  </si>
  <si>
    <t>GP R2 A</t>
  </si>
  <si>
    <t>GF R2 H</t>
  </si>
  <si>
    <t>GF R2 A</t>
  </si>
  <si>
    <t>GA R2 H</t>
  </si>
  <si>
    <t>GA R2 A</t>
  </si>
  <si>
    <t>DIFF R2 H</t>
  </si>
  <si>
    <t>DIFF R2 A</t>
  </si>
  <si>
    <t>GF R2 T</t>
  </si>
  <si>
    <t>GA R2 T</t>
  </si>
  <si>
    <t>DIFF R2 T</t>
  </si>
  <si>
    <t>GFPG R2 H</t>
  </si>
  <si>
    <t>GFPG R2 A</t>
  </si>
  <si>
    <t>GAPG R2 H</t>
  </si>
  <si>
    <t>GAPG R2 A</t>
  </si>
  <si>
    <t>GFPG R2</t>
  </si>
  <si>
    <t>GAPG R2</t>
  </si>
  <si>
    <t>GAPG R3</t>
  </si>
  <si>
    <t>GFPG R3</t>
  </si>
  <si>
    <t>GAPG R3 A</t>
  </si>
  <si>
    <t>GAPG R3 H</t>
  </si>
  <si>
    <t>GFPG R3 A</t>
  </si>
  <si>
    <t>GFPG R3 H</t>
  </si>
  <si>
    <t>DIFF R3 T</t>
  </si>
  <si>
    <t>GA R3 T</t>
  </si>
  <si>
    <t>GF R3 T</t>
  </si>
  <si>
    <t>DIFF R3 A</t>
  </si>
  <si>
    <t>DIFF R3 H</t>
  </si>
  <si>
    <t>GA R3 A</t>
  </si>
  <si>
    <t>GA R3 H</t>
  </si>
  <si>
    <t>GF R3 A</t>
  </si>
  <si>
    <t>GF R3 H</t>
  </si>
  <si>
    <t>GP R3 A</t>
  </si>
  <si>
    <t>GP R3 H</t>
  </si>
  <si>
    <t>WINNER</t>
  </si>
  <si>
    <t>GP R4 A</t>
  </si>
  <si>
    <t>GF R4 H</t>
  </si>
  <si>
    <t>GF R4 A</t>
  </si>
  <si>
    <t>GA R4 H</t>
  </si>
  <si>
    <t>GA R4 A</t>
  </si>
  <si>
    <t>DIFF R4 H</t>
  </si>
  <si>
    <t>DIFF R4 A</t>
  </si>
  <si>
    <t>GF R4 T</t>
  </si>
  <si>
    <t>GA R4 T</t>
  </si>
  <si>
    <t>DIFF R4 T</t>
  </si>
  <si>
    <t>GFPG R4 H</t>
  </si>
  <si>
    <t>GFPG R4 A</t>
  </si>
  <si>
    <t>GAPG R4 H</t>
  </si>
  <si>
    <t>GAPG R4 A</t>
  </si>
  <si>
    <t>GFPG R4</t>
  </si>
  <si>
    <t>GAPG R4</t>
  </si>
  <si>
    <t>GP R4 H</t>
  </si>
  <si>
    <t>GF A</t>
  </si>
  <si>
    <t>GA H</t>
  </si>
  <si>
    <t>GA A</t>
  </si>
  <si>
    <t>DIFF H</t>
  </si>
  <si>
    <t>DIFF A</t>
  </si>
  <si>
    <t>GF T</t>
  </si>
  <si>
    <t>GA T</t>
  </si>
  <si>
    <t>DIFF T</t>
  </si>
  <si>
    <t>GFPG H</t>
  </si>
  <si>
    <t>GFPG A</t>
  </si>
  <si>
    <t>GAPG H</t>
  </si>
  <si>
    <t>GAPG A</t>
  </si>
  <si>
    <t>GF H</t>
  </si>
  <si>
    <t xml:space="preserve">GAPG </t>
  </si>
  <si>
    <t xml:space="preserve">GFPG 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</si>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</sst>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FF3300"/>
      </bottom>
      <diagonal/>
    </border>
    <border>
      <left/>
      <right/>
      <top/>
      <bottom style="thick">
        <color rgb="FFFF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/>
    <xf numFmtId="49" fontId="0" fillId="0" borderId="2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164" fontId="0" fillId="0" borderId="0" xfId="0" applyNumberFormat="1"/>
    <xf numFmtId="0" fontId="0" fillId="0" borderId="3" xfId="0" applyBorder="1"/>
    <xf numFmtId="14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/>
    <xf numFmtId="0" fontId="0" fillId="0" borderId="5" xfId="0" applyBorder="1"/>
    <xf numFmtId="0" fontId="0" fillId="0" borderId="8" xfId="0" applyBorder="1"/>
    <xf numFmtId="49" fontId="0" fillId="0" borderId="5" xfId="0" applyNumberFormat="1" applyBorder="1" applyAlignment="1">
      <alignment horizontal="center"/>
    </xf>
  </cellXfs>
  <cellStyles count="1">
    <cellStyle name="Normal" xfId="0" builtinId="0"/>
  </cellStyles>
  <dxfs count="42">
    <dxf>
      <fill>
        <patternFill>
          <bgColor rgb="FFFF6969"/>
        </patternFill>
      </fill>
    </dxf>
    <dxf>
      <fill>
        <patternFill>
          <bgColor rgb="FFFF6969"/>
        </patternFill>
      </fill>
    </dxf>
    <dxf>
      <font>
        <b/>
        <i val="0"/>
        <color theme="4" tint="-0.24994659260841701"/>
      </font>
      <fill>
        <patternFill>
          <bgColor rgb="FFFF0000"/>
        </patternFill>
      </fill>
    </dxf>
    <dxf>
      <font>
        <b/>
        <i val="0"/>
        <color theme="7" tint="-0.24994659260841701"/>
      </font>
      <fill>
        <patternFill>
          <bgColor theme="2" tint="-0.499984740745262"/>
        </patternFill>
      </fill>
    </dxf>
    <dxf>
      <font>
        <b/>
        <i val="0"/>
        <color theme="4" tint="0.39994506668294322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92001C"/>
        </patternFill>
      </fill>
    </dxf>
    <dxf>
      <font>
        <b/>
        <i val="0"/>
        <color rgb="FF00B050"/>
      </font>
      <fill>
        <patternFill>
          <bgColor theme="4" tint="-0.24994659260841701"/>
        </patternFill>
      </fill>
    </dxf>
    <dxf>
      <font>
        <b/>
        <i val="0"/>
        <color rgb="FF002060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002060"/>
      </font>
      <fill>
        <patternFill>
          <bgColor rgb="FFFF9900"/>
        </patternFill>
      </fill>
    </dxf>
    <dxf>
      <font>
        <b/>
        <i val="0"/>
        <color rgb="FFFFC000"/>
      </font>
      <fill>
        <patternFill>
          <bgColor rgb="FFFF0000"/>
        </patternFill>
      </fill>
    </dxf>
    <dxf>
      <font>
        <b/>
        <i val="0"/>
        <color theme="5"/>
      </font>
      <fill>
        <patternFill>
          <bgColor theme="4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4" tint="-0.24994659260841701"/>
        </patternFill>
      </fill>
    </dxf>
    <dxf>
      <font>
        <b/>
        <i val="0"/>
        <color rgb="FFFFC000"/>
      </font>
      <fill>
        <patternFill>
          <bgColor theme="1" tint="4.9989318521683403E-2"/>
        </patternFill>
      </fill>
    </dxf>
    <dxf>
      <font>
        <b/>
        <i val="0"/>
        <color theme="4" tint="0.39994506668294322"/>
      </font>
      <fill>
        <patternFill>
          <bgColor theme="1" tint="4.9989318521683403E-2"/>
        </patternFill>
      </fill>
    </dxf>
    <dxf>
      <font>
        <b/>
        <i val="0"/>
        <color rgb="FFFF0000"/>
      </font>
      <fill>
        <patternFill>
          <bgColor theme="4" tint="-0.24994659260841701"/>
        </patternFill>
      </fill>
    </dxf>
    <dxf>
      <font>
        <b/>
        <i val="0"/>
        <color theme="0" tint="-0.14996795556505021"/>
      </font>
      <fill>
        <patternFill>
          <bgColor theme="1" tint="4.9989318521683403E-2"/>
        </patternFill>
      </fill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colors>
    <mruColors>
      <color rgb="FFFF0000"/>
      <color rgb="FFFF3300"/>
      <color rgb="FFFF6969"/>
      <color rgb="FF92001C"/>
      <color rgb="FFFF9900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B70AB-2BEC-45DA-906F-EAB90471509D}" name="Table1" displayName="Table1" ref="BG21:CE37" totalsRowShown="0">
  <autoFilter ref="BG21:CE37" xr:uid="{10EB70AB-2BEC-45DA-906F-EAB90471509D}"/>
  <sortState xmlns:xlrd2="http://schemas.microsoft.com/office/spreadsheetml/2017/richdata2" ref="BG22:CE37">
    <sortCondition ref="CD21:CD37"/>
  </sortState>
  <tableColumns count="25">
    <tableColumn id="1" xr3:uid="{02B177F8-DBC4-4060-BAF2-5B99E76B37BF}" name="Team">
      <calculatedColumnFormula>AA22</calculatedColumnFormula>
    </tableColumn>
    <tableColumn id="2" xr3:uid="{B839D650-00D8-4B16-921C-BBE7C8D2ACEC}" name="GP TOT" dataDxfId="41">
      <calculatedColumnFormula>AF22</calculatedColumnFormula>
    </tableColumn>
    <tableColumn id="3" xr3:uid="{4D19E6C3-5009-4B5C-BCCD-BA8FB062348B}" name="GP H" dataDxfId="40">
      <calculatedColumnFormula>AG22</calculatedColumnFormula>
    </tableColumn>
    <tableColumn id="4" xr3:uid="{AF0CF996-970B-4C7E-94EA-FB16C72D8840}" name="GP A" dataDxfId="39">
      <calculatedColumnFormula>AH22</calculatedColumnFormula>
    </tableColumn>
    <tableColumn id="5" xr3:uid="{C1BF03C9-9399-44B4-B0BE-D5EFC97139C3}" name="W TOT" dataDxfId="38">
      <calculatedColumnFormula>AI22</calculatedColumnFormula>
    </tableColumn>
    <tableColumn id="6" xr3:uid="{68535253-71AA-4BEB-8CD3-EBCD7A17CD54}" name="L TOT" dataDxfId="37">
      <calculatedColumnFormula>AJ22</calculatedColumnFormula>
    </tableColumn>
    <tableColumn id="7" xr3:uid="{2C24014C-7ED0-4525-B0DD-EE2B672DF14B}" name="W H" dataDxfId="36">
      <calculatedColumnFormula>AK22</calculatedColumnFormula>
    </tableColumn>
    <tableColumn id="8" xr3:uid="{7D5C8C51-0890-4A8E-A9ED-92575F50F42B}" name="L H" dataDxfId="35">
      <calculatedColumnFormula>AL22</calculatedColumnFormula>
    </tableColumn>
    <tableColumn id="9" xr3:uid="{838C9965-08B2-4384-A863-13063B3E1EB4}" name="W A" dataDxfId="34">
      <calculatedColumnFormula>AM22</calculatedColumnFormula>
    </tableColumn>
    <tableColumn id="10" xr3:uid="{C5495DE5-90A8-48F2-BEFD-C07B9153716A}" name="L A" dataDxfId="33">
      <calculatedColumnFormula>AN22</calculatedColumnFormula>
    </tableColumn>
    <tableColumn id="11" xr3:uid="{FFA329E1-0D74-4143-B3DC-B0B8675FC1A2}" name="GF H" dataDxfId="32">
      <calculatedColumnFormula>SUMIFS($P$2:$P$100,$L$2:$L$100,AA22,$D$2:$D$100,1)+SUMIFS($P$2:$P$100,$L$2:$L$100,AA22,$D$2:$D$100,2)+SUMIFS($P$2:$P$100,$L$2:$L$100,AA22,$D$2:$D$100,3)+SUMIFS($P$2:$P$100,$L$2:$L$100,AA22,$D$2:$D$100,4)</calculatedColumnFormula>
    </tableColumn>
    <tableColumn id="12" xr3:uid="{BE123C15-EB58-4E3D-BB2D-5E7F4F0EC9B5}" name="GF A" dataDxfId="31">
      <calculatedColumnFormula>SUMIFS($O$2:$O$100,$K$2:$K$100,AA22,$D$2:$D$100,1) + SUMIFS($O$2:$O$100,$K$2:$K$100,AA22,$D$2:$D$100,2)+SUMIFS($O$2:$O$100,$K$2:$K$100,AA22,$D$2:$D$100,3)+SUMIFS($O$2:$O$100,$K$2:$K$100,AA22,$D$2:$D$100,4)</calculatedColumnFormula>
    </tableColumn>
    <tableColumn id="13" xr3:uid="{1ACC6C08-195A-47D0-A28B-B2EF75D2E386}" name="GA H" dataDxfId="30">
      <calculatedColumnFormula>SUMIFS($O$2:$O$100,$L$2:$L$100,AA22,$D$2:$D$100,1)+SUMIFS($O$2:$O$100,$L$2:$L$100,AA22,$D$2:$D$100,2)+SUMIFS($O$2:$O$100,$L$2:$L$100,AA22,$D$2:$D$100,3)+SUMIFS($O$2:$O$100,$L$2:$L$100,AA22,$D$2:$D$100,4)</calculatedColumnFormula>
    </tableColumn>
    <tableColumn id="14" xr3:uid="{367ADB1F-375C-4390-A1DC-CF103985303E}" name="GA A" dataDxfId="29">
      <calculatedColumnFormula>SUMIFS($P$2:$P$100,$K$2:$K$100,AA22,$D$2:$D$100,1)+(SUMIFS($P$2:$P$100,$K$2:$K$100,AA22,$D$2:$D$100,2)+SUMIFS($P$2:$P$100,$K$2:$K$100,AA22,$D$2:$D$100,3)+SUMIFS($P$2:$P$100,$K$2:$K$100,AA22,$D$2:$D$100,4))</calculatedColumnFormula>
    </tableColumn>
    <tableColumn id="15" xr3:uid="{1741824C-4C70-48F0-B5BF-8D3B3A2A6C00}" name="DIFF H" dataDxfId="28">
      <calculatedColumnFormula>BQ22-BS22</calculatedColumnFormula>
    </tableColumn>
    <tableColumn id="16" xr3:uid="{DE91190F-F93D-4DCE-B4D9-1815B898C08B}" name="DIFF A" dataDxfId="27">
      <calculatedColumnFormula>BR22-BT22</calculatedColumnFormula>
    </tableColumn>
    <tableColumn id="17" xr3:uid="{B13B0BC3-1DDF-4DF6-8521-1F748EB6100C}" name="GF T" dataDxfId="26">
      <calculatedColumnFormula>BQ22+BR22</calculatedColumnFormula>
    </tableColumn>
    <tableColumn id="18" xr3:uid="{19D2743F-3A7F-4CA0-92AE-CFC190AF647A}" name="GA T" dataDxfId="25">
      <calculatedColumnFormula>BS22+BT22</calculatedColumnFormula>
    </tableColumn>
    <tableColumn id="19" xr3:uid="{9D623DC3-8403-4DB3-874A-27EB2D47197E}" name="DIFF T" dataDxfId="24">
      <calculatedColumnFormula>(BQ22+BR22)-(BS22+BT22)</calculatedColumnFormula>
    </tableColumn>
    <tableColumn id="20" xr3:uid="{6E1B38A2-D392-4EE3-A452-B6C0AC8CB9C5}" name="GFPG H" dataDxfId="23">
      <calculatedColumnFormula>BQ22/BI22</calculatedColumnFormula>
    </tableColumn>
    <tableColumn id="21" xr3:uid="{11CEE4EE-84C3-420A-A7D5-312BFE7E2AB3}" name="GFPG A" dataDxfId="22">
      <calculatedColumnFormula>BR22/BJ22</calculatedColumnFormula>
    </tableColumn>
    <tableColumn id="22" xr3:uid="{6A2C1E70-E297-439C-B4AC-18D776A764E2}" name="GAPG H" dataDxfId="21">
      <calculatedColumnFormula>BS22/BI22</calculatedColumnFormula>
    </tableColumn>
    <tableColumn id="23" xr3:uid="{076E9F85-8C22-4C97-8BAD-94F8B6140871}" name="GAPG A" dataDxfId="20">
      <calculatedColumnFormula>BT22/BJ22</calculatedColumnFormula>
    </tableColumn>
    <tableColumn id="24" xr3:uid="{571B5898-D65C-4B06-96B0-4016F2CF9B62}" name="GFPG " dataDxfId="19">
      <calculatedColumnFormula>BW22/BH22</calculatedColumnFormula>
    </tableColumn>
    <tableColumn id="25" xr3:uid="{24E6603E-97EC-4A19-9E5D-615EAEE408B8}" name="GAPG " dataDxfId="18">
      <calculatedColumnFormula>BX22/BH22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9FCB-44D6-4DD7-80C6-C6E6D39A1DF9}">
  <sheetPr codeName="Sheet1"/>
  <dimension ref="A1:CE90"/>
  <sheetViews>
    <sheetView tabSelected="1" topLeftCell="A7" workbookViewId="0">
      <selection activeCell="V11" sqref="V11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6" style="2" bestFit="1" customWidth="1"/>
    <col min="4" max="4" width="12" style="4" bestFit="1" customWidth="1"/>
    <col min="5" max="5" width="11.5703125" style="5" bestFit="1" customWidth="1"/>
    <col min="6" max="6" width="10.7109375" style="4" bestFit="1" customWidth="1"/>
    <col min="7" max="7" width="8.85546875" style="1" bestFit="1" customWidth="1"/>
    <col min="8" max="8" width="9.42578125" style="1" bestFit="1" customWidth="1"/>
    <col min="9" max="9" width="13.85546875" style="1" bestFit="1" customWidth="1"/>
    <col min="10" max="10" width="14.42578125" style="1" bestFit="1" customWidth="1"/>
    <col min="11" max="12" width="11.42578125" bestFit="1" customWidth="1"/>
    <col min="13" max="13" width="10.28515625" bestFit="1" customWidth="1"/>
    <col min="14" max="14" width="10.42578125" bestFit="1" customWidth="1"/>
    <col min="15" max="16" width="12.140625" bestFit="1" customWidth="1"/>
    <col min="17" max="17" width="14.5703125" bestFit="1" customWidth="1"/>
    <col min="18" max="18" width="9" bestFit="1" customWidth="1"/>
    <col min="19" max="19" width="9.140625" style="2"/>
    <col min="20" max="20" width="17.5703125" bestFit="1" customWidth="1"/>
    <col min="21" max="21" width="22" bestFit="1" customWidth="1"/>
    <col min="24" max="24" width="12" bestFit="1" customWidth="1"/>
    <col min="26" max="26" width="11.140625" style="7" bestFit="1" customWidth="1"/>
    <col min="27" max="27" width="8.7109375" bestFit="1" customWidth="1"/>
    <col min="28" max="28" width="9" bestFit="1" customWidth="1"/>
    <col min="29" max="29" width="11.42578125" bestFit="1" customWidth="1"/>
    <col min="30" max="30" width="13.7109375" bestFit="1" customWidth="1"/>
    <col min="31" max="31" width="12" bestFit="1" customWidth="1"/>
    <col min="32" max="32" width="13.7109375" bestFit="1" customWidth="1"/>
    <col min="33" max="33" width="14" bestFit="1" customWidth="1"/>
    <col min="34" max="34" width="11.140625" bestFit="1" customWidth="1"/>
    <col min="35" max="36" width="10.7109375" bestFit="1" customWidth="1"/>
    <col min="37" max="37" width="10.28515625" bestFit="1" customWidth="1"/>
    <col min="38" max="38" width="8.7109375" bestFit="1" customWidth="1"/>
    <col min="39" max="39" width="4.5703125" bestFit="1" customWidth="1"/>
    <col min="40" max="40" width="3.5703125" bestFit="1" customWidth="1"/>
    <col min="41" max="42" width="7.7109375" bestFit="1" customWidth="1"/>
    <col min="43" max="44" width="7.5703125" bestFit="1" customWidth="1"/>
    <col min="45" max="46" width="7.85546875" bestFit="1" customWidth="1"/>
    <col min="47" max="47" width="9.140625" bestFit="1" customWidth="1"/>
    <col min="49" max="49" width="7.28515625" bestFit="1" customWidth="1"/>
    <col min="50" max="50" width="7.5703125" bestFit="1" customWidth="1"/>
    <col min="51" max="51" width="8.85546875" bestFit="1" customWidth="1"/>
    <col min="52" max="57" width="12" bestFit="1" customWidth="1"/>
    <col min="59" max="59" width="11" customWidth="1"/>
    <col min="60" max="60" width="9.5703125" customWidth="1"/>
    <col min="61" max="61" width="7.42578125" bestFit="1" customWidth="1"/>
    <col min="62" max="62" width="8.7109375" bestFit="1" customWidth="1"/>
    <col min="78" max="79" width="9.85546875" customWidth="1"/>
    <col min="80" max="81" width="10.140625" customWidth="1"/>
  </cols>
  <sheetData>
    <row r="1" spans="1:38" x14ac:dyDescent="0.25">
      <c r="A1" s="11"/>
      <c r="B1" s="16" t="s">
        <v>4</v>
      </c>
      <c r="C1" s="16" t="s">
        <v>31</v>
      </c>
      <c r="D1" s="17" t="s">
        <v>35</v>
      </c>
      <c r="E1" s="22" t="s">
        <v>34</v>
      </c>
      <c r="F1" s="17" t="s">
        <v>22</v>
      </c>
      <c r="G1" s="17" t="s">
        <v>27</v>
      </c>
      <c r="H1" s="17" t="s">
        <v>46</v>
      </c>
      <c r="I1" s="17" t="s">
        <v>28</v>
      </c>
      <c r="J1" s="17" t="s">
        <v>29</v>
      </c>
      <c r="K1" s="16" t="s">
        <v>5</v>
      </c>
      <c r="L1" s="16" t="s">
        <v>6</v>
      </c>
      <c r="M1" s="16" t="s">
        <v>7</v>
      </c>
      <c r="N1" s="16" t="s">
        <v>30</v>
      </c>
      <c r="O1" s="16" t="s">
        <v>8</v>
      </c>
      <c r="P1" s="16" t="s">
        <v>9</v>
      </c>
      <c r="Q1" s="16" t="s">
        <v>47</v>
      </c>
      <c r="R1" s="16" t="s">
        <v>23</v>
      </c>
      <c r="S1" s="2" t="s">
        <v>131</v>
      </c>
    </row>
    <row r="2" spans="1:38" x14ac:dyDescent="0.25">
      <c r="A2" t="str">
        <f>TEXT($B2,"dddd")</f>
        <v>Saturday</v>
      </c>
      <c r="B2" s="3">
        <v>45402</v>
      </c>
      <c r="C2" s="3" t="s">
        <v>32</v>
      </c>
      <c r="D2" s="4">
        <v>1</v>
      </c>
      <c r="E2" s="2" t="s">
        <v>38</v>
      </c>
      <c r="F2" s="4">
        <v>1</v>
      </c>
      <c r="G2" s="2" t="s">
        <v>1</v>
      </c>
      <c r="H2" s="2" t="s">
        <v>0</v>
      </c>
      <c r="I2" s="4">
        <v>1</v>
      </c>
      <c r="J2" s="4">
        <v>0</v>
      </c>
      <c r="K2" s="2" t="s">
        <v>0</v>
      </c>
      <c r="L2" s="2" t="s">
        <v>1</v>
      </c>
      <c r="M2" s="2" t="s">
        <v>1</v>
      </c>
      <c r="N2" s="3">
        <v>45402</v>
      </c>
      <c r="O2" s="2">
        <v>1</v>
      </c>
      <c r="P2" s="2">
        <v>3</v>
      </c>
      <c r="Q2" s="2">
        <v>0</v>
      </c>
      <c r="R2" s="2">
        <f t="shared" ref="R2:R32" si="0">IF($O2=$P2, 0, IF($K2=$M2, IF($O2&gt;$P2, 1, 0), IF($P2&gt;$O2, 1, 0)))</f>
        <v>1</v>
      </c>
      <c r="S2" s="2" t="str">
        <f t="shared" ref="S2:S33" si="1">IF(O2&gt;P2,K2,L2)</f>
        <v>CAR</v>
      </c>
      <c r="V2" s="2"/>
      <c r="W2" s="4"/>
      <c r="X2" s="5"/>
      <c r="Y2" s="4"/>
      <c r="Z2" s="9"/>
      <c r="AA2" s="10" t="s">
        <v>49</v>
      </c>
      <c r="AB2" s="10" t="s">
        <v>50</v>
      </c>
      <c r="AC2" s="10" t="s">
        <v>48</v>
      </c>
      <c r="AD2" s="10" t="s">
        <v>65</v>
      </c>
      <c r="AE2" s="10" t="s">
        <v>66</v>
      </c>
      <c r="AF2" s="10" t="s">
        <v>51</v>
      </c>
      <c r="AG2" s="10" t="s">
        <v>52</v>
      </c>
      <c r="AH2" s="10" t="s">
        <v>53</v>
      </c>
      <c r="AI2" s="10" t="s">
        <v>54</v>
      </c>
      <c r="AJ2" s="10" t="s">
        <v>55</v>
      </c>
      <c r="AK2" s="10" t="s">
        <v>56</v>
      </c>
      <c r="AL2" s="10" t="s">
        <v>57</v>
      </c>
    </row>
    <row r="3" spans="1:38" x14ac:dyDescent="0.25">
      <c r="A3" s="11" t="str">
        <f t="shared" ref="A3:A66" si="2">TEXT($B3,"dddd")</f>
        <v>Saturday</v>
      </c>
      <c r="B3" s="15">
        <v>45402</v>
      </c>
      <c r="C3" s="15" t="s">
        <v>32</v>
      </c>
      <c r="D3" s="17">
        <v>1</v>
      </c>
      <c r="E3" s="16" t="s">
        <v>39</v>
      </c>
      <c r="F3" s="17">
        <v>1</v>
      </c>
      <c r="G3" s="16" t="s">
        <v>3</v>
      </c>
      <c r="H3" s="16" t="s">
        <v>2</v>
      </c>
      <c r="I3" s="17">
        <v>1</v>
      </c>
      <c r="J3" s="17">
        <v>0</v>
      </c>
      <c r="K3" s="16" t="s">
        <v>2</v>
      </c>
      <c r="L3" s="16" t="s">
        <v>3</v>
      </c>
      <c r="M3" s="16" t="s">
        <v>2</v>
      </c>
      <c r="N3" s="15">
        <v>45402</v>
      </c>
      <c r="O3" s="16">
        <v>1</v>
      </c>
      <c r="P3" s="16">
        <v>5</v>
      </c>
      <c r="Q3" s="16">
        <v>0</v>
      </c>
      <c r="R3" s="16">
        <f t="shared" si="0"/>
        <v>0</v>
      </c>
      <c r="S3" s="2" t="str">
        <f t="shared" si="1"/>
        <v>BOS</v>
      </c>
      <c r="U3" t="s">
        <v>36</v>
      </c>
      <c r="V3" s="2"/>
      <c r="W3" s="4"/>
      <c r="X3" s="6">
        <f>8*7</f>
        <v>56</v>
      </c>
      <c r="Y3" s="4"/>
      <c r="Z3" s="8" t="s">
        <v>42</v>
      </c>
      <c r="AA3" s="1" t="str" cm="1">
        <f t="array" ref="AA3">INDEX(G:G, MATCH(2, 1/(E:E=Z3)))</f>
        <v>FLA</v>
      </c>
      <c r="AB3" s="1" t="str" cm="1">
        <f t="array" ref="AB3">INDEX(H:H, MATCH(2, 1/(E:E=Z3)))</f>
        <v>TBL</v>
      </c>
      <c r="AC3" cm="1">
        <f t="array" ref="AC3">INDEX(F:F, MATCH(2, 1/(E:E=Z3)))</f>
        <v>5</v>
      </c>
      <c r="AD3">
        <f>SUMIFS($R$2:$R$100,$E$2:$E$100,Z3)</f>
        <v>3</v>
      </c>
      <c r="AE3">
        <f t="shared" ref="AE3:AE17" si="3">AD3/AC3</f>
        <v>0.6</v>
      </c>
      <c r="AF3">
        <f>SUMIFS($P$2:$P$100,$L$2:$L$100,AA3,$D$2:$D$100,1) + SUMIFS($O$2:$O$100,$K$2:$K$100,AA3,$D$2:$D$100,1)</f>
        <v>20</v>
      </c>
      <c r="AG3">
        <f t="shared" ref="AF3:AG10" si="4">SUMIFS($P$2:$P$99,$L$2:$L$99,AB3,$D$2:$D$99,1) + SUMIFS($O$2:$O$99,$K$2:$K$99,AB3,$D$2:$D$99,1)</f>
        <v>14</v>
      </c>
      <c r="AH3">
        <f>SUMIFS(P2:P79,E2:E79,Z3)</f>
        <v>21</v>
      </c>
    </row>
    <row r="4" spans="1:38" x14ac:dyDescent="0.25">
      <c r="A4" t="str">
        <f t="shared" si="2"/>
        <v>Sunday</v>
      </c>
      <c r="B4" s="3">
        <v>45403</v>
      </c>
      <c r="C4" s="3" t="s">
        <v>32</v>
      </c>
      <c r="D4" s="4">
        <v>1</v>
      </c>
      <c r="E4" s="2" t="s">
        <v>42</v>
      </c>
      <c r="F4" s="4">
        <v>1</v>
      </c>
      <c r="G4" s="2" t="s">
        <v>11</v>
      </c>
      <c r="H4" s="2" t="s">
        <v>10</v>
      </c>
      <c r="I4" s="4">
        <v>1</v>
      </c>
      <c r="J4" s="4">
        <v>0</v>
      </c>
      <c r="K4" s="2" t="s">
        <v>10</v>
      </c>
      <c r="L4" s="2" t="s">
        <v>11</v>
      </c>
      <c r="M4" s="2" t="s">
        <v>11</v>
      </c>
      <c r="N4" s="3">
        <v>45403</v>
      </c>
      <c r="O4" s="2">
        <v>2</v>
      </c>
      <c r="P4" s="2">
        <v>3</v>
      </c>
      <c r="Q4" s="2">
        <v>0</v>
      </c>
      <c r="R4" s="2">
        <f>IF($O4=$P4, 0, IF($K4=$M4, IF($O4&gt;$P4, 1, 0), IF($P4&gt;$O4, 1, 0)))</f>
        <v>1</v>
      </c>
      <c r="S4" s="2" t="str">
        <f t="shared" si="1"/>
        <v>FLA</v>
      </c>
      <c r="U4" t="s">
        <v>37</v>
      </c>
      <c r="V4" s="2"/>
      <c r="W4" s="4"/>
      <c r="X4" s="6">
        <f>MAX(SUM(AC3:AC10), 32)</f>
        <v>44</v>
      </c>
      <c r="Y4" s="4"/>
      <c r="Z4" s="8" t="s">
        <v>39</v>
      </c>
      <c r="AA4" s="1" t="str" cm="1">
        <f t="array" ref="AA4">INDEX(G:G, MATCH(2, 1/(E:E=Z4)))</f>
        <v>BOS</v>
      </c>
      <c r="AB4" s="1" t="str" cm="1">
        <f t="array" ref="AB4">INDEX(H:H, MATCH(2, 1/(E:E=Z4)))</f>
        <v>TOR</v>
      </c>
      <c r="AC4" cm="1">
        <f t="array" ref="AC4">INDEX(F:F, MATCH(2, 1/(E:E=Z4)))</f>
        <v>7</v>
      </c>
      <c r="AD4">
        <f t="shared" ref="AD4:AD17" si="5">SUMIFS($R$2:$R$100,$E$2:$E$100,Z4)</f>
        <v>4</v>
      </c>
      <c r="AE4">
        <f t="shared" si="3"/>
        <v>0.5714285714285714</v>
      </c>
      <c r="AF4">
        <f t="shared" si="4"/>
        <v>18</v>
      </c>
      <c r="AG4">
        <f t="shared" si="4"/>
        <v>12</v>
      </c>
    </row>
    <row r="5" spans="1:38" x14ac:dyDescent="0.25">
      <c r="A5" t="str">
        <f t="shared" si="2"/>
        <v>Sunday</v>
      </c>
      <c r="B5" s="3">
        <v>45403</v>
      </c>
      <c r="C5" s="3" t="s">
        <v>32</v>
      </c>
      <c r="D5" s="4">
        <v>1</v>
      </c>
      <c r="E5" s="2" t="s">
        <v>43</v>
      </c>
      <c r="F5" s="4">
        <v>1</v>
      </c>
      <c r="G5" s="2" t="s">
        <v>13</v>
      </c>
      <c r="H5" s="2" t="s">
        <v>12</v>
      </c>
      <c r="I5" s="4">
        <v>1</v>
      </c>
      <c r="J5" s="4">
        <v>0</v>
      </c>
      <c r="K5" s="2" t="s">
        <v>12</v>
      </c>
      <c r="L5" s="2" t="s">
        <v>13</v>
      </c>
      <c r="M5" s="2" t="s">
        <v>13</v>
      </c>
      <c r="N5" s="3">
        <v>45403</v>
      </c>
      <c r="O5" s="2">
        <v>1</v>
      </c>
      <c r="P5" s="2">
        <v>4</v>
      </c>
      <c r="Q5" s="2">
        <v>0</v>
      </c>
      <c r="R5" s="2">
        <f t="shared" si="0"/>
        <v>1</v>
      </c>
      <c r="S5" s="2" t="str">
        <f t="shared" si="1"/>
        <v>NYR</v>
      </c>
      <c r="U5" t="s">
        <v>24</v>
      </c>
      <c r="V5" s="2"/>
      <c r="W5" s="4"/>
      <c r="X5" s="6">
        <f>COUNTA(I2:I99)</f>
        <v>88</v>
      </c>
      <c r="Y5" s="4"/>
      <c r="Z5" s="8" t="s">
        <v>38</v>
      </c>
      <c r="AA5" s="1" t="str" cm="1">
        <f t="array" ref="AA5">INDEX(G:G, MATCH(2, 1/(E:E=Z5)))</f>
        <v>CAR</v>
      </c>
      <c r="AB5" s="1" t="str" cm="1">
        <f t="array" ref="AB5">INDEX(H:H, MATCH(2, 1/(E:E=Z5)))</f>
        <v>NYI</v>
      </c>
      <c r="AC5" cm="1">
        <f t="array" ref="AC5">INDEX(F:F, MATCH(2, 1/(E:E=Z5)))</f>
        <v>5</v>
      </c>
      <c r="AD5">
        <f t="shared" si="5"/>
        <v>3</v>
      </c>
      <c r="AE5">
        <f t="shared" si="3"/>
        <v>0.6</v>
      </c>
      <c r="AF5">
        <f t="shared" si="4"/>
        <v>19</v>
      </c>
      <c r="AG5">
        <f t="shared" si="4"/>
        <v>12</v>
      </c>
    </row>
    <row r="6" spans="1:38" x14ac:dyDescent="0.25">
      <c r="A6" t="str">
        <f t="shared" si="2"/>
        <v>Sunday</v>
      </c>
      <c r="B6" s="3">
        <v>45403</v>
      </c>
      <c r="C6" s="3" t="s">
        <v>33</v>
      </c>
      <c r="D6" s="4">
        <v>1</v>
      </c>
      <c r="E6" s="2" t="s">
        <v>41</v>
      </c>
      <c r="F6" s="4">
        <v>1</v>
      </c>
      <c r="G6" s="2" t="s">
        <v>15</v>
      </c>
      <c r="H6" s="2" t="s">
        <v>14</v>
      </c>
      <c r="I6" s="4">
        <v>1</v>
      </c>
      <c r="J6" s="4">
        <v>0</v>
      </c>
      <c r="K6" s="2" t="s">
        <v>14</v>
      </c>
      <c r="L6" s="2" t="s">
        <v>15</v>
      </c>
      <c r="M6" s="2" t="s">
        <v>15</v>
      </c>
      <c r="N6" s="3">
        <v>45403</v>
      </c>
      <c r="O6" s="2">
        <v>6</v>
      </c>
      <c r="P6" s="2">
        <v>7</v>
      </c>
      <c r="Q6" s="2">
        <v>0</v>
      </c>
      <c r="R6" s="2">
        <f t="shared" si="0"/>
        <v>1</v>
      </c>
      <c r="S6" s="2" t="str">
        <f t="shared" si="1"/>
        <v>WPG</v>
      </c>
      <c r="U6" t="s">
        <v>25</v>
      </c>
      <c r="V6" s="2"/>
      <c r="W6" s="4"/>
      <c r="X6" s="6">
        <f>SUM(R2:R99)</f>
        <v>53</v>
      </c>
      <c r="Y6" s="4"/>
      <c r="Z6" s="8" t="s">
        <v>43</v>
      </c>
      <c r="AA6" s="1" t="str" cm="1">
        <f t="array" ref="AA6">INDEX(G:G, MATCH(2, 1/(E:E=Z6)))</f>
        <v>NYR</v>
      </c>
      <c r="AB6" s="1" t="str" cm="1">
        <f t="array" ref="AB6">INDEX(H:H, MATCH(2, 1/(E:E=Z6)))</f>
        <v>WSH</v>
      </c>
      <c r="AC6" cm="1">
        <f t="array" ref="AC6">INDEX(F:F, MATCH(2, 1/(E:E=Z6)))</f>
        <v>4</v>
      </c>
      <c r="AD6">
        <f t="shared" si="5"/>
        <v>3</v>
      </c>
      <c r="AE6">
        <f t="shared" si="3"/>
        <v>0.75</v>
      </c>
      <c r="AF6">
        <f t="shared" si="4"/>
        <v>15</v>
      </c>
      <c r="AG6">
        <f t="shared" si="4"/>
        <v>7</v>
      </c>
    </row>
    <row r="7" spans="1:38" x14ac:dyDescent="0.25">
      <c r="A7" s="11" t="str">
        <f t="shared" si="2"/>
        <v>Sunday</v>
      </c>
      <c r="B7" s="15">
        <v>45403</v>
      </c>
      <c r="C7" s="15" t="s">
        <v>33</v>
      </c>
      <c r="D7" s="17">
        <v>1</v>
      </c>
      <c r="E7" s="16" t="s">
        <v>44</v>
      </c>
      <c r="F7" s="17">
        <v>1</v>
      </c>
      <c r="G7" s="16" t="s">
        <v>17</v>
      </c>
      <c r="H7" s="16" t="s">
        <v>16</v>
      </c>
      <c r="I7" s="17">
        <v>1</v>
      </c>
      <c r="J7" s="17">
        <v>0</v>
      </c>
      <c r="K7" s="16" t="s">
        <v>16</v>
      </c>
      <c r="L7" s="16" t="s">
        <v>17</v>
      </c>
      <c r="M7" s="16" t="s">
        <v>17</v>
      </c>
      <c r="N7" s="15">
        <v>45403</v>
      </c>
      <c r="O7" s="16">
        <v>2</v>
      </c>
      <c r="P7" s="16">
        <v>4</v>
      </c>
      <c r="Q7" s="16">
        <v>0</v>
      </c>
      <c r="R7" s="16">
        <f t="shared" si="0"/>
        <v>1</v>
      </c>
      <c r="S7" s="2" t="str">
        <f t="shared" si="1"/>
        <v>VAN</v>
      </c>
      <c r="U7" t="s">
        <v>26</v>
      </c>
      <c r="V7" s="2"/>
      <c r="W7" s="4"/>
      <c r="X7" s="6">
        <f>X6/X5</f>
        <v>0.60227272727272729</v>
      </c>
      <c r="Y7" s="4"/>
      <c r="Z7" s="8" t="s">
        <v>44</v>
      </c>
      <c r="AA7" s="1" t="str" cm="1">
        <f t="array" ref="AA7">INDEX(G:G, MATCH(2, 1/(E:E=Z7)))</f>
        <v>VAN</v>
      </c>
      <c r="AB7" s="1" t="str" cm="1">
        <f t="array" ref="AB7">INDEX(H:H, MATCH(2, 1/(E:E=Z7)))</f>
        <v>NSH</v>
      </c>
      <c r="AC7" cm="1">
        <f t="array" ref="AC7">INDEX(F:F, MATCH(2, 1/(E:E=Z7)))</f>
        <v>6</v>
      </c>
      <c r="AD7">
        <f t="shared" si="5"/>
        <v>1</v>
      </c>
      <c r="AE7">
        <f t="shared" si="3"/>
        <v>0.16666666666666666</v>
      </c>
      <c r="AF7">
        <f t="shared" si="4"/>
        <v>13</v>
      </c>
      <c r="AG7">
        <f t="shared" si="4"/>
        <v>12</v>
      </c>
    </row>
    <row r="8" spans="1:38" x14ac:dyDescent="0.25">
      <c r="A8" t="str">
        <f t="shared" si="2"/>
        <v>Monday</v>
      </c>
      <c r="B8" s="3">
        <v>45404</v>
      </c>
      <c r="C8" s="3" t="s">
        <v>32</v>
      </c>
      <c r="D8" s="4">
        <v>1</v>
      </c>
      <c r="E8" s="2" t="s">
        <v>38</v>
      </c>
      <c r="F8" s="4">
        <v>2</v>
      </c>
      <c r="G8" s="2" t="s">
        <v>1</v>
      </c>
      <c r="H8" s="2" t="s">
        <v>0</v>
      </c>
      <c r="I8" s="4">
        <v>2</v>
      </c>
      <c r="J8" s="4">
        <v>0</v>
      </c>
      <c r="K8" s="2" t="s">
        <v>0</v>
      </c>
      <c r="L8" s="2" t="s">
        <v>1</v>
      </c>
      <c r="M8" s="2" t="s">
        <v>0</v>
      </c>
      <c r="N8" s="3">
        <v>45403</v>
      </c>
      <c r="O8" s="2">
        <v>3</v>
      </c>
      <c r="P8" s="2">
        <v>5</v>
      </c>
      <c r="Q8" s="2">
        <v>0</v>
      </c>
      <c r="R8" s="2">
        <f t="shared" si="0"/>
        <v>0</v>
      </c>
      <c r="S8" s="2" t="str">
        <f t="shared" si="1"/>
        <v>CAR</v>
      </c>
      <c r="V8" s="2"/>
      <c r="W8" s="4"/>
      <c r="X8" s="5"/>
      <c r="Y8" s="4"/>
      <c r="Z8" s="8" t="s">
        <v>40</v>
      </c>
      <c r="AA8" s="1" t="str" cm="1">
        <f t="array" ref="AA8">INDEX(G:G, MATCH(2, 1/(E:E=Z8)))</f>
        <v>EDM</v>
      </c>
      <c r="AB8" s="1" t="str" cm="1">
        <f t="array" ref="AB8">INDEX(H:H, MATCH(2, 1/(E:E=Z8)))</f>
        <v>LAK</v>
      </c>
      <c r="AC8" cm="1">
        <f t="array" ref="AC8">INDEX(F:F, MATCH(2, 1/(E:E=Z8)))</f>
        <v>5</v>
      </c>
      <c r="AD8">
        <f t="shared" si="5"/>
        <v>3</v>
      </c>
      <c r="AE8">
        <f t="shared" si="3"/>
        <v>0.6</v>
      </c>
      <c r="AF8">
        <f t="shared" si="4"/>
        <v>17</v>
      </c>
      <c r="AG8">
        <f t="shared" si="4"/>
        <v>18</v>
      </c>
    </row>
    <row r="9" spans="1:38" x14ac:dyDescent="0.25">
      <c r="A9" t="str">
        <f t="shared" si="2"/>
        <v>Monday</v>
      </c>
      <c r="B9" s="3">
        <v>45404</v>
      </c>
      <c r="C9" s="3" t="s">
        <v>32</v>
      </c>
      <c r="D9" s="4">
        <v>1</v>
      </c>
      <c r="E9" s="2" t="s">
        <v>39</v>
      </c>
      <c r="F9" s="4">
        <v>2</v>
      </c>
      <c r="G9" s="2" t="s">
        <v>3</v>
      </c>
      <c r="H9" s="2" t="s">
        <v>2</v>
      </c>
      <c r="I9" s="4">
        <v>1</v>
      </c>
      <c r="J9" s="4">
        <v>1</v>
      </c>
      <c r="K9" s="2" t="s">
        <v>2</v>
      </c>
      <c r="L9" s="2" t="s">
        <v>3</v>
      </c>
      <c r="M9" s="2" t="s">
        <v>2</v>
      </c>
      <c r="N9" s="3">
        <v>45403</v>
      </c>
      <c r="O9" s="2">
        <v>3</v>
      </c>
      <c r="P9" s="2">
        <v>2</v>
      </c>
      <c r="Q9" s="2">
        <v>0</v>
      </c>
      <c r="R9" s="2">
        <f t="shared" si="0"/>
        <v>1</v>
      </c>
      <c r="S9" s="2" t="str">
        <f t="shared" si="1"/>
        <v>TOR</v>
      </c>
      <c r="V9" s="2"/>
      <c r="W9" s="4"/>
      <c r="X9" s="5"/>
      <c r="Y9" s="4"/>
      <c r="Z9" s="8" t="s">
        <v>41</v>
      </c>
      <c r="AA9" s="1" t="str" cm="1">
        <f t="array" ref="AA9">INDEX(G:G, MATCH(2, 1/(E:E=Z9)))</f>
        <v>WPG</v>
      </c>
      <c r="AB9" s="1" t="str" cm="1">
        <f t="array" ref="AB9">INDEX(H:H, MATCH(2, 1/(E:E=Z9)))</f>
        <v>COL</v>
      </c>
      <c r="AC9" cm="1">
        <f t="array" ref="AC9">INDEX(F:F, MATCH(2, 1/(E:E=Z9)))</f>
        <v>5</v>
      </c>
      <c r="AD9">
        <f t="shared" si="5"/>
        <v>4</v>
      </c>
      <c r="AE9">
        <f t="shared" si="3"/>
        <v>0.8</v>
      </c>
      <c r="AF9">
        <f t="shared" si="4"/>
        <v>15</v>
      </c>
      <c r="AG9">
        <f t="shared" si="4"/>
        <v>28</v>
      </c>
    </row>
    <row r="10" spans="1:38" x14ac:dyDescent="0.25">
      <c r="A10" t="str">
        <f t="shared" si="2"/>
        <v>Monday</v>
      </c>
      <c r="B10" s="3">
        <v>45404</v>
      </c>
      <c r="C10" s="3" t="s">
        <v>33</v>
      </c>
      <c r="D10" s="4">
        <v>1</v>
      </c>
      <c r="E10" s="2" t="s">
        <v>45</v>
      </c>
      <c r="F10" s="4">
        <v>1</v>
      </c>
      <c r="G10" s="2" t="s">
        <v>19</v>
      </c>
      <c r="H10" s="2" t="s">
        <v>18</v>
      </c>
      <c r="I10" s="4">
        <v>0</v>
      </c>
      <c r="J10" s="4">
        <v>1</v>
      </c>
      <c r="K10" s="2" t="s">
        <v>18</v>
      </c>
      <c r="L10" s="2" t="s">
        <v>19</v>
      </c>
      <c r="M10" s="2" t="s">
        <v>18</v>
      </c>
      <c r="N10" s="3">
        <v>45403</v>
      </c>
      <c r="O10" s="2">
        <v>4</v>
      </c>
      <c r="P10" s="2">
        <v>3</v>
      </c>
      <c r="Q10" s="2">
        <v>0</v>
      </c>
      <c r="R10" s="2">
        <f t="shared" si="0"/>
        <v>1</v>
      </c>
      <c r="S10" s="2" t="str">
        <f t="shared" si="1"/>
        <v>VGK</v>
      </c>
      <c r="V10" s="2"/>
      <c r="W10" s="4"/>
      <c r="X10" s="5"/>
      <c r="Y10" s="4"/>
      <c r="Z10" s="9" t="s">
        <v>45</v>
      </c>
      <c r="AA10" s="10" t="str" cm="1">
        <f t="array" ref="AA10">INDEX(G:G, MATCH(2, 1/(E:E=Z10)))</f>
        <v>DAL</v>
      </c>
      <c r="AB10" s="10" t="str" cm="1">
        <f t="array" ref="AB10">INDEX(H:H, MATCH(2, 1/(E:E=Z10)))</f>
        <v>VGK</v>
      </c>
      <c r="AC10" s="11" cm="1">
        <f t="array" ref="AC10">INDEX(F:F, MATCH(2, 1/(E:E=Z10)))</f>
        <v>7</v>
      </c>
      <c r="AD10" s="11">
        <f t="shared" si="5"/>
        <v>4</v>
      </c>
      <c r="AE10" s="11">
        <f t="shared" si="3"/>
        <v>0.5714285714285714</v>
      </c>
      <c r="AF10" s="11">
        <f t="shared" si="4"/>
        <v>17</v>
      </c>
      <c r="AG10" s="11">
        <f t="shared" si="4"/>
        <v>16</v>
      </c>
      <c r="AH10" s="11"/>
      <c r="AI10" s="11"/>
      <c r="AJ10" s="11"/>
      <c r="AK10" s="11"/>
      <c r="AL10" s="11"/>
    </row>
    <row r="11" spans="1:38" x14ac:dyDescent="0.25">
      <c r="A11" s="11" t="str">
        <f t="shared" si="2"/>
        <v>Monday</v>
      </c>
      <c r="B11" s="15">
        <v>45404</v>
      </c>
      <c r="C11" s="15" t="s">
        <v>33</v>
      </c>
      <c r="D11" s="17">
        <v>1</v>
      </c>
      <c r="E11" s="16" t="s">
        <v>40</v>
      </c>
      <c r="F11" s="17">
        <v>1</v>
      </c>
      <c r="G11" s="16" t="s">
        <v>21</v>
      </c>
      <c r="H11" s="16" t="s">
        <v>20</v>
      </c>
      <c r="I11" s="17">
        <v>1</v>
      </c>
      <c r="J11" s="17">
        <v>0</v>
      </c>
      <c r="K11" s="16" t="s">
        <v>20</v>
      </c>
      <c r="L11" s="16" t="s">
        <v>21</v>
      </c>
      <c r="M11" s="16" t="s">
        <v>21</v>
      </c>
      <c r="N11" s="15">
        <v>45403</v>
      </c>
      <c r="O11" s="16">
        <v>4</v>
      </c>
      <c r="P11" s="16">
        <v>7</v>
      </c>
      <c r="Q11" s="16">
        <v>0</v>
      </c>
      <c r="R11" s="16">
        <f t="shared" si="0"/>
        <v>1</v>
      </c>
      <c r="S11" s="2" t="str">
        <f t="shared" si="1"/>
        <v>EDM</v>
      </c>
      <c r="W11" s="4"/>
      <c r="Z11" s="7" t="s">
        <v>58</v>
      </c>
      <c r="AA11" s="1" t="str" cm="1">
        <f t="array" ref="AA11">INDEX(G:G, MATCH(2, 1/(E:E=Z11)))</f>
        <v>NYR</v>
      </c>
      <c r="AB11" s="1" t="str" cm="1">
        <f t="array" ref="AB11">INDEX(H:H, MATCH(2, 1/(E:E=Z11)))</f>
        <v>CAR</v>
      </c>
      <c r="AC11" cm="1">
        <f t="array" ref="AC11">INDEX(F:F, MATCH(2, 1/(E:E=Z11)))</f>
        <v>6</v>
      </c>
      <c r="AD11">
        <f t="shared" si="5"/>
        <v>3</v>
      </c>
      <c r="AE11">
        <f t="shared" si="3"/>
        <v>0.5</v>
      </c>
      <c r="AF11">
        <f t="shared" ref="AF11:AG14" si="6">SUMIFS($P$2:$P$99,$L$2:$L$99,AA11,$D$2:$D$99,2) + SUMIFS($O$2:$O$99,$K$2:$K$99,AA11,$D$2:$D$99,2)</f>
        <v>20</v>
      </c>
      <c r="AG11">
        <f t="shared" si="6"/>
        <v>19</v>
      </c>
    </row>
    <row r="12" spans="1:38" x14ac:dyDescent="0.25">
      <c r="A12" t="str">
        <f t="shared" si="2"/>
        <v>Tuesday</v>
      </c>
      <c r="B12" s="3">
        <v>45405</v>
      </c>
      <c r="C12" s="3" t="s">
        <v>32</v>
      </c>
      <c r="D12" s="4">
        <v>1</v>
      </c>
      <c r="E12" s="2" t="s">
        <v>43</v>
      </c>
      <c r="F12" s="4">
        <v>2</v>
      </c>
      <c r="G12" s="2" t="s">
        <v>13</v>
      </c>
      <c r="H12" s="2" t="s">
        <v>12</v>
      </c>
      <c r="I12" s="4">
        <v>2</v>
      </c>
      <c r="J12" s="4">
        <v>0</v>
      </c>
      <c r="K12" s="2" t="s">
        <v>12</v>
      </c>
      <c r="L12" s="2" t="s">
        <v>13</v>
      </c>
      <c r="M12" s="2" t="s">
        <v>13</v>
      </c>
      <c r="N12" s="3">
        <v>45404</v>
      </c>
      <c r="O12" s="2">
        <v>3</v>
      </c>
      <c r="P12" s="2">
        <v>4</v>
      </c>
      <c r="Q12" s="2">
        <v>0</v>
      </c>
      <c r="R12" s="2">
        <f t="shared" si="0"/>
        <v>1</v>
      </c>
      <c r="S12" s="2" t="str">
        <f t="shared" si="1"/>
        <v>NYR</v>
      </c>
      <c r="W12" s="4"/>
      <c r="Z12" s="7" t="s">
        <v>59</v>
      </c>
      <c r="AA12" s="1" t="str" cm="1">
        <f t="array" ref="AA12">INDEX(G:G, MATCH(2, 1/(E:E=Z12)))</f>
        <v>FLA</v>
      </c>
      <c r="AB12" s="1" t="str" cm="1">
        <f t="array" ref="AB12">INDEX(H:H, MATCH(2, 1/(E:E=Z12)))</f>
        <v>BOS</v>
      </c>
      <c r="AC12" cm="1">
        <f t="array" ref="AC12">INDEX(F:F, MATCH(2, 1/(E:E=Z12)))</f>
        <v>6</v>
      </c>
      <c r="AD12">
        <f t="shared" si="5"/>
        <v>3</v>
      </c>
      <c r="AE12">
        <f t="shared" si="3"/>
        <v>0.5</v>
      </c>
      <c r="AF12">
        <f t="shared" si="6"/>
        <v>19</v>
      </c>
      <c r="AG12">
        <f t="shared" si="6"/>
        <v>13</v>
      </c>
    </row>
    <row r="13" spans="1:38" x14ac:dyDescent="0.25">
      <c r="A13" t="str">
        <f t="shared" si="2"/>
        <v>Tuesday</v>
      </c>
      <c r="B13" s="3">
        <v>45405</v>
      </c>
      <c r="C13" s="3" t="s">
        <v>32</v>
      </c>
      <c r="D13" s="4">
        <v>1</v>
      </c>
      <c r="E13" s="2" t="s">
        <v>42</v>
      </c>
      <c r="F13" s="4">
        <v>2</v>
      </c>
      <c r="G13" s="2" t="s">
        <v>11</v>
      </c>
      <c r="H13" s="2" t="s">
        <v>10</v>
      </c>
      <c r="I13" s="4">
        <v>2</v>
      </c>
      <c r="J13" s="4">
        <v>0</v>
      </c>
      <c r="K13" s="2" t="s">
        <v>10</v>
      </c>
      <c r="L13" s="2" t="s">
        <v>11</v>
      </c>
      <c r="M13" s="2" t="s">
        <v>10</v>
      </c>
      <c r="N13" s="3">
        <v>45404</v>
      </c>
      <c r="O13" s="2">
        <v>2</v>
      </c>
      <c r="P13" s="2">
        <v>3</v>
      </c>
      <c r="Q13" s="2">
        <v>1</v>
      </c>
      <c r="R13" s="2">
        <f t="shared" si="0"/>
        <v>0</v>
      </c>
      <c r="S13" s="2" t="str">
        <f t="shared" si="1"/>
        <v>FLA</v>
      </c>
      <c r="W13" s="4"/>
      <c r="Z13" s="7" t="s">
        <v>60</v>
      </c>
      <c r="AA13" s="1" t="str" cm="1">
        <f t="array" ref="AA13">INDEX(G:G, MATCH(2, 1/(E:E=Z13)))</f>
        <v>DAL</v>
      </c>
      <c r="AB13" s="1" t="str" cm="1">
        <f t="array" ref="AB13">INDEX(H:H, MATCH(2, 1/(E:E=Z13)))</f>
        <v>COL</v>
      </c>
      <c r="AC13" cm="1">
        <f t="array" ref="AC13">INDEX(F:F, MATCH(2, 1/(E:E=Z13)))</f>
        <v>6</v>
      </c>
      <c r="AD13">
        <f t="shared" si="5"/>
        <v>4</v>
      </c>
      <c r="AE13">
        <f t="shared" si="3"/>
        <v>0.66666666666666663</v>
      </c>
      <c r="AF13">
        <f t="shared" si="6"/>
        <v>22</v>
      </c>
      <c r="AG13">
        <f t="shared" si="6"/>
        <v>14</v>
      </c>
    </row>
    <row r="14" spans="1:38" x14ac:dyDescent="0.25">
      <c r="A14" t="str">
        <f t="shared" si="2"/>
        <v>Tuesday</v>
      </c>
      <c r="B14" s="3">
        <v>45405</v>
      </c>
      <c r="C14" s="3" t="s">
        <v>33</v>
      </c>
      <c r="D14" s="4">
        <v>1</v>
      </c>
      <c r="E14" s="2" t="s">
        <v>41</v>
      </c>
      <c r="F14" s="4">
        <v>2</v>
      </c>
      <c r="G14" s="2" t="s">
        <v>15</v>
      </c>
      <c r="H14" s="2" t="s">
        <v>14</v>
      </c>
      <c r="I14" s="4">
        <v>1</v>
      </c>
      <c r="J14" s="4">
        <v>1</v>
      </c>
      <c r="K14" s="2" t="s">
        <v>14</v>
      </c>
      <c r="L14" s="2" t="s">
        <v>15</v>
      </c>
      <c r="M14" s="2" t="s">
        <v>14</v>
      </c>
      <c r="N14" s="3">
        <v>45404</v>
      </c>
      <c r="O14" s="2">
        <v>5</v>
      </c>
      <c r="P14" s="2">
        <v>2</v>
      </c>
      <c r="Q14" s="2">
        <v>0</v>
      </c>
      <c r="R14" s="2">
        <f t="shared" si="0"/>
        <v>1</v>
      </c>
      <c r="S14" s="2" t="str">
        <f t="shared" si="1"/>
        <v>COL</v>
      </c>
      <c r="W14" s="4"/>
      <c r="Z14" s="12" t="s">
        <v>64</v>
      </c>
      <c r="AA14" s="10" t="str" cm="1">
        <f t="array" ref="AA14">INDEX(G:G, MATCH(2, 1/(E:E=Z14)))</f>
        <v>VAN</v>
      </c>
      <c r="AB14" s="10" t="str" cm="1">
        <f t="array" ref="AB14">INDEX(H:H, MATCH(2, 1/(E:E=Z14)))</f>
        <v>EDM</v>
      </c>
      <c r="AC14" s="11" cm="1">
        <f t="array" ref="AC14">INDEX(F:F, MATCH(2, 1/(E:E=Z14)))</f>
        <v>7</v>
      </c>
      <c r="AD14" s="11">
        <f t="shared" si="5"/>
        <v>6</v>
      </c>
      <c r="AE14" s="11">
        <f t="shared" si="3"/>
        <v>0.8571428571428571</v>
      </c>
      <c r="AF14" s="11">
        <f t="shared" si="6"/>
        <v>20</v>
      </c>
      <c r="AG14" s="11">
        <f t="shared" si="6"/>
        <v>24</v>
      </c>
      <c r="AH14" s="11"/>
      <c r="AI14" s="11"/>
      <c r="AJ14" s="11"/>
      <c r="AK14" s="11"/>
      <c r="AL14" s="11"/>
    </row>
    <row r="15" spans="1:38" x14ac:dyDescent="0.25">
      <c r="A15" s="11" t="str">
        <f t="shared" si="2"/>
        <v>Tuesday</v>
      </c>
      <c r="B15" s="15">
        <v>45405</v>
      </c>
      <c r="C15" s="15" t="s">
        <v>33</v>
      </c>
      <c r="D15" s="17">
        <v>1</v>
      </c>
      <c r="E15" s="16" t="s">
        <v>44</v>
      </c>
      <c r="F15" s="17">
        <v>2</v>
      </c>
      <c r="G15" s="16" t="s">
        <v>17</v>
      </c>
      <c r="H15" s="16" t="s">
        <v>16</v>
      </c>
      <c r="I15" s="17">
        <v>1</v>
      </c>
      <c r="J15" s="17">
        <v>1</v>
      </c>
      <c r="K15" s="16" t="s">
        <v>16</v>
      </c>
      <c r="L15" s="16" t="s">
        <v>17</v>
      </c>
      <c r="M15" s="16" t="s">
        <v>17</v>
      </c>
      <c r="N15" s="15">
        <v>45404</v>
      </c>
      <c r="O15" s="16">
        <v>4</v>
      </c>
      <c r="P15" s="16">
        <v>1</v>
      </c>
      <c r="Q15" s="16">
        <v>0</v>
      </c>
      <c r="R15" s="16">
        <f t="shared" si="0"/>
        <v>0</v>
      </c>
      <c r="S15" s="2" t="str">
        <f t="shared" si="1"/>
        <v>NSH</v>
      </c>
      <c r="W15" s="4"/>
      <c r="Z15" s="7" t="s">
        <v>61</v>
      </c>
      <c r="AA15" s="1" t="str" cm="1">
        <f t="array" ref="AA15">INDEX(G:G, MATCH(2, 1/(E:E=Z15)))</f>
        <v>NYR</v>
      </c>
      <c r="AB15" s="1" t="str" cm="1">
        <f t="array" ref="AB15">INDEX(H:H, MATCH(2, 1/(E:E=Z15)))</f>
        <v>FLA</v>
      </c>
      <c r="AC15" cm="1">
        <f t="array" ref="AC15">INDEX(F:F, MATCH(2, 1/(E:E=Z15)))</f>
        <v>6</v>
      </c>
      <c r="AD15">
        <f t="shared" si="5"/>
        <v>4</v>
      </c>
      <c r="AE15">
        <f t="shared" si="3"/>
        <v>0.66666666666666663</v>
      </c>
      <c r="AF15">
        <f>SUMIFS($P$2:$P$99,$L$2:$L$99,AA15,$D$2:$D$99,3) + SUMIFS($O$2:$O$99,$K$2:$K$99,AA15,$D$2:$D$99,3)</f>
        <v>12</v>
      </c>
      <c r="AG15">
        <f>SUMIFS($P$2:$P$99,$L$2:$L$99,AB15,$D$2:$D$99,3) + SUMIFS($O$2:$O$99,$K$2:$K$99,AB15,$D$2:$D$99,3)</f>
        <v>16</v>
      </c>
    </row>
    <row r="16" spans="1:38" x14ac:dyDescent="0.25">
      <c r="A16" t="str">
        <f t="shared" si="2"/>
        <v>Wednesday</v>
      </c>
      <c r="B16" s="3">
        <v>45406</v>
      </c>
      <c r="C16" s="3" t="s">
        <v>32</v>
      </c>
      <c r="D16" s="4">
        <v>1</v>
      </c>
      <c r="E16" s="2" t="s">
        <v>39</v>
      </c>
      <c r="F16" s="4">
        <v>3</v>
      </c>
      <c r="G16" s="4" t="s">
        <v>3</v>
      </c>
      <c r="H16" s="4" t="s">
        <v>2</v>
      </c>
      <c r="I16" s="4">
        <v>2</v>
      </c>
      <c r="J16" s="4">
        <v>1</v>
      </c>
      <c r="K16" s="2" t="s">
        <v>3</v>
      </c>
      <c r="L16" s="2" t="s">
        <v>2</v>
      </c>
      <c r="M16" s="2" t="s">
        <v>2</v>
      </c>
      <c r="N16" s="3">
        <v>45405</v>
      </c>
      <c r="O16" s="2">
        <v>4</v>
      </c>
      <c r="P16" s="2">
        <v>2</v>
      </c>
      <c r="Q16" s="2">
        <v>0</v>
      </c>
      <c r="R16" s="2">
        <f t="shared" si="0"/>
        <v>0</v>
      </c>
      <c r="S16" s="2" t="str">
        <f t="shared" si="1"/>
        <v>BOS</v>
      </c>
      <c r="W16" s="4"/>
      <c r="Z16" s="12" t="s">
        <v>62</v>
      </c>
      <c r="AA16" s="11" t="str" cm="1">
        <f t="array" ref="AA16">INDEX(G:G, MATCH(2, 1/(E:E=Z16)))</f>
        <v>DAL</v>
      </c>
      <c r="AB16" s="11" t="str" cm="1">
        <f t="array" ref="AB16">INDEX(H:H, MATCH(2, 1/(E:E=Z16)))</f>
        <v>EDM</v>
      </c>
      <c r="AC16" s="11" cm="1">
        <f t="array" ref="AC16">INDEX(F:F, MATCH(2, 1/(E:E=Z16)))</f>
        <v>6</v>
      </c>
      <c r="AD16" s="11">
        <f t="shared" si="5"/>
        <v>5</v>
      </c>
      <c r="AE16" s="11">
        <f t="shared" si="3"/>
        <v>0.83333333333333337</v>
      </c>
      <c r="AF16" s="11">
        <f>SUMIFS($P$2:$P$99,$L$2:$L$99,AA16,$D$2:$D$99,3) + SUMIFS($O$2:$O$99,$K$2:$K$99,AA16,$D$2:$D$99,3)</f>
        <v>14</v>
      </c>
      <c r="AG16" s="11">
        <f>SUMIFS($P$2:$P$99,$L$2:$L$99,AB16,$D$2:$D$99,3) + SUMIFS($O$2:$O$99,$K$2:$K$99,AB16,$D$2:$D$99,3)</f>
        <v>17</v>
      </c>
      <c r="AH16" s="11"/>
      <c r="AI16" s="11"/>
      <c r="AJ16" s="11"/>
      <c r="AK16" s="11"/>
      <c r="AL16" s="11"/>
    </row>
    <row r="17" spans="1:83" x14ac:dyDescent="0.25">
      <c r="A17" t="str">
        <f t="shared" si="2"/>
        <v>Wednesday</v>
      </c>
      <c r="B17" s="3">
        <v>45406</v>
      </c>
      <c r="C17" s="3" t="s">
        <v>33</v>
      </c>
      <c r="D17" s="4">
        <v>1</v>
      </c>
      <c r="E17" s="2" t="s">
        <v>45</v>
      </c>
      <c r="F17" s="4">
        <v>2</v>
      </c>
      <c r="G17" s="4" t="s">
        <v>19</v>
      </c>
      <c r="H17" s="4" t="s">
        <v>18</v>
      </c>
      <c r="I17" s="4">
        <v>0</v>
      </c>
      <c r="J17" s="4">
        <v>2</v>
      </c>
      <c r="K17" s="2" t="s">
        <v>18</v>
      </c>
      <c r="L17" s="2" t="s">
        <v>19</v>
      </c>
      <c r="M17" s="2" t="s">
        <v>19</v>
      </c>
      <c r="N17" s="3">
        <v>45405</v>
      </c>
      <c r="O17" s="2">
        <v>3</v>
      </c>
      <c r="P17" s="2">
        <v>1</v>
      </c>
      <c r="Q17" s="2">
        <v>0</v>
      </c>
      <c r="R17" s="2">
        <f t="shared" si="0"/>
        <v>0</v>
      </c>
      <c r="S17" s="2" t="str">
        <f t="shared" si="1"/>
        <v>VGK</v>
      </c>
      <c r="W17" s="4"/>
      <c r="Z17" s="13" t="s">
        <v>63</v>
      </c>
      <c r="AA17" s="14" t="str" cm="1">
        <f t="array" ref="AA17">INDEX(G:G, MATCH(2, 1/(E:E=Z17)))</f>
        <v>FLA</v>
      </c>
      <c r="AB17" s="14" t="str" cm="1">
        <f t="array" ref="AB17">INDEX(H:H, MATCH(2, 1/(E:E=Z17)))</f>
        <v>EDM</v>
      </c>
      <c r="AC17" s="14" cm="1">
        <f t="array" ref="AC17">INDEX(F:F, MATCH(2, 1/(E:E=Z17)))</f>
        <v>7</v>
      </c>
      <c r="AD17" s="14">
        <f t="shared" si="5"/>
        <v>3</v>
      </c>
      <c r="AE17" s="27">
        <f t="shared" si="3"/>
        <v>0.42857142857142855</v>
      </c>
      <c r="AF17" s="14">
        <f>SUMIFS($P$2:$P$99,$L$2:$L$99,AA17,$D$2:$D$99,1) + SUMIFS($O$2:$O$99,$K$2:$K$99,AA17,$D$2:$D$99,1)</f>
        <v>20</v>
      </c>
      <c r="AG17" s="14">
        <f>SUMIFS($P$2:$P$99,$L$2:$L$99,AB17,$D$2:$D$99,4) + SUMIFS($O$2:$O$99,$K$2:$K$99,AB17,$D$2:$D$99,4)</f>
        <v>23</v>
      </c>
      <c r="AH17" s="14"/>
      <c r="AI17" s="14"/>
      <c r="AJ17" s="14"/>
      <c r="AK17" s="14"/>
      <c r="AL17" s="14"/>
    </row>
    <row r="18" spans="1:83" x14ac:dyDescent="0.25">
      <c r="A18" s="11" t="str">
        <f t="shared" si="2"/>
        <v>Wednesday</v>
      </c>
      <c r="B18" s="15">
        <v>45406</v>
      </c>
      <c r="C18" s="15" t="s">
        <v>33</v>
      </c>
      <c r="D18" s="17">
        <v>1</v>
      </c>
      <c r="E18" s="16" t="s">
        <v>40</v>
      </c>
      <c r="F18" s="17">
        <v>2</v>
      </c>
      <c r="G18" s="17" t="s">
        <v>21</v>
      </c>
      <c r="H18" s="17" t="s">
        <v>20</v>
      </c>
      <c r="I18" s="17">
        <v>1</v>
      </c>
      <c r="J18" s="17">
        <v>1</v>
      </c>
      <c r="K18" s="16" t="s">
        <v>20</v>
      </c>
      <c r="L18" s="16" t="s">
        <v>21</v>
      </c>
      <c r="M18" s="16" t="s">
        <v>21</v>
      </c>
      <c r="N18" s="15">
        <v>45405</v>
      </c>
      <c r="O18" s="16">
        <v>5</v>
      </c>
      <c r="P18" s="16">
        <v>4</v>
      </c>
      <c r="Q18" s="16">
        <v>1</v>
      </c>
      <c r="R18" s="16">
        <f t="shared" si="0"/>
        <v>0</v>
      </c>
      <c r="S18" s="2" t="str">
        <f t="shared" si="1"/>
        <v>LAK</v>
      </c>
      <c r="W18" s="4"/>
    </row>
    <row r="19" spans="1:83" x14ac:dyDescent="0.25">
      <c r="A19" t="str">
        <f t="shared" si="2"/>
        <v>Thursday</v>
      </c>
      <c r="B19" s="3">
        <v>45407</v>
      </c>
      <c r="C19" s="3" t="s">
        <v>32</v>
      </c>
      <c r="D19" s="4">
        <v>1</v>
      </c>
      <c r="E19" s="2" t="s">
        <v>42</v>
      </c>
      <c r="F19" s="4">
        <v>3</v>
      </c>
      <c r="G19" s="4" t="s">
        <v>11</v>
      </c>
      <c r="H19" s="4" t="s">
        <v>10</v>
      </c>
      <c r="I19" s="4">
        <v>3</v>
      </c>
      <c r="J19" s="4">
        <v>0</v>
      </c>
      <c r="K19" s="2" t="s">
        <v>11</v>
      </c>
      <c r="L19" s="2" t="s">
        <v>10</v>
      </c>
      <c r="M19" s="2" t="s">
        <v>10</v>
      </c>
      <c r="N19" s="3">
        <v>45406</v>
      </c>
      <c r="O19" s="2">
        <v>5</v>
      </c>
      <c r="P19" s="2">
        <v>3</v>
      </c>
      <c r="Q19" s="2">
        <v>0</v>
      </c>
      <c r="R19" s="2">
        <f t="shared" si="0"/>
        <v>0</v>
      </c>
      <c r="S19" s="2" t="str">
        <f t="shared" si="1"/>
        <v>FLA</v>
      </c>
      <c r="W19" s="4"/>
    </row>
    <row r="20" spans="1:83" x14ac:dyDescent="0.25">
      <c r="A20" s="11" t="str">
        <f t="shared" si="2"/>
        <v>Thursday</v>
      </c>
      <c r="B20" s="15">
        <v>45407</v>
      </c>
      <c r="C20" s="15" t="s">
        <v>32</v>
      </c>
      <c r="D20" s="17">
        <v>1</v>
      </c>
      <c r="E20" s="16" t="s">
        <v>38</v>
      </c>
      <c r="F20" s="17">
        <v>3</v>
      </c>
      <c r="G20" s="17" t="s">
        <v>1</v>
      </c>
      <c r="H20" s="17" t="s">
        <v>0</v>
      </c>
      <c r="I20" s="17">
        <v>3</v>
      </c>
      <c r="J20" s="17">
        <v>0</v>
      </c>
      <c r="K20" s="16" t="s">
        <v>1</v>
      </c>
      <c r="L20" s="16" t="s">
        <v>0</v>
      </c>
      <c r="M20" s="16" t="s">
        <v>1</v>
      </c>
      <c r="N20" s="15">
        <v>45406</v>
      </c>
      <c r="O20" s="16">
        <v>3</v>
      </c>
      <c r="P20" s="16">
        <v>2</v>
      </c>
      <c r="Q20" s="16">
        <v>0</v>
      </c>
      <c r="R20" s="16">
        <f t="shared" si="0"/>
        <v>1</v>
      </c>
      <c r="S20" s="2" t="str">
        <f t="shared" si="1"/>
        <v>CAR</v>
      </c>
      <c r="W20" s="4"/>
    </row>
    <row r="21" spans="1:83" x14ac:dyDescent="0.25">
      <c r="A21" t="str">
        <f t="shared" si="2"/>
        <v>Friday</v>
      </c>
      <c r="B21" s="3">
        <v>45408</v>
      </c>
      <c r="C21" s="3" t="s">
        <v>32</v>
      </c>
      <c r="D21" s="4">
        <v>1</v>
      </c>
      <c r="E21" s="2" t="s">
        <v>43</v>
      </c>
      <c r="F21" s="4">
        <v>3</v>
      </c>
      <c r="G21" s="4" t="s">
        <v>13</v>
      </c>
      <c r="H21" s="4" t="s">
        <v>12</v>
      </c>
      <c r="I21" s="4">
        <v>3</v>
      </c>
      <c r="J21" s="4">
        <v>0</v>
      </c>
      <c r="K21" s="2" t="s">
        <v>13</v>
      </c>
      <c r="L21" s="2" t="s">
        <v>12</v>
      </c>
      <c r="M21" s="2" t="s">
        <v>12</v>
      </c>
      <c r="N21" s="3">
        <v>45408</v>
      </c>
      <c r="O21" s="2">
        <v>3</v>
      </c>
      <c r="P21" s="2">
        <v>1</v>
      </c>
      <c r="Q21" s="2">
        <v>0</v>
      </c>
      <c r="R21" s="2">
        <f t="shared" si="0"/>
        <v>0</v>
      </c>
      <c r="S21" s="2" t="str">
        <f t="shared" si="1"/>
        <v>NYR</v>
      </c>
      <c r="W21" s="4"/>
      <c r="AA21" s="11"/>
      <c r="AB21" s="11" t="s">
        <v>67</v>
      </c>
      <c r="AC21" s="11" t="s">
        <v>68</v>
      </c>
      <c r="AD21" s="11" t="s">
        <v>69</v>
      </c>
      <c r="AE21" s="11" t="s">
        <v>70</v>
      </c>
      <c r="AF21" s="11" t="s">
        <v>71</v>
      </c>
      <c r="AG21" s="11" t="s">
        <v>95</v>
      </c>
      <c r="AH21" s="11" t="s">
        <v>96</v>
      </c>
      <c r="AI21" s="11" t="s">
        <v>89</v>
      </c>
      <c r="AJ21" s="11" t="s">
        <v>90</v>
      </c>
      <c r="AK21" s="11" t="s">
        <v>91</v>
      </c>
      <c r="AL21" s="11" t="s">
        <v>92</v>
      </c>
      <c r="AM21" s="11" t="s">
        <v>93</v>
      </c>
      <c r="AN21" s="11" t="s">
        <v>94</v>
      </c>
      <c r="AO21" s="11" t="s">
        <v>81</v>
      </c>
      <c r="AP21" s="11" t="s">
        <v>82</v>
      </c>
      <c r="AQ21" s="11" t="s">
        <v>72</v>
      </c>
      <c r="AR21" s="11" t="s">
        <v>74</v>
      </c>
      <c r="AS21" s="11" t="s">
        <v>73</v>
      </c>
      <c r="AT21" s="11" t="s">
        <v>75</v>
      </c>
      <c r="AU21" s="11" t="s">
        <v>76</v>
      </c>
      <c r="AV21" s="11" t="s">
        <v>77</v>
      </c>
      <c r="AW21" s="11" t="s">
        <v>78</v>
      </c>
      <c r="AX21" s="11" t="s">
        <v>79</v>
      </c>
      <c r="AY21" s="11" t="s">
        <v>80</v>
      </c>
      <c r="AZ21" s="11" t="s">
        <v>83</v>
      </c>
      <c r="BA21" s="11" t="s">
        <v>84</v>
      </c>
      <c r="BB21" s="11" t="s">
        <v>86</v>
      </c>
      <c r="BC21" s="11" t="s">
        <v>85</v>
      </c>
      <c r="BD21" s="11" t="s">
        <v>87</v>
      </c>
      <c r="BE21" s="11" t="s">
        <v>88</v>
      </c>
      <c r="BG21" t="s">
        <v>164</v>
      </c>
      <c r="BH21" t="s">
        <v>71</v>
      </c>
      <c r="BI21" t="s">
        <v>95</v>
      </c>
      <c r="BJ21" t="s">
        <v>96</v>
      </c>
      <c r="BK21" t="s">
        <v>89</v>
      </c>
      <c r="BL21" t="s">
        <v>90</v>
      </c>
      <c r="BM21" t="s">
        <v>91</v>
      </c>
      <c r="BN21" t="s">
        <v>92</v>
      </c>
      <c r="BO21" t="s">
        <v>93</v>
      </c>
      <c r="BP21" t="s">
        <v>94</v>
      </c>
      <c r="BQ21" t="s">
        <v>161</v>
      </c>
      <c r="BR21" t="s">
        <v>149</v>
      </c>
      <c r="BS21" t="s">
        <v>150</v>
      </c>
      <c r="BT21" t="s">
        <v>151</v>
      </c>
      <c r="BU21" t="s">
        <v>152</v>
      </c>
      <c r="BV21" t="s">
        <v>153</v>
      </c>
      <c r="BW21" t="s">
        <v>154</v>
      </c>
      <c r="BX21" t="s">
        <v>155</v>
      </c>
      <c r="BY21" t="s">
        <v>156</v>
      </c>
      <c r="BZ21" t="s">
        <v>157</v>
      </c>
      <c r="CA21" t="s">
        <v>158</v>
      </c>
      <c r="CB21" t="s">
        <v>159</v>
      </c>
      <c r="CC21" t="s">
        <v>160</v>
      </c>
      <c r="CD21" t="s">
        <v>163</v>
      </c>
      <c r="CE21" t="s">
        <v>162</v>
      </c>
    </row>
    <row r="22" spans="1:83" x14ac:dyDescent="0.25">
      <c r="A22" t="str">
        <f t="shared" si="2"/>
        <v>Friday</v>
      </c>
      <c r="B22" s="3">
        <v>45408</v>
      </c>
      <c r="C22" s="3" t="s">
        <v>33</v>
      </c>
      <c r="D22" s="4">
        <v>1</v>
      </c>
      <c r="E22" s="2" t="s">
        <v>41</v>
      </c>
      <c r="F22" s="4">
        <v>3</v>
      </c>
      <c r="G22" s="4" t="s">
        <v>15</v>
      </c>
      <c r="H22" s="4" t="s">
        <v>14</v>
      </c>
      <c r="I22" s="4">
        <v>1</v>
      </c>
      <c r="J22" s="4">
        <v>2</v>
      </c>
      <c r="K22" s="2" t="s">
        <v>15</v>
      </c>
      <c r="L22" s="2" t="s">
        <v>14</v>
      </c>
      <c r="M22" s="2" t="s">
        <v>14</v>
      </c>
      <c r="N22" s="3">
        <v>45408</v>
      </c>
      <c r="O22" s="2">
        <v>2</v>
      </c>
      <c r="P22" s="2">
        <v>6</v>
      </c>
      <c r="Q22" s="2">
        <v>0</v>
      </c>
      <c r="R22" s="2">
        <f t="shared" si="0"/>
        <v>1</v>
      </c>
      <c r="S22" s="2" t="str">
        <f t="shared" si="1"/>
        <v>COL</v>
      </c>
      <c r="W22" s="4"/>
      <c r="AA22" t="s">
        <v>11</v>
      </c>
      <c r="AB22">
        <f t="shared" ref="AB22:AB37" si="7">COUNTIFS($K$2:$K$100, AA22, $D$2:$D$100, 1) + COUNTIFS($L$2:$L$100, AA22, $D$2:$D$100, 1)</f>
        <v>5</v>
      </c>
      <c r="AC22">
        <f t="shared" ref="AC22:AC37" si="8">COUNTIFS($K$2:$K$100, AA22, $D$2:$D$100, 2) + COUNTIFS($L$2:$L$100, AA22, $D$2:$D$100, 2)</f>
        <v>6</v>
      </c>
      <c r="AD22">
        <f t="shared" ref="AD22:AD37" si="9">COUNTIFS($K$2:$K$100, AA22, $D$2:$D$100, 3) + COUNTIFS($L$2:$L$100, AA22, $D$2:$D$100, 3)</f>
        <v>6</v>
      </c>
      <c r="AE22">
        <f t="shared" ref="AE22:AE37" si="10">COUNTIFS($K$2:$K$100, AA22, $D$2:$D$100, 4) + COUNTIFS($L$2:$L$100, AA22, $D$2:$D$100, 4)</f>
        <v>7</v>
      </c>
      <c r="AF22">
        <f>AB22+AC22+AD22+AE22</f>
        <v>24</v>
      </c>
      <c r="AG22">
        <f t="shared" ref="AG22:AG37" si="11">COUNTIF($L$2:$L$100, AA22)</f>
        <v>13</v>
      </c>
      <c r="AH22">
        <f t="shared" ref="AH22:AH37" si="12">COUNTIF($K$2:$K$100, AA22)</f>
        <v>11</v>
      </c>
      <c r="AI22">
        <f t="shared" ref="AI22:AI37" si="13">AK22+AM22</f>
        <v>16</v>
      </c>
      <c r="AJ22">
        <f t="shared" ref="AJ22:AJ37" si="14">AF22-AI22</f>
        <v>8</v>
      </c>
      <c r="AK22">
        <f t="shared" ref="AK22:AK37" si="15">SUMPRODUCT(($L$2:$L$100=AA22)*($P$2:$P$100&gt;$O$2:$O$100))</f>
        <v>9</v>
      </c>
      <c r="AL22">
        <f t="shared" ref="AL22:AL37" si="16">SUMPRODUCT(($L$2:$L$100=AA22)*($P$2:$P$100&lt;$O$2:$O$100))</f>
        <v>4</v>
      </c>
      <c r="AM22">
        <f t="shared" ref="AM22:AM37" si="17">SUMPRODUCT(($K$2:$K$100=AA22)*($P$2:$P$100&lt;$O$2:$O$100))</f>
        <v>7</v>
      </c>
      <c r="AN22">
        <f t="shared" ref="AN22:AN37" si="18">SUMPRODUCT(($K$2:$K$100=AA22)*($P$2:$P$100&gt;$O$2:$O$100))</f>
        <v>4</v>
      </c>
      <c r="AO22">
        <f t="shared" ref="AO22:AO37" si="19">COUNTIFS($L$2:$L$100,AA22,$D$2:$D$100,1)</f>
        <v>3</v>
      </c>
      <c r="AP22">
        <f t="shared" ref="AP22:AP37" si="20">COUNTIFS($K$2:$K$100,AA22,$D$2:$D$100,1)</f>
        <v>2</v>
      </c>
      <c r="AQ22">
        <f t="shared" ref="AQ22:AQ37" si="21">SUMIFS($P$2:$P$100, $L$2:$L$100, AA22,$D$2:$D$100, 1)</f>
        <v>12</v>
      </c>
      <c r="AR22">
        <f t="shared" ref="AR22:AR37" si="22">SUMIFS($O$2:$O$100, $K$2:$K$100, AA22,$D$2:$D$100, 1)</f>
        <v>8</v>
      </c>
      <c r="AS22">
        <f t="shared" ref="AS22:AS37" si="23">SUMIFS($O$2:$O$100, $L$2:$L$100, AA22,$D$2:$D$100, 1)</f>
        <v>5</v>
      </c>
      <c r="AT22">
        <f t="shared" ref="AT22:AT37" si="24">SUMIFS($P$2:$P$100, $K$2:$K$100, AA22,$D$2:$D$100, 1)</f>
        <v>9</v>
      </c>
      <c r="AU22">
        <f>AQ22-AS22</f>
        <v>7</v>
      </c>
      <c r="AV22">
        <f>AR22-AT22</f>
        <v>-1</v>
      </c>
      <c r="AW22">
        <f>AQ22+AR22</f>
        <v>20</v>
      </c>
      <c r="AX22">
        <f>AS22+AT22</f>
        <v>14</v>
      </c>
      <c r="AY22">
        <f>(AQ22+AR22)-(AS22+AT22)</f>
        <v>6</v>
      </c>
      <c r="AZ22">
        <f>AQ22/AO22</f>
        <v>4</v>
      </c>
      <c r="BA22">
        <f>AR22/AP22</f>
        <v>4</v>
      </c>
      <c r="BB22">
        <f>AS22/AO22</f>
        <v>1.6666666666666667</v>
      </c>
      <c r="BC22">
        <f>AT22/AP22</f>
        <v>4.5</v>
      </c>
      <c r="BD22">
        <f t="shared" ref="BD22:BD37" si="25">AW22/AB22</f>
        <v>4</v>
      </c>
      <c r="BE22">
        <f t="shared" ref="BE22:BE37" si="26">AX22/AB22</f>
        <v>2.8</v>
      </c>
      <c r="BG22" t="str">
        <f t="shared" ref="BG22:BG37" si="27">AA22</f>
        <v>FLA</v>
      </c>
      <c r="BH22" s="1">
        <f t="shared" ref="BH22:BH37" si="28">AF22</f>
        <v>24</v>
      </c>
      <c r="BI22" s="1">
        <f t="shared" ref="BI22:BI37" si="29">AG22</f>
        <v>13</v>
      </c>
      <c r="BJ22" s="1">
        <f t="shared" ref="BJ22:BJ37" si="30">AH22</f>
        <v>11</v>
      </c>
      <c r="BK22" s="1">
        <f t="shared" ref="BK22:BK37" si="31">AI22</f>
        <v>16</v>
      </c>
      <c r="BL22" s="1">
        <f t="shared" ref="BL22:BL37" si="32">AJ22</f>
        <v>8</v>
      </c>
      <c r="BM22" s="1">
        <f t="shared" ref="BM22:BM37" si="33">AK22</f>
        <v>9</v>
      </c>
      <c r="BN22" s="1">
        <f t="shared" ref="BN22:BN37" si="34">AL22</f>
        <v>4</v>
      </c>
      <c r="BO22" s="1">
        <f t="shared" ref="BO22:BO37" si="35">AM22</f>
        <v>7</v>
      </c>
      <c r="BP22" s="1">
        <f t="shared" ref="BP22:BP37" si="36">AN22</f>
        <v>4</v>
      </c>
      <c r="BQ22" s="1">
        <f t="shared" ref="BQ22:BQ37" si="37">SUMIFS($P$2:$P$100,$L$2:$L$100,AA22,$D$2:$D$100,1)+SUMIFS($P$2:$P$100,$L$2:$L$100,AA22,$D$2:$D$100,2)+SUMIFS($P$2:$P$100,$L$2:$L$100,AA22,$D$2:$D$100,3)+SUMIFS($P$2:$P$100,$L$2:$L$100,AA22,$D$2:$D$100,4)</f>
        <v>41</v>
      </c>
      <c r="BR22" s="1">
        <f t="shared" ref="BR22:BR37" si="38">SUMIFS($O$2:$O$100,$K$2:$K$100,AA22,$D$2:$D$100,1) + SUMIFS($O$2:$O$100,$K$2:$K$100,AA22,$D$2:$D$100,2)+SUMIFS($O$2:$O$100,$K$2:$K$100,AA22,$D$2:$D$100,3)+SUMIFS($O$2:$O$100,$K$2:$K$100,AA22,$D$2:$D$100,4)</f>
        <v>32</v>
      </c>
      <c r="BS22" s="1">
        <f t="shared" ref="BS22:BS37" si="39">SUMIFS($O$2:$O$100,$L$2:$L$100,AA22,$D$2:$D$100,1)+SUMIFS($O$2:$O$100,$L$2:$L$100,AA22,$D$2:$D$100,2)+SUMIFS($O$2:$O$100,$L$2:$L$100,AA22,$D$2:$D$100,3)+SUMIFS($O$2:$O$100,$L$2:$L$100,AA22,$D$2:$D$100,4)</f>
        <v>28</v>
      </c>
      <c r="BT22" s="1">
        <f t="shared" ref="BT22:BT37" si="40">SUMIFS($P$2:$P$100,$K$2:$K$100,AA22,$D$2:$D$100,1)+(SUMIFS($P$2:$P$100,$K$2:$K$100,AA22,$D$2:$D$100,2)+SUMIFS($P$2:$P$100,$K$2:$K$100,AA22,$D$2:$D$100,3)+SUMIFS($P$2:$P$100,$K$2:$K$100,AA22,$D$2:$D$100,4))</f>
        <v>34</v>
      </c>
      <c r="BU22" s="1">
        <f t="shared" ref="BU22:BU37" si="41">BQ22-BS22</f>
        <v>13</v>
      </c>
      <c r="BV22" s="1">
        <f t="shared" ref="BV22:BV37" si="42">BR22-BT22</f>
        <v>-2</v>
      </c>
      <c r="BW22" s="1">
        <f t="shared" ref="BW22:BW37" si="43">BQ22+BR22</f>
        <v>73</v>
      </c>
      <c r="BX22" s="1">
        <f t="shared" ref="BX22:BX37" si="44">BS22+BT22</f>
        <v>62</v>
      </c>
      <c r="BY22" s="1">
        <f t="shared" ref="BY22:BY37" si="45">(BQ22+BR22)-(BS22+BT22)</f>
        <v>11</v>
      </c>
      <c r="BZ22" s="37">
        <f t="shared" ref="BZ22:BZ37" si="46">BQ22/BI22</f>
        <v>3.1538461538461537</v>
      </c>
      <c r="CA22" s="37">
        <f t="shared" ref="CA22:CA37" si="47">BR22/BJ22</f>
        <v>2.9090909090909092</v>
      </c>
      <c r="CB22" s="37">
        <f t="shared" ref="CB22:CB37" si="48">BS22/BI22</f>
        <v>2.1538461538461537</v>
      </c>
      <c r="CC22" s="37">
        <f t="shared" ref="CC22:CC37" si="49">BT22/BJ22</f>
        <v>3.0909090909090908</v>
      </c>
      <c r="CD22" s="37">
        <f t="shared" ref="CD22:CD37" si="50">BW22/BH22</f>
        <v>3.0416666666666665</v>
      </c>
      <c r="CE22" s="37">
        <f t="shared" ref="CE22:CE37" si="51">BX22/BH22</f>
        <v>2.5833333333333335</v>
      </c>
    </row>
    <row r="23" spans="1:83" x14ac:dyDescent="0.25">
      <c r="A23" t="str">
        <f t="shared" si="2"/>
        <v>Friday</v>
      </c>
      <c r="B23" s="3">
        <v>45408</v>
      </c>
      <c r="C23" s="3" t="s">
        <v>33</v>
      </c>
      <c r="D23" s="4">
        <v>1</v>
      </c>
      <c r="E23" s="2" t="s">
        <v>40</v>
      </c>
      <c r="F23" s="4">
        <v>3</v>
      </c>
      <c r="G23" s="4" t="s">
        <v>21</v>
      </c>
      <c r="H23" s="4" t="s">
        <v>20</v>
      </c>
      <c r="I23" s="4">
        <v>2</v>
      </c>
      <c r="J23" s="4">
        <v>1</v>
      </c>
      <c r="K23" s="2" t="s">
        <v>21</v>
      </c>
      <c r="L23" s="2" t="s">
        <v>20</v>
      </c>
      <c r="M23" s="2" t="s">
        <v>21</v>
      </c>
      <c r="N23" s="3">
        <v>45408</v>
      </c>
      <c r="O23" s="2">
        <v>1</v>
      </c>
      <c r="P23" s="2">
        <v>6</v>
      </c>
      <c r="Q23" s="2">
        <v>0</v>
      </c>
      <c r="R23" s="2">
        <f t="shared" si="0"/>
        <v>0</v>
      </c>
      <c r="S23" s="2" t="str">
        <f t="shared" si="1"/>
        <v>LAK</v>
      </c>
      <c r="W23" s="4"/>
      <c r="AA23" t="s">
        <v>3</v>
      </c>
      <c r="AB23">
        <f t="shared" si="7"/>
        <v>7</v>
      </c>
      <c r="AC23">
        <f t="shared" si="8"/>
        <v>6</v>
      </c>
      <c r="AD23">
        <f t="shared" si="9"/>
        <v>0</v>
      </c>
      <c r="AE23">
        <f t="shared" si="10"/>
        <v>0</v>
      </c>
      <c r="AF23">
        <f t="shared" ref="AF23:AF37" si="52">AB23+AC23+AD23+AE23</f>
        <v>13</v>
      </c>
      <c r="AG23">
        <f t="shared" si="11"/>
        <v>7</v>
      </c>
      <c r="AH23">
        <f t="shared" si="12"/>
        <v>6</v>
      </c>
      <c r="AI23">
        <f t="shared" si="13"/>
        <v>6</v>
      </c>
      <c r="AJ23">
        <f t="shared" si="14"/>
        <v>7</v>
      </c>
      <c r="AK23">
        <f t="shared" si="15"/>
        <v>2</v>
      </c>
      <c r="AL23">
        <f t="shared" si="16"/>
        <v>5</v>
      </c>
      <c r="AM23">
        <f t="shared" si="17"/>
        <v>4</v>
      </c>
      <c r="AN23">
        <f t="shared" si="18"/>
        <v>2</v>
      </c>
      <c r="AO23">
        <f t="shared" si="19"/>
        <v>4</v>
      </c>
      <c r="AP23">
        <f t="shared" si="20"/>
        <v>3</v>
      </c>
      <c r="AQ23">
        <f t="shared" si="21"/>
        <v>10</v>
      </c>
      <c r="AR23">
        <f t="shared" si="22"/>
        <v>8</v>
      </c>
      <c r="AS23">
        <f t="shared" si="23"/>
        <v>7</v>
      </c>
      <c r="AT23">
        <f t="shared" si="24"/>
        <v>5</v>
      </c>
      <c r="AU23">
        <f t="shared" ref="AU23:AU37" si="53">AQ23-AS23</f>
        <v>3</v>
      </c>
      <c r="AV23">
        <f t="shared" ref="AV23:AV37" si="54">AR23-AT23</f>
        <v>3</v>
      </c>
      <c r="AW23">
        <f t="shared" ref="AW23:AW37" si="55">AQ23+AR23</f>
        <v>18</v>
      </c>
      <c r="AX23">
        <f t="shared" ref="AX23:AX37" si="56">AS23+AT23</f>
        <v>12</v>
      </c>
      <c r="AY23">
        <f t="shared" ref="AY23:AY37" si="57">(AQ23+AR23)-(AS23+AT23)</f>
        <v>6</v>
      </c>
      <c r="AZ23">
        <f t="shared" ref="AZ23:AZ37" si="58">AQ23/AO23</f>
        <v>2.5</v>
      </c>
      <c r="BA23">
        <f t="shared" ref="BA23:BA37" si="59">AR23/AP23</f>
        <v>2.6666666666666665</v>
      </c>
      <c r="BB23">
        <f t="shared" ref="BB23:BB37" si="60">AS23/AO23</f>
        <v>1.75</v>
      </c>
      <c r="BC23">
        <f t="shared" ref="BC23:BC37" si="61">AT23/AP23</f>
        <v>1.6666666666666667</v>
      </c>
      <c r="BD23">
        <f t="shared" si="25"/>
        <v>2.5714285714285716</v>
      </c>
      <c r="BE23">
        <f t="shared" si="26"/>
        <v>1.7142857142857142</v>
      </c>
      <c r="BG23" t="str">
        <f t="shared" si="27"/>
        <v>BOS</v>
      </c>
      <c r="BH23" s="1">
        <f t="shared" si="28"/>
        <v>13</v>
      </c>
      <c r="BI23" s="1">
        <f t="shared" si="29"/>
        <v>7</v>
      </c>
      <c r="BJ23" s="1">
        <f t="shared" si="30"/>
        <v>6</v>
      </c>
      <c r="BK23" s="1">
        <f t="shared" si="31"/>
        <v>6</v>
      </c>
      <c r="BL23" s="1">
        <f t="shared" si="32"/>
        <v>7</v>
      </c>
      <c r="BM23" s="1">
        <f t="shared" si="33"/>
        <v>2</v>
      </c>
      <c r="BN23" s="1">
        <f t="shared" si="34"/>
        <v>5</v>
      </c>
      <c r="BO23" s="1">
        <f t="shared" si="35"/>
        <v>4</v>
      </c>
      <c r="BP23" s="1">
        <f t="shared" si="36"/>
        <v>2</v>
      </c>
      <c r="BQ23" s="1">
        <f t="shared" si="37"/>
        <v>15</v>
      </c>
      <c r="BR23" s="1">
        <f t="shared" si="38"/>
        <v>16</v>
      </c>
      <c r="BS23" s="1">
        <f t="shared" si="39"/>
        <v>18</v>
      </c>
      <c r="BT23" s="1">
        <f t="shared" si="40"/>
        <v>13</v>
      </c>
      <c r="BU23" s="1">
        <f t="shared" si="41"/>
        <v>-3</v>
      </c>
      <c r="BV23" s="1">
        <f t="shared" si="42"/>
        <v>3</v>
      </c>
      <c r="BW23" s="1">
        <f t="shared" si="43"/>
        <v>31</v>
      </c>
      <c r="BX23" s="1">
        <f t="shared" si="44"/>
        <v>31</v>
      </c>
      <c r="BY23" s="1">
        <f t="shared" si="45"/>
        <v>0</v>
      </c>
      <c r="BZ23" s="37">
        <f t="shared" si="46"/>
        <v>2.1428571428571428</v>
      </c>
      <c r="CA23" s="37">
        <f t="shared" si="47"/>
        <v>2.6666666666666665</v>
      </c>
      <c r="CB23" s="37">
        <f t="shared" si="48"/>
        <v>2.5714285714285716</v>
      </c>
      <c r="CC23" s="37">
        <f t="shared" si="49"/>
        <v>2.1666666666666665</v>
      </c>
      <c r="CD23" s="37">
        <f t="shared" si="50"/>
        <v>2.3846153846153846</v>
      </c>
      <c r="CE23" s="37">
        <f t="shared" si="51"/>
        <v>2.3846153846153846</v>
      </c>
    </row>
    <row r="24" spans="1:83" x14ac:dyDescent="0.25">
      <c r="A24" s="11" t="str">
        <f t="shared" si="2"/>
        <v>Friday</v>
      </c>
      <c r="B24" s="15">
        <v>45408</v>
      </c>
      <c r="C24" s="15" t="s">
        <v>33</v>
      </c>
      <c r="D24" s="17">
        <v>1</v>
      </c>
      <c r="E24" s="16" t="s">
        <v>44</v>
      </c>
      <c r="F24" s="17">
        <v>3</v>
      </c>
      <c r="G24" s="17" t="s">
        <v>17</v>
      </c>
      <c r="H24" s="17" t="s">
        <v>16</v>
      </c>
      <c r="I24" s="17">
        <v>2</v>
      </c>
      <c r="J24" s="17">
        <v>1</v>
      </c>
      <c r="K24" s="16" t="s">
        <v>17</v>
      </c>
      <c r="L24" s="16" t="s">
        <v>16</v>
      </c>
      <c r="M24" s="16" t="s">
        <v>16</v>
      </c>
      <c r="N24" s="15">
        <v>45408</v>
      </c>
      <c r="O24" s="16">
        <v>2</v>
      </c>
      <c r="P24" s="16">
        <v>1</v>
      </c>
      <c r="Q24" s="16">
        <v>0</v>
      </c>
      <c r="R24" s="16">
        <f t="shared" si="0"/>
        <v>0</v>
      </c>
      <c r="S24" s="2" t="str">
        <f t="shared" si="1"/>
        <v>VAN</v>
      </c>
      <c r="W24" s="4"/>
      <c r="AA24" t="s">
        <v>2</v>
      </c>
      <c r="AB24">
        <f t="shared" si="7"/>
        <v>7</v>
      </c>
      <c r="AC24">
        <f t="shared" si="8"/>
        <v>0</v>
      </c>
      <c r="AD24">
        <f t="shared" si="9"/>
        <v>0</v>
      </c>
      <c r="AE24">
        <f t="shared" si="10"/>
        <v>0</v>
      </c>
      <c r="AF24">
        <f t="shared" si="52"/>
        <v>7</v>
      </c>
      <c r="AG24">
        <f t="shared" si="11"/>
        <v>3</v>
      </c>
      <c r="AH24">
        <f t="shared" si="12"/>
        <v>4</v>
      </c>
      <c r="AI24">
        <f t="shared" si="13"/>
        <v>3</v>
      </c>
      <c r="AJ24">
        <f t="shared" si="14"/>
        <v>4</v>
      </c>
      <c r="AK24">
        <f t="shared" si="15"/>
        <v>1</v>
      </c>
      <c r="AL24">
        <f t="shared" si="16"/>
        <v>2</v>
      </c>
      <c r="AM24">
        <f t="shared" si="17"/>
        <v>2</v>
      </c>
      <c r="AN24">
        <f t="shared" si="18"/>
        <v>2</v>
      </c>
      <c r="AO24">
        <f t="shared" si="19"/>
        <v>3</v>
      </c>
      <c r="AP24">
        <f t="shared" si="20"/>
        <v>4</v>
      </c>
      <c r="AQ24">
        <f t="shared" si="21"/>
        <v>5</v>
      </c>
      <c r="AR24">
        <f t="shared" si="22"/>
        <v>7</v>
      </c>
      <c r="AS24">
        <f t="shared" si="23"/>
        <v>8</v>
      </c>
      <c r="AT24">
        <f t="shared" si="24"/>
        <v>10</v>
      </c>
      <c r="AU24">
        <f t="shared" si="53"/>
        <v>-3</v>
      </c>
      <c r="AV24">
        <f t="shared" si="54"/>
        <v>-3</v>
      </c>
      <c r="AW24">
        <f t="shared" si="55"/>
        <v>12</v>
      </c>
      <c r="AX24">
        <f t="shared" si="56"/>
        <v>18</v>
      </c>
      <c r="AY24">
        <f t="shared" si="57"/>
        <v>-6</v>
      </c>
      <c r="AZ24">
        <f t="shared" si="58"/>
        <v>1.6666666666666667</v>
      </c>
      <c r="BA24">
        <f t="shared" si="59"/>
        <v>1.75</v>
      </c>
      <c r="BB24">
        <f t="shared" si="60"/>
        <v>2.6666666666666665</v>
      </c>
      <c r="BC24">
        <f t="shared" si="61"/>
        <v>2.5</v>
      </c>
      <c r="BD24">
        <f t="shared" si="25"/>
        <v>1.7142857142857142</v>
      </c>
      <c r="BE24">
        <f t="shared" si="26"/>
        <v>2.5714285714285716</v>
      </c>
      <c r="BG24" t="str">
        <f t="shared" si="27"/>
        <v>TOR</v>
      </c>
      <c r="BH24" s="1">
        <f t="shared" si="28"/>
        <v>7</v>
      </c>
      <c r="BI24" s="1">
        <f t="shared" si="29"/>
        <v>3</v>
      </c>
      <c r="BJ24" s="1">
        <f t="shared" si="30"/>
        <v>4</v>
      </c>
      <c r="BK24" s="1">
        <f t="shared" si="31"/>
        <v>3</v>
      </c>
      <c r="BL24" s="1">
        <f t="shared" si="32"/>
        <v>4</v>
      </c>
      <c r="BM24" s="1">
        <f t="shared" si="33"/>
        <v>1</v>
      </c>
      <c r="BN24" s="1">
        <f t="shared" si="34"/>
        <v>2</v>
      </c>
      <c r="BO24" s="1">
        <f t="shared" si="35"/>
        <v>2</v>
      </c>
      <c r="BP24" s="1">
        <f t="shared" si="36"/>
        <v>2</v>
      </c>
      <c r="BQ24" s="1">
        <f t="shared" si="37"/>
        <v>5</v>
      </c>
      <c r="BR24" s="1">
        <f t="shared" si="38"/>
        <v>7</v>
      </c>
      <c r="BS24" s="1">
        <f t="shared" si="39"/>
        <v>8</v>
      </c>
      <c r="BT24" s="1">
        <f t="shared" si="40"/>
        <v>10</v>
      </c>
      <c r="BU24" s="1">
        <f t="shared" si="41"/>
        <v>-3</v>
      </c>
      <c r="BV24" s="1">
        <f t="shared" si="42"/>
        <v>-3</v>
      </c>
      <c r="BW24" s="1">
        <f t="shared" si="43"/>
        <v>12</v>
      </c>
      <c r="BX24" s="1">
        <f t="shared" si="44"/>
        <v>18</v>
      </c>
      <c r="BY24" s="1">
        <f t="shared" si="45"/>
        <v>-6</v>
      </c>
      <c r="BZ24" s="37">
        <f t="shared" si="46"/>
        <v>1.6666666666666667</v>
      </c>
      <c r="CA24" s="37">
        <f t="shared" si="47"/>
        <v>1.75</v>
      </c>
      <c r="CB24" s="37">
        <f t="shared" si="48"/>
        <v>2.6666666666666665</v>
      </c>
      <c r="CC24" s="37">
        <f t="shared" si="49"/>
        <v>2.5</v>
      </c>
      <c r="CD24" s="37">
        <f t="shared" si="50"/>
        <v>1.7142857142857142</v>
      </c>
      <c r="CE24" s="37">
        <f t="shared" si="51"/>
        <v>2.5714285714285716</v>
      </c>
    </row>
    <row r="25" spans="1:83" x14ac:dyDescent="0.25">
      <c r="A25" s="41" t="str">
        <f t="shared" si="2"/>
        <v>Saturday</v>
      </c>
      <c r="B25" s="3">
        <v>45409</v>
      </c>
      <c r="C25" s="3" t="s">
        <v>32</v>
      </c>
      <c r="D25" s="4">
        <v>1</v>
      </c>
      <c r="E25" s="2" t="s">
        <v>38</v>
      </c>
      <c r="F25" s="4">
        <v>4</v>
      </c>
      <c r="G25" s="4" t="s">
        <v>1</v>
      </c>
      <c r="H25" s="4" t="s">
        <v>0</v>
      </c>
      <c r="I25" s="4">
        <v>3</v>
      </c>
      <c r="J25" s="4">
        <v>1</v>
      </c>
      <c r="K25" s="2" t="s">
        <v>1</v>
      </c>
      <c r="L25" s="2" t="s">
        <v>0</v>
      </c>
      <c r="M25" s="2" t="s">
        <v>1</v>
      </c>
      <c r="N25" s="3">
        <v>45409</v>
      </c>
      <c r="O25" s="2">
        <v>2</v>
      </c>
      <c r="P25" s="2">
        <v>3</v>
      </c>
      <c r="Q25" s="2">
        <v>2</v>
      </c>
      <c r="R25" s="2">
        <f t="shared" si="0"/>
        <v>0</v>
      </c>
      <c r="S25" s="2" t="str">
        <f t="shared" si="1"/>
        <v>NYI</v>
      </c>
      <c r="W25" s="4"/>
      <c r="AA25" t="s">
        <v>10</v>
      </c>
      <c r="AB25">
        <f t="shared" si="7"/>
        <v>5</v>
      </c>
      <c r="AC25">
        <f t="shared" si="8"/>
        <v>0</v>
      </c>
      <c r="AD25">
        <f t="shared" si="9"/>
        <v>0</v>
      </c>
      <c r="AE25">
        <f t="shared" si="10"/>
        <v>0</v>
      </c>
      <c r="AF25">
        <f t="shared" si="52"/>
        <v>5</v>
      </c>
      <c r="AG25">
        <f t="shared" si="11"/>
        <v>2</v>
      </c>
      <c r="AH25">
        <f t="shared" si="12"/>
        <v>3</v>
      </c>
      <c r="AI25">
        <f t="shared" si="13"/>
        <v>1</v>
      </c>
      <c r="AJ25">
        <f t="shared" si="14"/>
        <v>4</v>
      </c>
      <c r="AK25">
        <f t="shared" si="15"/>
        <v>1</v>
      </c>
      <c r="AL25">
        <f t="shared" si="16"/>
        <v>1</v>
      </c>
      <c r="AM25">
        <f t="shared" si="17"/>
        <v>0</v>
      </c>
      <c r="AN25">
        <f t="shared" si="18"/>
        <v>3</v>
      </c>
      <c r="AO25">
        <f t="shared" si="19"/>
        <v>2</v>
      </c>
      <c r="AP25">
        <f t="shared" si="20"/>
        <v>3</v>
      </c>
      <c r="AQ25">
        <f t="shared" si="21"/>
        <v>9</v>
      </c>
      <c r="AR25">
        <f t="shared" si="22"/>
        <v>5</v>
      </c>
      <c r="AS25">
        <f t="shared" si="23"/>
        <v>8</v>
      </c>
      <c r="AT25">
        <f t="shared" si="24"/>
        <v>12</v>
      </c>
      <c r="AU25">
        <f t="shared" si="53"/>
        <v>1</v>
      </c>
      <c r="AV25">
        <f t="shared" si="54"/>
        <v>-7</v>
      </c>
      <c r="AW25">
        <f t="shared" si="55"/>
        <v>14</v>
      </c>
      <c r="AX25">
        <f t="shared" si="56"/>
        <v>20</v>
      </c>
      <c r="AY25">
        <f t="shared" si="57"/>
        <v>-6</v>
      </c>
      <c r="AZ25">
        <f t="shared" si="58"/>
        <v>4.5</v>
      </c>
      <c r="BA25">
        <f t="shared" si="59"/>
        <v>1.6666666666666667</v>
      </c>
      <c r="BB25">
        <f t="shared" si="60"/>
        <v>4</v>
      </c>
      <c r="BC25">
        <f t="shared" si="61"/>
        <v>4</v>
      </c>
      <c r="BD25">
        <f t="shared" si="25"/>
        <v>2.8</v>
      </c>
      <c r="BE25">
        <f t="shared" si="26"/>
        <v>4</v>
      </c>
      <c r="BG25" t="str">
        <f t="shared" si="27"/>
        <v>TBL</v>
      </c>
      <c r="BH25" s="1">
        <f t="shared" si="28"/>
        <v>5</v>
      </c>
      <c r="BI25" s="1">
        <f t="shared" si="29"/>
        <v>2</v>
      </c>
      <c r="BJ25" s="1">
        <f t="shared" si="30"/>
        <v>3</v>
      </c>
      <c r="BK25" s="1">
        <f t="shared" si="31"/>
        <v>1</v>
      </c>
      <c r="BL25" s="1">
        <f t="shared" si="32"/>
        <v>4</v>
      </c>
      <c r="BM25" s="1">
        <f t="shared" si="33"/>
        <v>1</v>
      </c>
      <c r="BN25" s="1">
        <f t="shared" si="34"/>
        <v>1</v>
      </c>
      <c r="BO25" s="1">
        <f t="shared" si="35"/>
        <v>0</v>
      </c>
      <c r="BP25" s="1">
        <f t="shared" si="36"/>
        <v>3</v>
      </c>
      <c r="BQ25" s="1">
        <f t="shared" si="37"/>
        <v>9</v>
      </c>
      <c r="BR25" s="1">
        <f t="shared" si="38"/>
        <v>5</v>
      </c>
      <c r="BS25" s="1">
        <f t="shared" si="39"/>
        <v>8</v>
      </c>
      <c r="BT25" s="1">
        <f t="shared" si="40"/>
        <v>12</v>
      </c>
      <c r="BU25" s="1">
        <f t="shared" si="41"/>
        <v>1</v>
      </c>
      <c r="BV25" s="1">
        <f t="shared" si="42"/>
        <v>-7</v>
      </c>
      <c r="BW25" s="1">
        <f t="shared" si="43"/>
        <v>14</v>
      </c>
      <c r="BX25" s="1">
        <f t="shared" si="44"/>
        <v>20</v>
      </c>
      <c r="BY25" s="1">
        <f t="shared" si="45"/>
        <v>-6</v>
      </c>
      <c r="BZ25" s="37">
        <f t="shared" si="46"/>
        <v>4.5</v>
      </c>
      <c r="CA25" s="37">
        <f t="shared" si="47"/>
        <v>1.6666666666666667</v>
      </c>
      <c r="CB25" s="37">
        <f t="shared" si="48"/>
        <v>4</v>
      </c>
      <c r="CC25" s="37">
        <f t="shared" si="49"/>
        <v>4</v>
      </c>
      <c r="CD25" s="37">
        <f t="shared" si="50"/>
        <v>2.8</v>
      </c>
      <c r="CE25" s="37">
        <f t="shared" si="51"/>
        <v>4</v>
      </c>
    </row>
    <row r="26" spans="1:83" x14ac:dyDescent="0.25">
      <c r="A26" t="str">
        <f t="shared" si="2"/>
        <v>Saturday</v>
      </c>
      <c r="B26" s="3">
        <v>45409</v>
      </c>
      <c r="C26" s="3" t="s">
        <v>32</v>
      </c>
      <c r="D26" s="4">
        <v>1</v>
      </c>
      <c r="E26" s="2" t="s">
        <v>42</v>
      </c>
      <c r="F26" s="4">
        <v>4</v>
      </c>
      <c r="G26" s="4" t="s">
        <v>11</v>
      </c>
      <c r="H26" s="4" t="s">
        <v>10</v>
      </c>
      <c r="I26" s="4">
        <v>3</v>
      </c>
      <c r="J26" s="4">
        <v>1</v>
      </c>
      <c r="K26" s="2" t="s">
        <v>11</v>
      </c>
      <c r="L26" s="2" t="s">
        <v>10</v>
      </c>
      <c r="M26" s="2" t="s">
        <v>10</v>
      </c>
      <c r="N26" s="3">
        <v>45409</v>
      </c>
      <c r="O26" s="2">
        <v>3</v>
      </c>
      <c r="P26" s="2">
        <v>6</v>
      </c>
      <c r="Q26" s="2">
        <v>0</v>
      </c>
      <c r="R26" s="2">
        <f t="shared" si="0"/>
        <v>1</v>
      </c>
      <c r="S26" s="2" t="str">
        <f t="shared" si="1"/>
        <v>TBL</v>
      </c>
      <c r="W26" s="4"/>
      <c r="AA26" t="s">
        <v>13</v>
      </c>
      <c r="AB26">
        <f t="shared" si="7"/>
        <v>4</v>
      </c>
      <c r="AC26">
        <f t="shared" si="8"/>
        <v>6</v>
      </c>
      <c r="AD26">
        <f t="shared" si="9"/>
        <v>6</v>
      </c>
      <c r="AE26">
        <f t="shared" si="10"/>
        <v>0</v>
      </c>
      <c r="AF26">
        <f t="shared" si="52"/>
        <v>16</v>
      </c>
      <c r="AG26">
        <f t="shared" si="11"/>
        <v>8</v>
      </c>
      <c r="AH26">
        <f t="shared" si="12"/>
        <v>8</v>
      </c>
      <c r="AI26">
        <f t="shared" si="13"/>
        <v>10</v>
      </c>
      <c r="AJ26">
        <f t="shared" si="14"/>
        <v>6</v>
      </c>
      <c r="AK26">
        <f t="shared" si="15"/>
        <v>5</v>
      </c>
      <c r="AL26">
        <f t="shared" si="16"/>
        <v>3</v>
      </c>
      <c r="AM26">
        <f t="shared" si="17"/>
        <v>5</v>
      </c>
      <c r="AN26">
        <f t="shared" si="18"/>
        <v>3</v>
      </c>
      <c r="AO26">
        <f t="shared" si="19"/>
        <v>2</v>
      </c>
      <c r="AP26">
        <f t="shared" si="20"/>
        <v>2</v>
      </c>
      <c r="AQ26">
        <f t="shared" si="21"/>
        <v>8</v>
      </c>
      <c r="AR26">
        <f t="shared" si="22"/>
        <v>7</v>
      </c>
      <c r="AS26">
        <f t="shared" si="23"/>
        <v>4</v>
      </c>
      <c r="AT26">
        <f t="shared" si="24"/>
        <v>3</v>
      </c>
      <c r="AU26">
        <f t="shared" si="53"/>
        <v>4</v>
      </c>
      <c r="AV26">
        <f t="shared" si="54"/>
        <v>4</v>
      </c>
      <c r="AW26">
        <f t="shared" si="55"/>
        <v>15</v>
      </c>
      <c r="AX26">
        <f t="shared" si="56"/>
        <v>7</v>
      </c>
      <c r="AY26">
        <f t="shared" si="57"/>
        <v>8</v>
      </c>
      <c r="AZ26">
        <f t="shared" si="58"/>
        <v>4</v>
      </c>
      <c r="BA26">
        <f t="shared" si="59"/>
        <v>3.5</v>
      </c>
      <c r="BB26">
        <f t="shared" si="60"/>
        <v>2</v>
      </c>
      <c r="BC26">
        <f t="shared" si="61"/>
        <v>1.5</v>
      </c>
      <c r="BD26">
        <f t="shared" si="25"/>
        <v>3.75</v>
      </c>
      <c r="BE26">
        <f t="shared" si="26"/>
        <v>1.75</v>
      </c>
      <c r="BG26" t="str">
        <f t="shared" si="27"/>
        <v>NYR</v>
      </c>
      <c r="BH26" s="1">
        <f t="shared" si="28"/>
        <v>16</v>
      </c>
      <c r="BI26" s="1">
        <f t="shared" si="29"/>
        <v>8</v>
      </c>
      <c r="BJ26" s="1">
        <f t="shared" si="30"/>
        <v>8</v>
      </c>
      <c r="BK26" s="1">
        <f t="shared" si="31"/>
        <v>10</v>
      </c>
      <c r="BL26" s="1">
        <f t="shared" si="32"/>
        <v>6</v>
      </c>
      <c r="BM26" s="1">
        <f t="shared" si="33"/>
        <v>5</v>
      </c>
      <c r="BN26" s="1">
        <f t="shared" si="34"/>
        <v>3</v>
      </c>
      <c r="BO26" s="1">
        <f t="shared" si="35"/>
        <v>5</v>
      </c>
      <c r="BP26" s="1">
        <f t="shared" si="36"/>
        <v>3</v>
      </c>
      <c r="BQ26" s="1">
        <f t="shared" si="37"/>
        <v>21</v>
      </c>
      <c r="BR26" s="1">
        <f t="shared" si="38"/>
        <v>26</v>
      </c>
      <c r="BS26" s="1">
        <f t="shared" si="39"/>
        <v>21</v>
      </c>
      <c r="BT26" s="1">
        <f t="shared" si="40"/>
        <v>21</v>
      </c>
      <c r="BU26" s="1">
        <f t="shared" si="41"/>
        <v>0</v>
      </c>
      <c r="BV26" s="1">
        <f t="shared" si="42"/>
        <v>5</v>
      </c>
      <c r="BW26" s="1">
        <f t="shared" si="43"/>
        <v>47</v>
      </c>
      <c r="BX26" s="1">
        <f t="shared" si="44"/>
        <v>42</v>
      </c>
      <c r="BY26" s="1">
        <f t="shared" si="45"/>
        <v>5</v>
      </c>
      <c r="BZ26" s="37">
        <f t="shared" si="46"/>
        <v>2.625</v>
      </c>
      <c r="CA26" s="37">
        <f t="shared" si="47"/>
        <v>3.25</v>
      </c>
      <c r="CB26" s="37">
        <f t="shared" si="48"/>
        <v>2.625</v>
      </c>
      <c r="CC26" s="37">
        <f t="shared" si="49"/>
        <v>2.625</v>
      </c>
      <c r="CD26" s="37">
        <f t="shared" si="50"/>
        <v>2.9375</v>
      </c>
      <c r="CE26" s="37">
        <f t="shared" si="51"/>
        <v>2.625</v>
      </c>
    </row>
    <row r="27" spans="1:83" x14ac:dyDescent="0.25">
      <c r="A27" t="str">
        <f t="shared" si="2"/>
        <v>Saturday</v>
      </c>
      <c r="B27" s="3">
        <v>45409</v>
      </c>
      <c r="C27" s="3" t="s">
        <v>32</v>
      </c>
      <c r="D27" s="4">
        <v>1</v>
      </c>
      <c r="E27" s="2" t="s">
        <v>39</v>
      </c>
      <c r="F27" s="4">
        <v>4</v>
      </c>
      <c r="G27" s="4" t="s">
        <v>3</v>
      </c>
      <c r="H27" s="4" t="s">
        <v>2</v>
      </c>
      <c r="I27" s="4">
        <v>3</v>
      </c>
      <c r="J27" s="4">
        <v>1</v>
      </c>
      <c r="K27" s="2" t="s">
        <v>3</v>
      </c>
      <c r="L27" s="2" t="s">
        <v>2</v>
      </c>
      <c r="M27" s="2" t="s">
        <v>3</v>
      </c>
      <c r="N27" s="3">
        <v>45409</v>
      </c>
      <c r="O27" s="2">
        <v>3</v>
      </c>
      <c r="P27" s="2">
        <v>1</v>
      </c>
      <c r="Q27" s="2">
        <v>0</v>
      </c>
      <c r="R27" s="2">
        <f t="shared" si="0"/>
        <v>1</v>
      </c>
      <c r="S27" s="2" t="str">
        <f t="shared" si="1"/>
        <v>BOS</v>
      </c>
      <c r="W27" s="4"/>
      <c r="AA27" t="s">
        <v>1</v>
      </c>
      <c r="AB27">
        <f t="shared" si="7"/>
        <v>5</v>
      </c>
      <c r="AC27">
        <f t="shared" si="8"/>
        <v>6</v>
      </c>
      <c r="AD27">
        <f t="shared" si="9"/>
        <v>0</v>
      </c>
      <c r="AE27">
        <f t="shared" si="10"/>
        <v>0</v>
      </c>
      <c r="AF27">
        <f t="shared" si="52"/>
        <v>11</v>
      </c>
      <c r="AG27">
        <f t="shared" si="11"/>
        <v>6</v>
      </c>
      <c r="AH27">
        <f t="shared" si="12"/>
        <v>5</v>
      </c>
      <c r="AI27">
        <f t="shared" si="13"/>
        <v>6</v>
      </c>
      <c r="AJ27">
        <f t="shared" si="14"/>
        <v>5</v>
      </c>
      <c r="AK27">
        <f t="shared" si="15"/>
        <v>4</v>
      </c>
      <c r="AL27">
        <f t="shared" si="16"/>
        <v>2</v>
      </c>
      <c r="AM27">
        <f t="shared" si="17"/>
        <v>2</v>
      </c>
      <c r="AN27">
        <f t="shared" si="18"/>
        <v>3</v>
      </c>
      <c r="AO27">
        <f t="shared" si="19"/>
        <v>3</v>
      </c>
      <c r="AP27">
        <f t="shared" si="20"/>
        <v>2</v>
      </c>
      <c r="AQ27">
        <f t="shared" si="21"/>
        <v>14</v>
      </c>
      <c r="AR27">
        <f t="shared" si="22"/>
        <v>5</v>
      </c>
      <c r="AS27">
        <f t="shared" si="23"/>
        <v>7</v>
      </c>
      <c r="AT27">
        <f t="shared" si="24"/>
        <v>5</v>
      </c>
      <c r="AU27">
        <f t="shared" si="53"/>
        <v>7</v>
      </c>
      <c r="AV27">
        <f t="shared" si="54"/>
        <v>0</v>
      </c>
      <c r="AW27">
        <f t="shared" si="55"/>
        <v>19</v>
      </c>
      <c r="AX27">
        <f t="shared" si="56"/>
        <v>12</v>
      </c>
      <c r="AY27">
        <f t="shared" si="57"/>
        <v>7</v>
      </c>
      <c r="AZ27">
        <f t="shared" si="58"/>
        <v>4.666666666666667</v>
      </c>
      <c r="BA27">
        <f t="shared" si="59"/>
        <v>2.5</v>
      </c>
      <c r="BB27">
        <f t="shared" si="60"/>
        <v>2.3333333333333335</v>
      </c>
      <c r="BC27">
        <f t="shared" si="61"/>
        <v>2.5</v>
      </c>
      <c r="BD27">
        <f t="shared" si="25"/>
        <v>3.8</v>
      </c>
      <c r="BE27">
        <f t="shared" si="26"/>
        <v>2.4</v>
      </c>
      <c r="BG27" t="str">
        <f t="shared" si="27"/>
        <v>CAR</v>
      </c>
      <c r="BH27" s="1">
        <f t="shared" si="28"/>
        <v>11</v>
      </c>
      <c r="BI27" s="1">
        <f t="shared" si="29"/>
        <v>6</v>
      </c>
      <c r="BJ27" s="1">
        <f t="shared" si="30"/>
        <v>5</v>
      </c>
      <c r="BK27" s="1">
        <f t="shared" si="31"/>
        <v>6</v>
      </c>
      <c r="BL27" s="1">
        <f t="shared" si="32"/>
        <v>5</v>
      </c>
      <c r="BM27" s="1">
        <f t="shared" si="33"/>
        <v>4</v>
      </c>
      <c r="BN27" s="1">
        <f t="shared" si="34"/>
        <v>2</v>
      </c>
      <c r="BO27" s="1">
        <f t="shared" si="35"/>
        <v>2</v>
      </c>
      <c r="BP27" s="1">
        <f t="shared" si="36"/>
        <v>3</v>
      </c>
      <c r="BQ27" s="1">
        <f t="shared" si="37"/>
        <v>23</v>
      </c>
      <c r="BR27" s="1">
        <f t="shared" si="38"/>
        <v>15</v>
      </c>
      <c r="BS27" s="1">
        <f t="shared" si="39"/>
        <v>18</v>
      </c>
      <c r="BT27" s="1">
        <f t="shared" si="40"/>
        <v>14</v>
      </c>
      <c r="BU27" s="1">
        <f t="shared" si="41"/>
        <v>5</v>
      </c>
      <c r="BV27" s="1">
        <f t="shared" si="42"/>
        <v>1</v>
      </c>
      <c r="BW27" s="1">
        <f t="shared" si="43"/>
        <v>38</v>
      </c>
      <c r="BX27" s="1">
        <f t="shared" si="44"/>
        <v>32</v>
      </c>
      <c r="BY27" s="1">
        <f t="shared" si="45"/>
        <v>6</v>
      </c>
      <c r="BZ27" s="37">
        <f t="shared" si="46"/>
        <v>3.8333333333333335</v>
      </c>
      <c r="CA27" s="37">
        <f t="shared" si="47"/>
        <v>3</v>
      </c>
      <c r="CB27" s="37">
        <f t="shared" si="48"/>
        <v>3</v>
      </c>
      <c r="CC27" s="37">
        <f t="shared" si="49"/>
        <v>2.8</v>
      </c>
      <c r="CD27" s="37">
        <f t="shared" si="50"/>
        <v>3.4545454545454546</v>
      </c>
      <c r="CE27" s="37">
        <f t="shared" si="51"/>
        <v>2.9090909090909092</v>
      </c>
    </row>
    <row r="28" spans="1:83" x14ac:dyDescent="0.25">
      <c r="A28" s="11" t="str">
        <f t="shared" si="2"/>
        <v>Saturday</v>
      </c>
      <c r="B28" s="15">
        <v>45409</v>
      </c>
      <c r="C28" s="15" t="s">
        <v>33</v>
      </c>
      <c r="D28" s="17">
        <v>1</v>
      </c>
      <c r="E28" s="16" t="s">
        <v>45</v>
      </c>
      <c r="F28" s="17">
        <v>3</v>
      </c>
      <c r="G28" s="17" t="s">
        <v>19</v>
      </c>
      <c r="H28" s="17" t="s">
        <v>18</v>
      </c>
      <c r="I28" s="17">
        <v>1</v>
      </c>
      <c r="J28" s="17">
        <v>2</v>
      </c>
      <c r="K28" s="16" t="s">
        <v>19</v>
      </c>
      <c r="L28" s="16" t="s">
        <v>18</v>
      </c>
      <c r="M28" s="16" t="s">
        <v>19</v>
      </c>
      <c r="N28" s="15">
        <v>45409</v>
      </c>
      <c r="O28" s="16">
        <v>3</v>
      </c>
      <c r="P28" s="16">
        <v>2</v>
      </c>
      <c r="Q28" s="16">
        <v>1</v>
      </c>
      <c r="R28" s="16">
        <f t="shared" si="0"/>
        <v>1</v>
      </c>
      <c r="S28" s="2" t="str">
        <f t="shared" si="1"/>
        <v>DAL</v>
      </c>
      <c r="W28" s="4"/>
      <c r="AA28" t="s">
        <v>0</v>
      </c>
      <c r="AB28">
        <f t="shared" si="7"/>
        <v>5</v>
      </c>
      <c r="AC28">
        <f t="shared" si="8"/>
        <v>0</v>
      </c>
      <c r="AD28">
        <f t="shared" si="9"/>
        <v>0</v>
      </c>
      <c r="AE28">
        <f t="shared" si="10"/>
        <v>0</v>
      </c>
      <c r="AF28">
        <f t="shared" si="52"/>
        <v>5</v>
      </c>
      <c r="AG28">
        <f t="shared" si="11"/>
        <v>2</v>
      </c>
      <c r="AH28">
        <f t="shared" si="12"/>
        <v>3</v>
      </c>
      <c r="AI28">
        <f t="shared" si="13"/>
        <v>1</v>
      </c>
      <c r="AJ28">
        <f t="shared" si="14"/>
        <v>4</v>
      </c>
      <c r="AK28">
        <f t="shared" si="15"/>
        <v>1</v>
      </c>
      <c r="AL28">
        <f t="shared" si="16"/>
        <v>1</v>
      </c>
      <c r="AM28">
        <f t="shared" si="17"/>
        <v>0</v>
      </c>
      <c r="AN28">
        <f t="shared" si="18"/>
        <v>3</v>
      </c>
      <c r="AO28">
        <f t="shared" si="19"/>
        <v>2</v>
      </c>
      <c r="AP28">
        <f t="shared" si="20"/>
        <v>3</v>
      </c>
      <c r="AQ28">
        <f t="shared" si="21"/>
        <v>5</v>
      </c>
      <c r="AR28">
        <f t="shared" si="22"/>
        <v>7</v>
      </c>
      <c r="AS28">
        <f t="shared" si="23"/>
        <v>5</v>
      </c>
      <c r="AT28">
        <f t="shared" si="24"/>
        <v>14</v>
      </c>
      <c r="AU28">
        <f t="shared" si="53"/>
        <v>0</v>
      </c>
      <c r="AV28">
        <f t="shared" si="54"/>
        <v>-7</v>
      </c>
      <c r="AW28">
        <f t="shared" si="55"/>
        <v>12</v>
      </c>
      <c r="AX28">
        <f t="shared" si="56"/>
        <v>19</v>
      </c>
      <c r="AY28">
        <f t="shared" si="57"/>
        <v>-7</v>
      </c>
      <c r="AZ28">
        <f t="shared" si="58"/>
        <v>2.5</v>
      </c>
      <c r="BA28">
        <f t="shared" si="59"/>
        <v>2.3333333333333335</v>
      </c>
      <c r="BB28">
        <f t="shared" si="60"/>
        <v>2.5</v>
      </c>
      <c r="BC28">
        <f t="shared" si="61"/>
        <v>4.666666666666667</v>
      </c>
      <c r="BD28">
        <f t="shared" si="25"/>
        <v>2.4</v>
      </c>
      <c r="BE28">
        <f t="shared" si="26"/>
        <v>3.8</v>
      </c>
      <c r="BG28" t="str">
        <f t="shared" si="27"/>
        <v>NYI</v>
      </c>
      <c r="BH28" s="1">
        <f t="shared" si="28"/>
        <v>5</v>
      </c>
      <c r="BI28" s="1">
        <f t="shared" si="29"/>
        <v>2</v>
      </c>
      <c r="BJ28" s="1">
        <f t="shared" si="30"/>
        <v>3</v>
      </c>
      <c r="BK28" s="1">
        <f t="shared" si="31"/>
        <v>1</v>
      </c>
      <c r="BL28" s="1">
        <f t="shared" si="32"/>
        <v>4</v>
      </c>
      <c r="BM28" s="1">
        <f t="shared" si="33"/>
        <v>1</v>
      </c>
      <c r="BN28" s="1">
        <f t="shared" si="34"/>
        <v>1</v>
      </c>
      <c r="BO28" s="1">
        <f t="shared" si="35"/>
        <v>0</v>
      </c>
      <c r="BP28" s="1">
        <f t="shared" si="36"/>
        <v>3</v>
      </c>
      <c r="BQ28" s="1">
        <f t="shared" si="37"/>
        <v>5</v>
      </c>
      <c r="BR28" s="1">
        <f t="shared" si="38"/>
        <v>7</v>
      </c>
      <c r="BS28" s="1">
        <f t="shared" si="39"/>
        <v>5</v>
      </c>
      <c r="BT28" s="1">
        <f t="shared" si="40"/>
        <v>14</v>
      </c>
      <c r="BU28" s="1">
        <f t="shared" si="41"/>
        <v>0</v>
      </c>
      <c r="BV28" s="1">
        <f t="shared" si="42"/>
        <v>-7</v>
      </c>
      <c r="BW28" s="1">
        <f t="shared" si="43"/>
        <v>12</v>
      </c>
      <c r="BX28" s="1">
        <f t="shared" si="44"/>
        <v>19</v>
      </c>
      <c r="BY28" s="1">
        <f t="shared" si="45"/>
        <v>-7</v>
      </c>
      <c r="BZ28" s="37">
        <f t="shared" si="46"/>
        <v>2.5</v>
      </c>
      <c r="CA28" s="37">
        <f t="shared" si="47"/>
        <v>2.3333333333333335</v>
      </c>
      <c r="CB28" s="37">
        <f t="shared" si="48"/>
        <v>2.5</v>
      </c>
      <c r="CC28" s="37">
        <f t="shared" si="49"/>
        <v>4.666666666666667</v>
      </c>
      <c r="CD28" s="37">
        <f t="shared" si="50"/>
        <v>2.4</v>
      </c>
      <c r="CE28" s="37">
        <f t="shared" si="51"/>
        <v>3.8</v>
      </c>
    </row>
    <row r="29" spans="1:83" x14ac:dyDescent="0.25">
      <c r="A29" t="str">
        <f t="shared" si="2"/>
        <v>Sunday</v>
      </c>
      <c r="B29" s="3">
        <v>45410</v>
      </c>
      <c r="C29" s="3" t="s">
        <v>33</v>
      </c>
      <c r="D29" s="4">
        <v>1</v>
      </c>
      <c r="E29" s="2" t="s">
        <v>41</v>
      </c>
      <c r="F29" s="4">
        <v>4</v>
      </c>
      <c r="G29" s="4" t="s">
        <v>15</v>
      </c>
      <c r="H29" s="4" t="s">
        <v>14</v>
      </c>
      <c r="I29" s="4">
        <v>1</v>
      </c>
      <c r="J29" s="4">
        <v>3</v>
      </c>
      <c r="K29" s="2" t="s">
        <v>15</v>
      </c>
      <c r="L29" s="2" t="s">
        <v>14</v>
      </c>
      <c r="M29" s="2" t="s">
        <v>14</v>
      </c>
      <c r="N29" s="3">
        <v>45410</v>
      </c>
      <c r="O29" s="2">
        <v>1</v>
      </c>
      <c r="P29" s="2">
        <v>5</v>
      </c>
      <c r="Q29" s="2">
        <v>0</v>
      </c>
      <c r="R29" s="2">
        <f t="shared" si="0"/>
        <v>1</v>
      </c>
      <c r="S29" s="2" t="str">
        <f t="shared" si="1"/>
        <v>COL</v>
      </c>
      <c r="W29" s="4"/>
      <c r="AA29" t="s">
        <v>12</v>
      </c>
      <c r="AB29">
        <f t="shared" si="7"/>
        <v>4</v>
      </c>
      <c r="AC29">
        <f t="shared" si="8"/>
        <v>0</v>
      </c>
      <c r="AD29">
        <f t="shared" si="9"/>
        <v>0</v>
      </c>
      <c r="AE29">
        <f t="shared" si="10"/>
        <v>0</v>
      </c>
      <c r="AF29">
        <f t="shared" si="52"/>
        <v>4</v>
      </c>
      <c r="AG29">
        <f t="shared" si="11"/>
        <v>2</v>
      </c>
      <c r="AH29">
        <f t="shared" si="12"/>
        <v>2</v>
      </c>
      <c r="AI29">
        <f t="shared" si="13"/>
        <v>0</v>
      </c>
      <c r="AJ29">
        <f t="shared" si="14"/>
        <v>4</v>
      </c>
      <c r="AK29">
        <f t="shared" si="15"/>
        <v>0</v>
      </c>
      <c r="AL29">
        <f t="shared" si="16"/>
        <v>2</v>
      </c>
      <c r="AM29">
        <f t="shared" si="17"/>
        <v>0</v>
      </c>
      <c r="AN29">
        <f t="shared" si="18"/>
        <v>2</v>
      </c>
      <c r="AO29">
        <f t="shared" si="19"/>
        <v>2</v>
      </c>
      <c r="AP29">
        <f t="shared" si="20"/>
        <v>2</v>
      </c>
      <c r="AQ29">
        <f t="shared" si="21"/>
        <v>3</v>
      </c>
      <c r="AR29">
        <f t="shared" si="22"/>
        <v>4</v>
      </c>
      <c r="AS29">
        <f t="shared" si="23"/>
        <v>7</v>
      </c>
      <c r="AT29">
        <f t="shared" si="24"/>
        <v>8</v>
      </c>
      <c r="AU29">
        <f t="shared" si="53"/>
        <v>-4</v>
      </c>
      <c r="AV29">
        <f t="shared" si="54"/>
        <v>-4</v>
      </c>
      <c r="AW29">
        <f t="shared" si="55"/>
        <v>7</v>
      </c>
      <c r="AX29">
        <f t="shared" si="56"/>
        <v>15</v>
      </c>
      <c r="AY29">
        <f t="shared" si="57"/>
        <v>-8</v>
      </c>
      <c r="AZ29">
        <f t="shared" si="58"/>
        <v>1.5</v>
      </c>
      <c r="BA29">
        <f t="shared" si="59"/>
        <v>2</v>
      </c>
      <c r="BB29">
        <f t="shared" si="60"/>
        <v>3.5</v>
      </c>
      <c r="BC29">
        <f t="shared" si="61"/>
        <v>4</v>
      </c>
      <c r="BD29">
        <f t="shared" si="25"/>
        <v>1.75</v>
      </c>
      <c r="BE29">
        <f t="shared" si="26"/>
        <v>3.75</v>
      </c>
      <c r="BG29" t="str">
        <f t="shared" si="27"/>
        <v>WSH</v>
      </c>
      <c r="BH29" s="1">
        <f t="shared" si="28"/>
        <v>4</v>
      </c>
      <c r="BI29" s="1">
        <f t="shared" si="29"/>
        <v>2</v>
      </c>
      <c r="BJ29" s="1">
        <f t="shared" si="30"/>
        <v>2</v>
      </c>
      <c r="BK29" s="1">
        <f t="shared" si="31"/>
        <v>0</v>
      </c>
      <c r="BL29" s="1">
        <f t="shared" si="32"/>
        <v>4</v>
      </c>
      <c r="BM29" s="1">
        <f t="shared" si="33"/>
        <v>0</v>
      </c>
      <c r="BN29" s="1">
        <f t="shared" si="34"/>
        <v>2</v>
      </c>
      <c r="BO29" s="1">
        <f t="shared" si="35"/>
        <v>0</v>
      </c>
      <c r="BP29" s="1">
        <f t="shared" si="36"/>
        <v>2</v>
      </c>
      <c r="BQ29" s="1">
        <f t="shared" si="37"/>
        <v>3</v>
      </c>
      <c r="BR29" s="1">
        <f t="shared" si="38"/>
        <v>4</v>
      </c>
      <c r="BS29" s="1">
        <f t="shared" si="39"/>
        <v>7</v>
      </c>
      <c r="BT29" s="1">
        <f t="shared" si="40"/>
        <v>8</v>
      </c>
      <c r="BU29" s="1">
        <f t="shared" si="41"/>
        <v>-4</v>
      </c>
      <c r="BV29" s="1">
        <f t="shared" si="42"/>
        <v>-4</v>
      </c>
      <c r="BW29" s="1">
        <f t="shared" si="43"/>
        <v>7</v>
      </c>
      <c r="BX29" s="1">
        <f t="shared" si="44"/>
        <v>15</v>
      </c>
      <c r="BY29" s="1">
        <f t="shared" si="45"/>
        <v>-8</v>
      </c>
      <c r="BZ29" s="37">
        <f t="shared" si="46"/>
        <v>1.5</v>
      </c>
      <c r="CA29" s="37">
        <f t="shared" si="47"/>
        <v>2</v>
      </c>
      <c r="CB29" s="37">
        <f t="shared" si="48"/>
        <v>3.5</v>
      </c>
      <c r="CC29" s="37">
        <f t="shared" si="49"/>
        <v>4</v>
      </c>
      <c r="CD29" s="37">
        <f t="shared" si="50"/>
        <v>1.75</v>
      </c>
      <c r="CE29" s="37">
        <f t="shared" si="51"/>
        <v>3.75</v>
      </c>
    </row>
    <row r="30" spans="1:83" x14ac:dyDescent="0.25">
      <c r="A30" t="str">
        <f t="shared" si="2"/>
        <v>Sunday</v>
      </c>
      <c r="B30" s="3">
        <v>45410</v>
      </c>
      <c r="C30" s="3" t="s">
        <v>33</v>
      </c>
      <c r="D30" s="4">
        <v>1</v>
      </c>
      <c r="E30" s="2" t="s">
        <v>44</v>
      </c>
      <c r="F30" s="4">
        <v>4</v>
      </c>
      <c r="G30" s="4" t="s">
        <v>17</v>
      </c>
      <c r="H30" s="4" t="s">
        <v>16</v>
      </c>
      <c r="I30" s="4">
        <v>3</v>
      </c>
      <c r="J30" s="4">
        <v>1</v>
      </c>
      <c r="K30" s="2" t="s">
        <v>17</v>
      </c>
      <c r="L30" s="2" t="s">
        <v>16</v>
      </c>
      <c r="M30" s="2" t="s">
        <v>16</v>
      </c>
      <c r="N30" s="3">
        <v>45410</v>
      </c>
      <c r="O30" s="2">
        <v>4</v>
      </c>
      <c r="P30" s="2">
        <v>3</v>
      </c>
      <c r="Q30" s="2">
        <v>1</v>
      </c>
      <c r="R30" s="2">
        <f t="shared" si="0"/>
        <v>0</v>
      </c>
      <c r="S30" s="2" t="str">
        <f t="shared" si="1"/>
        <v>VAN</v>
      </c>
      <c r="W30" s="4"/>
      <c r="AA30" t="s">
        <v>17</v>
      </c>
      <c r="AB30">
        <f t="shared" si="7"/>
        <v>6</v>
      </c>
      <c r="AC30">
        <f t="shared" si="8"/>
        <v>7</v>
      </c>
      <c r="AD30">
        <f t="shared" si="9"/>
        <v>0</v>
      </c>
      <c r="AE30">
        <f t="shared" si="10"/>
        <v>0</v>
      </c>
      <c r="AF30">
        <f t="shared" si="52"/>
        <v>13</v>
      </c>
      <c r="AG30">
        <f t="shared" si="11"/>
        <v>7</v>
      </c>
      <c r="AH30">
        <f t="shared" si="12"/>
        <v>6</v>
      </c>
      <c r="AI30">
        <f t="shared" si="13"/>
        <v>7</v>
      </c>
      <c r="AJ30">
        <f t="shared" si="14"/>
        <v>6</v>
      </c>
      <c r="AK30">
        <f t="shared" si="15"/>
        <v>3</v>
      </c>
      <c r="AL30">
        <f t="shared" si="16"/>
        <v>4</v>
      </c>
      <c r="AM30">
        <f t="shared" si="17"/>
        <v>4</v>
      </c>
      <c r="AN30">
        <f t="shared" si="18"/>
        <v>2</v>
      </c>
      <c r="AO30">
        <f t="shared" si="19"/>
        <v>3</v>
      </c>
      <c r="AP30">
        <f t="shared" si="20"/>
        <v>3</v>
      </c>
      <c r="AQ30">
        <f t="shared" si="21"/>
        <v>6</v>
      </c>
      <c r="AR30">
        <f t="shared" si="22"/>
        <v>7</v>
      </c>
      <c r="AS30">
        <f t="shared" si="23"/>
        <v>8</v>
      </c>
      <c r="AT30">
        <f t="shared" si="24"/>
        <v>4</v>
      </c>
      <c r="AU30">
        <f t="shared" si="53"/>
        <v>-2</v>
      </c>
      <c r="AV30">
        <f t="shared" si="54"/>
        <v>3</v>
      </c>
      <c r="AW30">
        <f t="shared" si="55"/>
        <v>13</v>
      </c>
      <c r="AX30">
        <f t="shared" si="56"/>
        <v>12</v>
      </c>
      <c r="AY30">
        <f t="shared" si="57"/>
        <v>1</v>
      </c>
      <c r="AZ30">
        <f t="shared" si="58"/>
        <v>2</v>
      </c>
      <c r="BA30">
        <f t="shared" si="59"/>
        <v>2.3333333333333335</v>
      </c>
      <c r="BB30">
        <f t="shared" si="60"/>
        <v>2.6666666666666665</v>
      </c>
      <c r="BC30">
        <f t="shared" si="61"/>
        <v>1.3333333333333333</v>
      </c>
      <c r="BD30">
        <f t="shared" si="25"/>
        <v>2.1666666666666665</v>
      </c>
      <c r="BE30">
        <f t="shared" si="26"/>
        <v>2</v>
      </c>
      <c r="BG30" t="str">
        <f t="shared" si="27"/>
        <v>VAN</v>
      </c>
      <c r="BH30" s="1">
        <f t="shared" si="28"/>
        <v>13</v>
      </c>
      <c r="BI30" s="1">
        <f t="shared" si="29"/>
        <v>7</v>
      </c>
      <c r="BJ30" s="1">
        <f t="shared" si="30"/>
        <v>6</v>
      </c>
      <c r="BK30" s="1">
        <f t="shared" si="31"/>
        <v>7</v>
      </c>
      <c r="BL30" s="1">
        <f t="shared" si="32"/>
        <v>6</v>
      </c>
      <c r="BM30" s="1">
        <f t="shared" si="33"/>
        <v>3</v>
      </c>
      <c r="BN30" s="1">
        <f t="shared" si="34"/>
        <v>4</v>
      </c>
      <c r="BO30" s="1">
        <f t="shared" si="35"/>
        <v>4</v>
      </c>
      <c r="BP30" s="1">
        <f t="shared" si="36"/>
        <v>2</v>
      </c>
      <c r="BQ30" s="1">
        <f t="shared" si="37"/>
        <v>19</v>
      </c>
      <c r="BR30" s="1">
        <f t="shared" si="38"/>
        <v>14</v>
      </c>
      <c r="BS30" s="1">
        <f t="shared" si="39"/>
        <v>21</v>
      </c>
      <c r="BT30" s="1">
        <f t="shared" si="40"/>
        <v>15</v>
      </c>
      <c r="BU30" s="1">
        <f t="shared" si="41"/>
        <v>-2</v>
      </c>
      <c r="BV30" s="1">
        <f t="shared" si="42"/>
        <v>-1</v>
      </c>
      <c r="BW30" s="1">
        <f t="shared" si="43"/>
        <v>33</v>
      </c>
      <c r="BX30" s="1">
        <f t="shared" si="44"/>
        <v>36</v>
      </c>
      <c r="BY30" s="1">
        <f t="shared" si="45"/>
        <v>-3</v>
      </c>
      <c r="BZ30" s="37">
        <f t="shared" si="46"/>
        <v>2.7142857142857144</v>
      </c>
      <c r="CA30" s="37">
        <f t="shared" si="47"/>
        <v>2.3333333333333335</v>
      </c>
      <c r="CB30" s="37">
        <f t="shared" si="48"/>
        <v>3</v>
      </c>
      <c r="CC30" s="37">
        <f t="shared" si="49"/>
        <v>2.5</v>
      </c>
      <c r="CD30" s="37">
        <f t="shared" si="50"/>
        <v>2.5384615384615383</v>
      </c>
      <c r="CE30" s="37">
        <f t="shared" si="51"/>
        <v>2.7692307692307692</v>
      </c>
    </row>
    <row r="31" spans="1:83" x14ac:dyDescent="0.25">
      <c r="A31" t="str">
        <f t="shared" si="2"/>
        <v>Sunday</v>
      </c>
      <c r="B31" s="3">
        <v>45410</v>
      </c>
      <c r="C31" s="3" t="s">
        <v>32</v>
      </c>
      <c r="D31" s="4">
        <v>1</v>
      </c>
      <c r="E31" s="2" t="s">
        <v>43</v>
      </c>
      <c r="F31" s="4">
        <v>4</v>
      </c>
      <c r="G31" s="4" t="s">
        <v>13</v>
      </c>
      <c r="H31" s="4" t="s">
        <v>12</v>
      </c>
      <c r="I31" s="4">
        <v>4</v>
      </c>
      <c r="J31" s="4">
        <v>0</v>
      </c>
      <c r="K31" s="2" t="s">
        <v>13</v>
      </c>
      <c r="L31" s="2" t="s">
        <v>12</v>
      </c>
      <c r="M31" s="2" t="s">
        <v>13</v>
      </c>
      <c r="N31" s="3">
        <v>45410</v>
      </c>
      <c r="O31" s="2">
        <v>4</v>
      </c>
      <c r="P31" s="2">
        <v>2</v>
      </c>
      <c r="Q31" s="2">
        <v>0</v>
      </c>
      <c r="R31" s="2">
        <f t="shared" si="0"/>
        <v>1</v>
      </c>
      <c r="S31" s="2" t="str">
        <f t="shared" si="1"/>
        <v>NYR</v>
      </c>
      <c r="W31" s="4"/>
      <c r="AA31" t="s">
        <v>21</v>
      </c>
      <c r="AB31">
        <f t="shared" si="7"/>
        <v>5</v>
      </c>
      <c r="AC31">
        <f t="shared" si="8"/>
        <v>7</v>
      </c>
      <c r="AD31">
        <f t="shared" si="9"/>
        <v>6</v>
      </c>
      <c r="AE31">
        <f t="shared" si="10"/>
        <v>7</v>
      </c>
      <c r="AF31">
        <f t="shared" si="52"/>
        <v>25</v>
      </c>
      <c r="AG31">
        <f t="shared" si="11"/>
        <v>12</v>
      </c>
      <c r="AH31">
        <f t="shared" si="12"/>
        <v>13</v>
      </c>
      <c r="AI31">
        <f t="shared" si="13"/>
        <v>14</v>
      </c>
      <c r="AJ31">
        <f t="shared" si="14"/>
        <v>11</v>
      </c>
      <c r="AK31">
        <f t="shared" si="15"/>
        <v>8</v>
      </c>
      <c r="AL31">
        <f t="shared" si="16"/>
        <v>4</v>
      </c>
      <c r="AM31">
        <f t="shared" si="17"/>
        <v>6</v>
      </c>
      <c r="AN31">
        <f t="shared" si="18"/>
        <v>7</v>
      </c>
      <c r="AO31">
        <f t="shared" si="19"/>
        <v>3</v>
      </c>
      <c r="AP31">
        <f t="shared" si="20"/>
        <v>2</v>
      </c>
      <c r="AQ31">
        <f t="shared" si="21"/>
        <v>15</v>
      </c>
      <c r="AR31">
        <f t="shared" si="22"/>
        <v>2</v>
      </c>
      <c r="AS31">
        <f t="shared" si="23"/>
        <v>12</v>
      </c>
      <c r="AT31">
        <f t="shared" si="24"/>
        <v>6</v>
      </c>
      <c r="AU31">
        <f t="shared" si="53"/>
        <v>3</v>
      </c>
      <c r="AV31">
        <f t="shared" si="54"/>
        <v>-4</v>
      </c>
      <c r="AW31">
        <f t="shared" si="55"/>
        <v>17</v>
      </c>
      <c r="AX31">
        <f t="shared" si="56"/>
        <v>18</v>
      </c>
      <c r="AY31">
        <f t="shared" si="57"/>
        <v>-1</v>
      </c>
      <c r="AZ31">
        <f t="shared" si="58"/>
        <v>5</v>
      </c>
      <c r="BA31">
        <f t="shared" si="59"/>
        <v>1</v>
      </c>
      <c r="BB31">
        <f t="shared" si="60"/>
        <v>4</v>
      </c>
      <c r="BC31">
        <f t="shared" si="61"/>
        <v>3</v>
      </c>
      <c r="BD31">
        <f t="shared" si="25"/>
        <v>3.4</v>
      </c>
      <c r="BE31">
        <f t="shared" si="26"/>
        <v>3.6</v>
      </c>
      <c r="BG31" t="str">
        <f t="shared" si="27"/>
        <v>EDM</v>
      </c>
      <c r="BH31" s="1">
        <f t="shared" si="28"/>
        <v>25</v>
      </c>
      <c r="BI31" s="1">
        <f t="shared" si="29"/>
        <v>12</v>
      </c>
      <c r="BJ31" s="1">
        <f t="shared" si="30"/>
        <v>13</v>
      </c>
      <c r="BK31" s="1">
        <f t="shared" si="31"/>
        <v>14</v>
      </c>
      <c r="BL31" s="1">
        <f t="shared" si="32"/>
        <v>11</v>
      </c>
      <c r="BM31" s="1">
        <f t="shared" si="33"/>
        <v>8</v>
      </c>
      <c r="BN31" s="1">
        <f t="shared" si="34"/>
        <v>4</v>
      </c>
      <c r="BO31" s="1">
        <f t="shared" si="35"/>
        <v>6</v>
      </c>
      <c r="BP31" s="1">
        <f t="shared" si="36"/>
        <v>7</v>
      </c>
      <c r="BQ31" s="1">
        <f t="shared" si="37"/>
        <v>52</v>
      </c>
      <c r="BR31" s="1">
        <f t="shared" si="38"/>
        <v>29</v>
      </c>
      <c r="BS31" s="1">
        <f t="shared" si="39"/>
        <v>33</v>
      </c>
      <c r="BT31" s="1">
        <f t="shared" si="40"/>
        <v>37</v>
      </c>
      <c r="BU31" s="1">
        <f t="shared" si="41"/>
        <v>19</v>
      </c>
      <c r="BV31" s="1">
        <f t="shared" si="42"/>
        <v>-8</v>
      </c>
      <c r="BW31" s="1">
        <f t="shared" si="43"/>
        <v>81</v>
      </c>
      <c r="BX31" s="1">
        <f t="shared" si="44"/>
        <v>70</v>
      </c>
      <c r="BY31" s="1">
        <f t="shared" si="45"/>
        <v>11</v>
      </c>
      <c r="BZ31" s="37">
        <f t="shared" si="46"/>
        <v>4.333333333333333</v>
      </c>
      <c r="CA31" s="37">
        <f t="shared" si="47"/>
        <v>2.2307692307692308</v>
      </c>
      <c r="CB31" s="37">
        <f t="shared" si="48"/>
        <v>2.75</v>
      </c>
      <c r="CC31" s="37">
        <f t="shared" si="49"/>
        <v>2.8461538461538463</v>
      </c>
      <c r="CD31" s="37">
        <f t="shared" si="50"/>
        <v>3.24</v>
      </c>
      <c r="CE31" s="37">
        <f t="shared" si="51"/>
        <v>2.8</v>
      </c>
    </row>
    <row r="32" spans="1:83" x14ac:dyDescent="0.25">
      <c r="A32" s="11" t="str">
        <f t="shared" si="2"/>
        <v>Sunday</v>
      </c>
      <c r="B32" s="15">
        <v>45410</v>
      </c>
      <c r="C32" s="15" t="s">
        <v>33</v>
      </c>
      <c r="D32" s="17">
        <v>1</v>
      </c>
      <c r="E32" s="16" t="s">
        <v>40</v>
      </c>
      <c r="F32" s="17">
        <v>4</v>
      </c>
      <c r="G32" s="17" t="s">
        <v>21</v>
      </c>
      <c r="H32" s="17" t="s">
        <v>20</v>
      </c>
      <c r="I32" s="17">
        <v>3</v>
      </c>
      <c r="J32" s="17">
        <v>1</v>
      </c>
      <c r="K32" s="16" t="s">
        <v>21</v>
      </c>
      <c r="L32" s="16" t="s">
        <v>20</v>
      </c>
      <c r="M32" s="16" t="s">
        <v>21</v>
      </c>
      <c r="N32" s="15">
        <v>45410</v>
      </c>
      <c r="O32" s="16">
        <v>1</v>
      </c>
      <c r="P32" s="16">
        <v>0</v>
      </c>
      <c r="Q32" s="16">
        <v>0</v>
      </c>
      <c r="R32" s="16">
        <f t="shared" si="0"/>
        <v>1</v>
      </c>
      <c r="S32" s="2" t="str">
        <f t="shared" si="1"/>
        <v>EDM</v>
      </c>
      <c r="W32" s="4"/>
      <c r="AA32" t="s">
        <v>20</v>
      </c>
      <c r="AB32">
        <f t="shared" si="7"/>
        <v>5</v>
      </c>
      <c r="AC32">
        <f t="shared" si="8"/>
        <v>0</v>
      </c>
      <c r="AD32">
        <f t="shared" si="9"/>
        <v>0</v>
      </c>
      <c r="AE32">
        <f t="shared" si="10"/>
        <v>0</v>
      </c>
      <c r="AF32">
        <f t="shared" si="52"/>
        <v>5</v>
      </c>
      <c r="AG32">
        <f t="shared" si="11"/>
        <v>2</v>
      </c>
      <c r="AH32">
        <f t="shared" si="12"/>
        <v>3</v>
      </c>
      <c r="AI32">
        <f t="shared" si="13"/>
        <v>2</v>
      </c>
      <c r="AJ32">
        <f t="shared" si="14"/>
        <v>3</v>
      </c>
      <c r="AK32">
        <f t="shared" si="15"/>
        <v>1</v>
      </c>
      <c r="AL32">
        <f t="shared" si="16"/>
        <v>1</v>
      </c>
      <c r="AM32">
        <f t="shared" si="17"/>
        <v>1</v>
      </c>
      <c r="AN32">
        <f t="shared" si="18"/>
        <v>2</v>
      </c>
      <c r="AO32">
        <f t="shared" si="19"/>
        <v>2</v>
      </c>
      <c r="AP32">
        <f t="shared" si="20"/>
        <v>3</v>
      </c>
      <c r="AQ32">
        <f t="shared" si="21"/>
        <v>6</v>
      </c>
      <c r="AR32">
        <f t="shared" si="22"/>
        <v>12</v>
      </c>
      <c r="AS32">
        <f t="shared" si="23"/>
        <v>2</v>
      </c>
      <c r="AT32">
        <f t="shared" si="24"/>
        <v>15</v>
      </c>
      <c r="AU32">
        <f t="shared" si="53"/>
        <v>4</v>
      </c>
      <c r="AV32">
        <f t="shared" si="54"/>
        <v>-3</v>
      </c>
      <c r="AW32">
        <f t="shared" si="55"/>
        <v>18</v>
      </c>
      <c r="AX32">
        <f t="shared" si="56"/>
        <v>17</v>
      </c>
      <c r="AY32">
        <f t="shared" si="57"/>
        <v>1</v>
      </c>
      <c r="AZ32">
        <f t="shared" si="58"/>
        <v>3</v>
      </c>
      <c r="BA32">
        <f t="shared" si="59"/>
        <v>4</v>
      </c>
      <c r="BB32">
        <f t="shared" si="60"/>
        <v>1</v>
      </c>
      <c r="BC32">
        <f t="shared" si="61"/>
        <v>5</v>
      </c>
      <c r="BD32">
        <f t="shared" si="25"/>
        <v>3.6</v>
      </c>
      <c r="BE32">
        <f t="shared" si="26"/>
        <v>3.4</v>
      </c>
      <c r="BG32" t="str">
        <f t="shared" si="27"/>
        <v>LAK</v>
      </c>
      <c r="BH32" s="1">
        <f t="shared" si="28"/>
        <v>5</v>
      </c>
      <c r="BI32" s="1">
        <f t="shared" si="29"/>
        <v>2</v>
      </c>
      <c r="BJ32" s="1">
        <f t="shared" si="30"/>
        <v>3</v>
      </c>
      <c r="BK32" s="1">
        <f t="shared" si="31"/>
        <v>2</v>
      </c>
      <c r="BL32" s="1">
        <f t="shared" si="32"/>
        <v>3</v>
      </c>
      <c r="BM32" s="1">
        <f t="shared" si="33"/>
        <v>1</v>
      </c>
      <c r="BN32" s="1">
        <f t="shared" si="34"/>
        <v>1</v>
      </c>
      <c r="BO32" s="1">
        <f t="shared" si="35"/>
        <v>1</v>
      </c>
      <c r="BP32" s="1">
        <f t="shared" si="36"/>
        <v>2</v>
      </c>
      <c r="BQ32" s="1">
        <f t="shared" si="37"/>
        <v>6</v>
      </c>
      <c r="BR32" s="1">
        <f t="shared" si="38"/>
        <v>12</v>
      </c>
      <c r="BS32" s="1">
        <f t="shared" si="39"/>
        <v>2</v>
      </c>
      <c r="BT32" s="1">
        <f t="shared" si="40"/>
        <v>15</v>
      </c>
      <c r="BU32" s="1">
        <f t="shared" si="41"/>
        <v>4</v>
      </c>
      <c r="BV32" s="1">
        <f t="shared" si="42"/>
        <v>-3</v>
      </c>
      <c r="BW32" s="1">
        <f t="shared" si="43"/>
        <v>18</v>
      </c>
      <c r="BX32" s="1">
        <f t="shared" si="44"/>
        <v>17</v>
      </c>
      <c r="BY32" s="1">
        <f t="shared" si="45"/>
        <v>1</v>
      </c>
      <c r="BZ32" s="37">
        <f t="shared" si="46"/>
        <v>3</v>
      </c>
      <c r="CA32" s="37">
        <f t="shared" si="47"/>
        <v>4</v>
      </c>
      <c r="CB32" s="37">
        <f t="shared" si="48"/>
        <v>1</v>
      </c>
      <c r="CC32" s="37">
        <f t="shared" si="49"/>
        <v>5</v>
      </c>
      <c r="CD32" s="37">
        <f t="shared" si="50"/>
        <v>3.6</v>
      </c>
      <c r="CE32" s="37">
        <f t="shared" si="51"/>
        <v>3.4</v>
      </c>
    </row>
    <row r="33" spans="1:83" x14ac:dyDescent="0.25">
      <c r="A33" t="str">
        <f t="shared" si="2"/>
        <v>Monday</v>
      </c>
      <c r="B33" s="3">
        <v>45411</v>
      </c>
      <c r="C33" s="3" t="s">
        <v>32</v>
      </c>
      <c r="D33" s="4">
        <v>1</v>
      </c>
      <c r="E33" s="2" t="s">
        <v>42</v>
      </c>
      <c r="F33" s="4">
        <v>5</v>
      </c>
      <c r="G33" s="4" t="s">
        <v>11</v>
      </c>
      <c r="H33" s="4" t="s">
        <v>10</v>
      </c>
      <c r="I33" s="4">
        <v>4</v>
      </c>
      <c r="J33" s="4">
        <v>1</v>
      </c>
      <c r="K33" s="2" t="s">
        <v>10</v>
      </c>
      <c r="L33" s="2" t="s">
        <v>11</v>
      </c>
      <c r="M33" s="2" t="s">
        <v>11</v>
      </c>
      <c r="N33" s="3">
        <v>45410</v>
      </c>
      <c r="O33" s="2">
        <v>1</v>
      </c>
      <c r="P33" s="2">
        <v>6</v>
      </c>
      <c r="Q33" s="2">
        <v>0</v>
      </c>
      <c r="R33" s="2">
        <f>IF($O33=$P33, 0, IF($K34=$M33, IF($O33&gt;$P33, 1, 0), IF($P33&gt;$O33, 1, 0)))</f>
        <v>1</v>
      </c>
      <c r="S33" s="2" t="str">
        <f t="shared" si="1"/>
        <v>FLA</v>
      </c>
      <c r="W33" s="4"/>
      <c r="AA33" t="s">
        <v>16</v>
      </c>
      <c r="AB33">
        <f t="shared" si="7"/>
        <v>6</v>
      </c>
      <c r="AC33">
        <f t="shared" si="8"/>
        <v>0</v>
      </c>
      <c r="AD33">
        <f t="shared" si="9"/>
        <v>0</v>
      </c>
      <c r="AE33">
        <f t="shared" si="10"/>
        <v>0</v>
      </c>
      <c r="AF33">
        <f t="shared" si="52"/>
        <v>6</v>
      </c>
      <c r="AG33">
        <f t="shared" si="11"/>
        <v>3</v>
      </c>
      <c r="AH33">
        <f t="shared" si="12"/>
        <v>3</v>
      </c>
      <c r="AI33">
        <f t="shared" si="13"/>
        <v>2</v>
      </c>
      <c r="AJ33">
        <f t="shared" si="14"/>
        <v>4</v>
      </c>
      <c r="AK33">
        <f t="shared" si="15"/>
        <v>0</v>
      </c>
      <c r="AL33">
        <f t="shared" si="16"/>
        <v>3</v>
      </c>
      <c r="AM33">
        <f t="shared" si="17"/>
        <v>2</v>
      </c>
      <c r="AN33">
        <f t="shared" si="18"/>
        <v>1</v>
      </c>
      <c r="AO33">
        <f t="shared" si="19"/>
        <v>3</v>
      </c>
      <c r="AP33">
        <f t="shared" si="20"/>
        <v>3</v>
      </c>
      <c r="AQ33">
        <f t="shared" si="21"/>
        <v>4</v>
      </c>
      <c r="AR33">
        <f t="shared" si="22"/>
        <v>8</v>
      </c>
      <c r="AS33">
        <f t="shared" si="23"/>
        <v>7</v>
      </c>
      <c r="AT33">
        <f t="shared" si="24"/>
        <v>6</v>
      </c>
      <c r="AU33">
        <f t="shared" si="53"/>
        <v>-3</v>
      </c>
      <c r="AV33">
        <f t="shared" si="54"/>
        <v>2</v>
      </c>
      <c r="AW33">
        <f t="shared" si="55"/>
        <v>12</v>
      </c>
      <c r="AX33">
        <f t="shared" si="56"/>
        <v>13</v>
      </c>
      <c r="AY33">
        <f t="shared" si="57"/>
        <v>-1</v>
      </c>
      <c r="AZ33">
        <f t="shared" si="58"/>
        <v>1.3333333333333333</v>
      </c>
      <c r="BA33">
        <f t="shared" si="59"/>
        <v>2.6666666666666665</v>
      </c>
      <c r="BB33">
        <f t="shared" si="60"/>
        <v>2.3333333333333335</v>
      </c>
      <c r="BC33">
        <f t="shared" si="61"/>
        <v>2</v>
      </c>
      <c r="BD33">
        <f t="shared" si="25"/>
        <v>2</v>
      </c>
      <c r="BE33">
        <f t="shared" si="26"/>
        <v>2.1666666666666665</v>
      </c>
      <c r="BG33" t="str">
        <f t="shared" si="27"/>
        <v>NSH</v>
      </c>
      <c r="BH33" s="1">
        <f t="shared" si="28"/>
        <v>6</v>
      </c>
      <c r="BI33" s="1">
        <f t="shared" si="29"/>
        <v>3</v>
      </c>
      <c r="BJ33" s="1">
        <f t="shared" si="30"/>
        <v>3</v>
      </c>
      <c r="BK33" s="1">
        <f t="shared" si="31"/>
        <v>2</v>
      </c>
      <c r="BL33" s="1">
        <f t="shared" si="32"/>
        <v>4</v>
      </c>
      <c r="BM33" s="1">
        <f t="shared" si="33"/>
        <v>0</v>
      </c>
      <c r="BN33" s="1">
        <f t="shared" si="34"/>
        <v>3</v>
      </c>
      <c r="BO33" s="1">
        <f t="shared" si="35"/>
        <v>2</v>
      </c>
      <c r="BP33" s="1">
        <f t="shared" si="36"/>
        <v>1</v>
      </c>
      <c r="BQ33" s="1">
        <f t="shared" si="37"/>
        <v>4</v>
      </c>
      <c r="BR33" s="1">
        <f t="shared" si="38"/>
        <v>8</v>
      </c>
      <c r="BS33" s="1">
        <f t="shared" si="39"/>
        <v>7</v>
      </c>
      <c r="BT33" s="1">
        <f t="shared" si="40"/>
        <v>6</v>
      </c>
      <c r="BU33" s="1">
        <f t="shared" si="41"/>
        <v>-3</v>
      </c>
      <c r="BV33" s="1">
        <f t="shared" si="42"/>
        <v>2</v>
      </c>
      <c r="BW33" s="1">
        <f t="shared" si="43"/>
        <v>12</v>
      </c>
      <c r="BX33" s="1">
        <f t="shared" si="44"/>
        <v>13</v>
      </c>
      <c r="BY33" s="1">
        <f t="shared" si="45"/>
        <v>-1</v>
      </c>
      <c r="BZ33" s="37">
        <f t="shared" si="46"/>
        <v>1.3333333333333333</v>
      </c>
      <c r="CA33" s="37">
        <f t="shared" si="47"/>
        <v>2.6666666666666665</v>
      </c>
      <c r="CB33" s="37">
        <f t="shared" si="48"/>
        <v>2.3333333333333335</v>
      </c>
      <c r="CC33" s="37">
        <f t="shared" si="49"/>
        <v>2</v>
      </c>
      <c r="CD33" s="37">
        <f t="shared" si="50"/>
        <v>2</v>
      </c>
      <c r="CE33" s="37">
        <f t="shared" si="51"/>
        <v>2.1666666666666665</v>
      </c>
    </row>
    <row r="34" spans="1:83" x14ac:dyDescent="0.25">
      <c r="A34" s="11" t="str">
        <f t="shared" si="2"/>
        <v>Monday</v>
      </c>
      <c r="B34" s="15">
        <v>45411</v>
      </c>
      <c r="C34" s="15" t="s">
        <v>33</v>
      </c>
      <c r="D34" s="17">
        <v>1</v>
      </c>
      <c r="E34" s="16" t="s">
        <v>45</v>
      </c>
      <c r="F34" s="17">
        <v>4</v>
      </c>
      <c r="G34" s="17" t="s">
        <v>19</v>
      </c>
      <c r="H34" s="17" t="s">
        <v>18</v>
      </c>
      <c r="I34" s="17">
        <v>2</v>
      </c>
      <c r="J34" s="17">
        <v>2</v>
      </c>
      <c r="K34" s="16" t="s">
        <v>19</v>
      </c>
      <c r="L34" s="16" t="s">
        <v>18</v>
      </c>
      <c r="M34" s="16" t="s">
        <v>18</v>
      </c>
      <c r="N34" s="15">
        <v>45411</v>
      </c>
      <c r="O34" s="16">
        <v>4</v>
      </c>
      <c r="P34" s="16">
        <v>2</v>
      </c>
      <c r="Q34" s="16">
        <v>0</v>
      </c>
      <c r="R34" s="16">
        <f>IF($O34=$P34, 0, IF($K35=$M34, IF($O34&gt;$P34, 1, 0), IF($P34&gt;$O34, 1, 0)))</f>
        <v>0</v>
      </c>
      <c r="S34" s="2" t="str">
        <f t="shared" ref="S34:S65" si="62">IF(O34&gt;P34,K34,L34)</f>
        <v>DAL</v>
      </c>
      <c r="W34" s="4"/>
      <c r="AA34" t="s">
        <v>19</v>
      </c>
      <c r="AB34">
        <f t="shared" si="7"/>
        <v>7</v>
      </c>
      <c r="AC34">
        <f t="shared" si="8"/>
        <v>6</v>
      </c>
      <c r="AD34">
        <f t="shared" si="9"/>
        <v>6</v>
      </c>
      <c r="AE34">
        <f t="shared" si="10"/>
        <v>0</v>
      </c>
      <c r="AF34">
        <f t="shared" si="52"/>
        <v>19</v>
      </c>
      <c r="AG34">
        <f t="shared" si="11"/>
        <v>10</v>
      </c>
      <c r="AH34">
        <f t="shared" si="12"/>
        <v>9</v>
      </c>
      <c r="AI34">
        <f t="shared" si="13"/>
        <v>10</v>
      </c>
      <c r="AJ34">
        <f t="shared" si="14"/>
        <v>9</v>
      </c>
      <c r="AK34">
        <f t="shared" si="15"/>
        <v>4</v>
      </c>
      <c r="AL34">
        <f t="shared" si="16"/>
        <v>6</v>
      </c>
      <c r="AM34">
        <f t="shared" si="17"/>
        <v>6</v>
      </c>
      <c r="AN34">
        <f t="shared" si="18"/>
        <v>3</v>
      </c>
      <c r="AO34">
        <f t="shared" si="19"/>
        <v>4</v>
      </c>
      <c r="AP34">
        <f t="shared" si="20"/>
        <v>3</v>
      </c>
      <c r="AQ34">
        <f t="shared" si="21"/>
        <v>10</v>
      </c>
      <c r="AR34">
        <f t="shared" si="22"/>
        <v>7</v>
      </c>
      <c r="AS34">
        <f t="shared" si="23"/>
        <v>10</v>
      </c>
      <c r="AT34">
        <f t="shared" si="24"/>
        <v>6</v>
      </c>
      <c r="AU34">
        <f t="shared" si="53"/>
        <v>0</v>
      </c>
      <c r="AV34">
        <f t="shared" si="54"/>
        <v>1</v>
      </c>
      <c r="AW34">
        <f t="shared" si="55"/>
        <v>17</v>
      </c>
      <c r="AX34">
        <f t="shared" si="56"/>
        <v>16</v>
      </c>
      <c r="AY34">
        <f t="shared" si="57"/>
        <v>1</v>
      </c>
      <c r="AZ34">
        <f t="shared" si="58"/>
        <v>2.5</v>
      </c>
      <c r="BA34">
        <f t="shared" si="59"/>
        <v>2.3333333333333335</v>
      </c>
      <c r="BB34">
        <f t="shared" si="60"/>
        <v>2.5</v>
      </c>
      <c r="BC34">
        <f t="shared" si="61"/>
        <v>2</v>
      </c>
      <c r="BD34">
        <f t="shared" si="25"/>
        <v>2.4285714285714284</v>
      </c>
      <c r="BE34">
        <f t="shared" si="26"/>
        <v>2.2857142857142856</v>
      </c>
      <c r="BG34" t="str">
        <f t="shared" si="27"/>
        <v>DAL</v>
      </c>
      <c r="BH34" s="1">
        <f t="shared" si="28"/>
        <v>19</v>
      </c>
      <c r="BI34" s="1">
        <f t="shared" si="29"/>
        <v>10</v>
      </c>
      <c r="BJ34" s="1">
        <f t="shared" si="30"/>
        <v>9</v>
      </c>
      <c r="BK34" s="1">
        <f t="shared" si="31"/>
        <v>10</v>
      </c>
      <c r="BL34" s="1">
        <f t="shared" si="32"/>
        <v>9</v>
      </c>
      <c r="BM34" s="1">
        <f t="shared" si="33"/>
        <v>4</v>
      </c>
      <c r="BN34" s="1">
        <f t="shared" si="34"/>
        <v>6</v>
      </c>
      <c r="BO34" s="1">
        <f t="shared" si="35"/>
        <v>6</v>
      </c>
      <c r="BP34" s="1">
        <f t="shared" si="36"/>
        <v>3</v>
      </c>
      <c r="BQ34" s="1">
        <f t="shared" si="37"/>
        <v>27</v>
      </c>
      <c r="BR34" s="1">
        <f t="shared" si="38"/>
        <v>26</v>
      </c>
      <c r="BS34" s="1">
        <f t="shared" si="39"/>
        <v>28</v>
      </c>
      <c r="BT34" s="1">
        <f t="shared" si="40"/>
        <v>19</v>
      </c>
      <c r="BU34" s="1">
        <f t="shared" si="41"/>
        <v>-1</v>
      </c>
      <c r="BV34" s="1">
        <f t="shared" si="42"/>
        <v>7</v>
      </c>
      <c r="BW34" s="1">
        <f t="shared" si="43"/>
        <v>53</v>
      </c>
      <c r="BX34" s="1">
        <f t="shared" si="44"/>
        <v>47</v>
      </c>
      <c r="BY34" s="1">
        <f t="shared" si="45"/>
        <v>6</v>
      </c>
      <c r="BZ34" s="37">
        <f t="shared" si="46"/>
        <v>2.7</v>
      </c>
      <c r="CA34" s="37">
        <f t="shared" si="47"/>
        <v>2.8888888888888888</v>
      </c>
      <c r="CB34" s="37">
        <f t="shared" si="48"/>
        <v>2.8</v>
      </c>
      <c r="CC34" s="37">
        <f t="shared" si="49"/>
        <v>2.1111111111111112</v>
      </c>
      <c r="CD34" s="37">
        <f t="shared" si="50"/>
        <v>2.7894736842105261</v>
      </c>
      <c r="CE34" s="37">
        <f t="shared" si="51"/>
        <v>2.4736842105263159</v>
      </c>
    </row>
    <row r="35" spans="1:83" x14ac:dyDescent="0.25">
      <c r="A35" t="str">
        <f t="shared" si="2"/>
        <v>Tuesday</v>
      </c>
      <c r="B35" s="3">
        <v>45412</v>
      </c>
      <c r="C35" s="2" t="s">
        <v>32</v>
      </c>
      <c r="D35" s="4">
        <v>1</v>
      </c>
      <c r="E35" s="2" t="s">
        <v>39</v>
      </c>
      <c r="F35" s="4">
        <v>5</v>
      </c>
      <c r="G35" s="4" t="s">
        <v>3</v>
      </c>
      <c r="H35" s="4" t="s">
        <v>2</v>
      </c>
      <c r="I35" s="4">
        <v>3</v>
      </c>
      <c r="J35" s="4">
        <v>2</v>
      </c>
      <c r="K35" s="2" t="s">
        <v>2</v>
      </c>
      <c r="L35" s="2" t="s">
        <v>3</v>
      </c>
      <c r="M35" s="2" t="s">
        <v>2</v>
      </c>
      <c r="N35" s="3">
        <v>45411</v>
      </c>
      <c r="O35" s="2">
        <v>2</v>
      </c>
      <c r="P35" s="2">
        <v>1</v>
      </c>
      <c r="Q35" s="2">
        <v>1</v>
      </c>
      <c r="R35" s="2">
        <f t="shared" ref="R35:R49" si="63">IF($O35=$P35, 0, IF($K35=$M35, IF($O35&gt;$P35, 1, 0), IF($P35&gt;$O35, 1, 0)))</f>
        <v>1</v>
      </c>
      <c r="S35" s="2" t="str">
        <f t="shared" si="62"/>
        <v>TOR</v>
      </c>
      <c r="W35" s="4"/>
      <c r="AA35" t="s">
        <v>15</v>
      </c>
      <c r="AB35">
        <f t="shared" si="7"/>
        <v>5</v>
      </c>
      <c r="AC35">
        <f t="shared" si="8"/>
        <v>0</v>
      </c>
      <c r="AD35">
        <f t="shared" si="9"/>
        <v>0</v>
      </c>
      <c r="AE35">
        <f t="shared" si="10"/>
        <v>0</v>
      </c>
      <c r="AF35">
        <f t="shared" si="52"/>
        <v>5</v>
      </c>
      <c r="AG35">
        <f t="shared" si="11"/>
        <v>3</v>
      </c>
      <c r="AH35">
        <f t="shared" si="12"/>
        <v>2</v>
      </c>
      <c r="AI35">
        <f t="shared" si="13"/>
        <v>1</v>
      </c>
      <c r="AJ35">
        <f t="shared" si="14"/>
        <v>4</v>
      </c>
      <c r="AK35">
        <f t="shared" si="15"/>
        <v>1</v>
      </c>
      <c r="AL35">
        <f t="shared" si="16"/>
        <v>2</v>
      </c>
      <c r="AM35">
        <f t="shared" si="17"/>
        <v>0</v>
      </c>
      <c r="AN35">
        <f t="shared" si="18"/>
        <v>2</v>
      </c>
      <c r="AO35">
        <f t="shared" si="19"/>
        <v>3</v>
      </c>
      <c r="AP35">
        <f t="shared" si="20"/>
        <v>2</v>
      </c>
      <c r="AQ35">
        <f t="shared" si="21"/>
        <v>12</v>
      </c>
      <c r="AR35">
        <f t="shared" si="22"/>
        <v>3</v>
      </c>
      <c r="AS35">
        <f t="shared" si="23"/>
        <v>17</v>
      </c>
      <c r="AT35">
        <f t="shared" si="24"/>
        <v>11</v>
      </c>
      <c r="AU35">
        <f t="shared" si="53"/>
        <v>-5</v>
      </c>
      <c r="AV35">
        <f t="shared" si="54"/>
        <v>-8</v>
      </c>
      <c r="AW35">
        <f t="shared" si="55"/>
        <v>15</v>
      </c>
      <c r="AX35">
        <f t="shared" si="56"/>
        <v>28</v>
      </c>
      <c r="AY35">
        <f t="shared" si="57"/>
        <v>-13</v>
      </c>
      <c r="AZ35">
        <f t="shared" si="58"/>
        <v>4</v>
      </c>
      <c r="BA35">
        <f t="shared" si="59"/>
        <v>1.5</v>
      </c>
      <c r="BB35">
        <f t="shared" si="60"/>
        <v>5.666666666666667</v>
      </c>
      <c r="BC35">
        <f t="shared" si="61"/>
        <v>5.5</v>
      </c>
      <c r="BD35">
        <f t="shared" si="25"/>
        <v>3</v>
      </c>
      <c r="BE35">
        <f t="shared" si="26"/>
        <v>5.6</v>
      </c>
      <c r="BG35" t="str">
        <f t="shared" si="27"/>
        <v>WPG</v>
      </c>
      <c r="BH35" s="1">
        <f t="shared" si="28"/>
        <v>5</v>
      </c>
      <c r="BI35" s="1">
        <f t="shared" si="29"/>
        <v>3</v>
      </c>
      <c r="BJ35" s="1">
        <f t="shared" si="30"/>
        <v>2</v>
      </c>
      <c r="BK35" s="1">
        <f t="shared" si="31"/>
        <v>1</v>
      </c>
      <c r="BL35" s="1">
        <f t="shared" si="32"/>
        <v>4</v>
      </c>
      <c r="BM35" s="1">
        <f t="shared" si="33"/>
        <v>1</v>
      </c>
      <c r="BN35" s="1">
        <f t="shared" si="34"/>
        <v>2</v>
      </c>
      <c r="BO35" s="1">
        <f t="shared" si="35"/>
        <v>0</v>
      </c>
      <c r="BP35" s="1">
        <f t="shared" si="36"/>
        <v>2</v>
      </c>
      <c r="BQ35" s="1">
        <f t="shared" si="37"/>
        <v>12</v>
      </c>
      <c r="BR35" s="1">
        <f t="shared" si="38"/>
        <v>3</v>
      </c>
      <c r="BS35" s="1">
        <f t="shared" si="39"/>
        <v>17</v>
      </c>
      <c r="BT35" s="1">
        <f t="shared" si="40"/>
        <v>11</v>
      </c>
      <c r="BU35" s="1">
        <f t="shared" si="41"/>
        <v>-5</v>
      </c>
      <c r="BV35" s="1">
        <f t="shared" si="42"/>
        <v>-8</v>
      </c>
      <c r="BW35" s="1">
        <f t="shared" si="43"/>
        <v>15</v>
      </c>
      <c r="BX35" s="1">
        <f t="shared" si="44"/>
        <v>28</v>
      </c>
      <c r="BY35" s="1">
        <f t="shared" si="45"/>
        <v>-13</v>
      </c>
      <c r="BZ35" s="37">
        <f t="shared" si="46"/>
        <v>4</v>
      </c>
      <c r="CA35" s="37">
        <f t="shared" si="47"/>
        <v>1.5</v>
      </c>
      <c r="CB35" s="37">
        <f t="shared" si="48"/>
        <v>5.666666666666667</v>
      </c>
      <c r="CC35" s="37">
        <f t="shared" si="49"/>
        <v>5.5</v>
      </c>
      <c r="CD35" s="37">
        <f t="shared" si="50"/>
        <v>3</v>
      </c>
      <c r="CE35" s="37">
        <f t="shared" si="51"/>
        <v>5.6</v>
      </c>
    </row>
    <row r="36" spans="1:83" x14ac:dyDescent="0.25">
      <c r="A36" t="str">
        <f t="shared" si="2"/>
        <v>Tuesday</v>
      </c>
      <c r="B36" s="3">
        <v>45412</v>
      </c>
      <c r="C36" s="2" t="s">
        <v>32</v>
      </c>
      <c r="D36" s="4">
        <v>1</v>
      </c>
      <c r="E36" s="2" t="s">
        <v>38</v>
      </c>
      <c r="F36" s="4">
        <v>5</v>
      </c>
      <c r="G36" s="4" t="s">
        <v>1</v>
      </c>
      <c r="H36" s="4" t="s">
        <v>0</v>
      </c>
      <c r="I36" s="4">
        <v>4</v>
      </c>
      <c r="J36" s="4">
        <v>1</v>
      </c>
      <c r="K36" s="2" t="s">
        <v>0</v>
      </c>
      <c r="L36" s="2" t="s">
        <v>1</v>
      </c>
      <c r="M36" s="2" t="s">
        <v>1</v>
      </c>
      <c r="N36" s="3">
        <v>45411</v>
      </c>
      <c r="O36" s="2">
        <v>3</v>
      </c>
      <c r="P36" s="2">
        <v>6</v>
      </c>
      <c r="Q36" s="2">
        <v>0</v>
      </c>
      <c r="R36" s="2">
        <f t="shared" si="63"/>
        <v>1</v>
      </c>
      <c r="S36" s="2" t="str">
        <f t="shared" si="62"/>
        <v>CAR</v>
      </c>
      <c r="W36" s="4"/>
      <c r="AA36" t="s">
        <v>14</v>
      </c>
      <c r="AB36">
        <f t="shared" si="7"/>
        <v>5</v>
      </c>
      <c r="AC36">
        <f t="shared" si="8"/>
        <v>6</v>
      </c>
      <c r="AD36">
        <f t="shared" si="9"/>
        <v>0</v>
      </c>
      <c r="AE36">
        <f t="shared" si="10"/>
        <v>0</v>
      </c>
      <c r="AF36">
        <f t="shared" si="52"/>
        <v>11</v>
      </c>
      <c r="AG36">
        <f t="shared" si="11"/>
        <v>5</v>
      </c>
      <c r="AH36">
        <f t="shared" si="12"/>
        <v>6</v>
      </c>
      <c r="AI36">
        <f t="shared" si="13"/>
        <v>6</v>
      </c>
      <c r="AJ36">
        <f t="shared" si="14"/>
        <v>5</v>
      </c>
      <c r="AK36">
        <f t="shared" si="15"/>
        <v>2</v>
      </c>
      <c r="AL36">
        <f t="shared" si="16"/>
        <v>3</v>
      </c>
      <c r="AM36">
        <f t="shared" si="17"/>
        <v>4</v>
      </c>
      <c r="AN36">
        <f t="shared" si="18"/>
        <v>2</v>
      </c>
      <c r="AO36">
        <f t="shared" si="19"/>
        <v>2</v>
      </c>
      <c r="AP36">
        <f t="shared" si="20"/>
        <v>3</v>
      </c>
      <c r="AQ36">
        <f t="shared" si="21"/>
        <v>11</v>
      </c>
      <c r="AR36">
        <f t="shared" si="22"/>
        <v>17</v>
      </c>
      <c r="AS36">
        <f t="shared" si="23"/>
        <v>3</v>
      </c>
      <c r="AT36">
        <f t="shared" si="24"/>
        <v>12</v>
      </c>
      <c r="AU36">
        <f t="shared" si="53"/>
        <v>8</v>
      </c>
      <c r="AV36">
        <f t="shared" si="54"/>
        <v>5</v>
      </c>
      <c r="AW36">
        <f t="shared" si="55"/>
        <v>28</v>
      </c>
      <c r="AX36">
        <f t="shared" si="56"/>
        <v>15</v>
      </c>
      <c r="AY36">
        <f t="shared" si="57"/>
        <v>13</v>
      </c>
      <c r="AZ36">
        <f t="shared" si="58"/>
        <v>5.5</v>
      </c>
      <c r="BA36">
        <f t="shared" si="59"/>
        <v>5.666666666666667</v>
      </c>
      <c r="BB36">
        <f t="shared" si="60"/>
        <v>1.5</v>
      </c>
      <c r="BC36">
        <f t="shared" si="61"/>
        <v>4</v>
      </c>
      <c r="BD36">
        <f t="shared" si="25"/>
        <v>5.6</v>
      </c>
      <c r="BE36">
        <f t="shared" si="26"/>
        <v>3</v>
      </c>
      <c r="BG36" t="str">
        <f t="shared" si="27"/>
        <v>COL</v>
      </c>
      <c r="BH36" s="1">
        <f t="shared" si="28"/>
        <v>11</v>
      </c>
      <c r="BI36" s="1">
        <f t="shared" si="29"/>
        <v>5</v>
      </c>
      <c r="BJ36" s="1">
        <f t="shared" si="30"/>
        <v>6</v>
      </c>
      <c r="BK36" s="1">
        <f t="shared" si="31"/>
        <v>6</v>
      </c>
      <c r="BL36" s="1">
        <f t="shared" si="32"/>
        <v>5</v>
      </c>
      <c r="BM36" s="1">
        <f t="shared" si="33"/>
        <v>2</v>
      </c>
      <c r="BN36" s="1">
        <f t="shared" si="34"/>
        <v>3</v>
      </c>
      <c r="BO36" s="1">
        <f t="shared" si="35"/>
        <v>4</v>
      </c>
      <c r="BP36" s="1">
        <f t="shared" si="36"/>
        <v>2</v>
      </c>
      <c r="BQ36" s="1">
        <f t="shared" si="37"/>
        <v>14</v>
      </c>
      <c r="BR36" s="1">
        <f t="shared" si="38"/>
        <v>28</v>
      </c>
      <c r="BS36" s="1">
        <f t="shared" si="39"/>
        <v>14</v>
      </c>
      <c r="BT36" s="1">
        <f t="shared" si="40"/>
        <v>23</v>
      </c>
      <c r="BU36" s="1">
        <f t="shared" si="41"/>
        <v>0</v>
      </c>
      <c r="BV36" s="1">
        <f t="shared" si="42"/>
        <v>5</v>
      </c>
      <c r="BW36" s="1">
        <f t="shared" si="43"/>
        <v>42</v>
      </c>
      <c r="BX36" s="1">
        <f t="shared" si="44"/>
        <v>37</v>
      </c>
      <c r="BY36" s="1">
        <f t="shared" si="45"/>
        <v>5</v>
      </c>
      <c r="BZ36" s="37">
        <f t="shared" si="46"/>
        <v>2.8</v>
      </c>
      <c r="CA36" s="37">
        <f t="shared" si="47"/>
        <v>4.666666666666667</v>
      </c>
      <c r="CB36" s="37">
        <f t="shared" si="48"/>
        <v>2.8</v>
      </c>
      <c r="CC36" s="37">
        <f t="shared" si="49"/>
        <v>3.8333333333333335</v>
      </c>
      <c r="CD36" s="37">
        <f t="shared" si="50"/>
        <v>3.8181818181818183</v>
      </c>
      <c r="CE36" s="37">
        <f t="shared" si="51"/>
        <v>3.3636363636363638</v>
      </c>
    </row>
    <row r="37" spans="1:83" x14ac:dyDescent="0.25">
      <c r="A37" t="str">
        <f t="shared" si="2"/>
        <v>Tuesday</v>
      </c>
      <c r="B37" s="3">
        <v>45412</v>
      </c>
      <c r="C37" s="2" t="s">
        <v>33</v>
      </c>
      <c r="D37" s="4">
        <v>1</v>
      </c>
      <c r="E37" s="2" t="s">
        <v>41</v>
      </c>
      <c r="F37" s="4">
        <v>5</v>
      </c>
      <c r="G37" s="4" t="s">
        <v>15</v>
      </c>
      <c r="H37" s="4" t="s">
        <v>14</v>
      </c>
      <c r="I37" s="4">
        <v>1</v>
      </c>
      <c r="J37" s="4">
        <v>4</v>
      </c>
      <c r="K37" s="2" t="s">
        <v>14</v>
      </c>
      <c r="L37" s="2" t="s">
        <v>15</v>
      </c>
      <c r="M37" s="2" t="s">
        <v>15</v>
      </c>
      <c r="N37" s="3">
        <v>45411</v>
      </c>
      <c r="O37" s="2">
        <v>6</v>
      </c>
      <c r="P37" s="2">
        <v>3</v>
      </c>
      <c r="Q37" s="2">
        <v>0</v>
      </c>
      <c r="R37" s="2">
        <f t="shared" si="63"/>
        <v>0</v>
      </c>
      <c r="S37" s="2" t="str">
        <f t="shared" si="62"/>
        <v>COL</v>
      </c>
      <c r="W37" s="4"/>
      <c r="AA37" t="s">
        <v>18</v>
      </c>
      <c r="AB37">
        <f t="shared" si="7"/>
        <v>7</v>
      </c>
      <c r="AC37">
        <f t="shared" si="8"/>
        <v>0</v>
      </c>
      <c r="AD37">
        <f t="shared" si="9"/>
        <v>0</v>
      </c>
      <c r="AE37">
        <f t="shared" si="10"/>
        <v>0</v>
      </c>
      <c r="AF37">
        <f t="shared" si="52"/>
        <v>7</v>
      </c>
      <c r="AG37">
        <f t="shared" si="11"/>
        <v>3</v>
      </c>
      <c r="AH37">
        <f t="shared" si="12"/>
        <v>4</v>
      </c>
      <c r="AI37">
        <f t="shared" si="13"/>
        <v>3</v>
      </c>
      <c r="AJ37">
        <f t="shared" si="14"/>
        <v>4</v>
      </c>
      <c r="AK37">
        <f t="shared" si="15"/>
        <v>1</v>
      </c>
      <c r="AL37">
        <f t="shared" si="16"/>
        <v>2</v>
      </c>
      <c r="AM37">
        <f t="shared" si="17"/>
        <v>2</v>
      </c>
      <c r="AN37">
        <f t="shared" si="18"/>
        <v>2</v>
      </c>
      <c r="AO37">
        <f t="shared" si="19"/>
        <v>3</v>
      </c>
      <c r="AP37">
        <f t="shared" si="20"/>
        <v>4</v>
      </c>
      <c r="AQ37">
        <f t="shared" si="21"/>
        <v>6</v>
      </c>
      <c r="AR37">
        <f t="shared" si="22"/>
        <v>10</v>
      </c>
      <c r="AS37">
        <f t="shared" si="23"/>
        <v>7</v>
      </c>
      <c r="AT37">
        <f t="shared" si="24"/>
        <v>10</v>
      </c>
      <c r="AU37">
        <f t="shared" si="53"/>
        <v>-1</v>
      </c>
      <c r="AV37">
        <f t="shared" si="54"/>
        <v>0</v>
      </c>
      <c r="AW37">
        <f t="shared" si="55"/>
        <v>16</v>
      </c>
      <c r="AX37">
        <f t="shared" si="56"/>
        <v>17</v>
      </c>
      <c r="AY37">
        <f t="shared" si="57"/>
        <v>-1</v>
      </c>
      <c r="AZ37">
        <f t="shared" si="58"/>
        <v>2</v>
      </c>
      <c r="BA37">
        <f t="shared" si="59"/>
        <v>2.5</v>
      </c>
      <c r="BB37">
        <f t="shared" si="60"/>
        <v>2.3333333333333335</v>
      </c>
      <c r="BC37">
        <f t="shared" si="61"/>
        <v>2.5</v>
      </c>
      <c r="BD37">
        <f t="shared" si="25"/>
        <v>2.2857142857142856</v>
      </c>
      <c r="BE37">
        <f t="shared" si="26"/>
        <v>2.4285714285714284</v>
      </c>
      <c r="BG37" t="str">
        <f t="shared" si="27"/>
        <v>VGK</v>
      </c>
      <c r="BH37" s="1">
        <f t="shared" si="28"/>
        <v>7</v>
      </c>
      <c r="BI37" s="1">
        <f t="shared" si="29"/>
        <v>3</v>
      </c>
      <c r="BJ37" s="1">
        <f t="shared" si="30"/>
        <v>4</v>
      </c>
      <c r="BK37" s="1">
        <f t="shared" si="31"/>
        <v>3</v>
      </c>
      <c r="BL37" s="1">
        <f t="shared" si="32"/>
        <v>4</v>
      </c>
      <c r="BM37" s="1">
        <f t="shared" si="33"/>
        <v>1</v>
      </c>
      <c r="BN37" s="1">
        <f t="shared" si="34"/>
        <v>2</v>
      </c>
      <c r="BO37" s="1">
        <f t="shared" si="35"/>
        <v>2</v>
      </c>
      <c r="BP37" s="1">
        <f t="shared" si="36"/>
        <v>2</v>
      </c>
      <c r="BQ37" s="1">
        <f t="shared" si="37"/>
        <v>6</v>
      </c>
      <c r="BR37" s="1">
        <f t="shared" si="38"/>
        <v>10</v>
      </c>
      <c r="BS37" s="1">
        <f t="shared" si="39"/>
        <v>7</v>
      </c>
      <c r="BT37" s="1">
        <f t="shared" si="40"/>
        <v>10</v>
      </c>
      <c r="BU37" s="1">
        <f t="shared" si="41"/>
        <v>-1</v>
      </c>
      <c r="BV37" s="1">
        <f t="shared" si="42"/>
        <v>0</v>
      </c>
      <c r="BW37" s="1">
        <f t="shared" si="43"/>
        <v>16</v>
      </c>
      <c r="BX37" s="1">
        <f t="shared" si="44"/>
        <v>17</v>
      </c>
      <c r="BY37" s="1">
        <f t="shared" si="45"/>
        <v>-1</v>
      </c>
      <c r="BZ37" s="37">
        <f t="shared" si="46"/>
        <v>2</v>
      </c>
      <c r="CA37" s="37">
        <f t="shared" si="47"/>
        <v>2.5</v>
      </c>
      <c r="CB37" s="37">
        <f t="shared" si="48"/>
        <v>2.3333333333333335</v>
      </c>
      <c r="CC37" s="37">
        <f t="shared" si="49"/>
        <v>2.5</v>
      </c>
      <c r="CD37" s="37">
        <f t="shared" si="50"/>
        <v>2.2857142857142856</v>
      </c>
      <c r="CE37" s="37">
        <f t="shared" si="51"/>
        <v>2.4285714285714284</v>
      </c>
    </row>
    <row r="38" spans="1:83" x14ac:dyDescent="0.25">
      <c r="A38" s="11" t="str">
        <f t="shared" si="2"/>
        <v>Tuesday</v>
      </c>
      <c r="B38" s="15">
        <v>45412</v>
      </c>
      <c r="C38" s="16" t="s">
        <v>33</v>
      </c>
      <c r="D38" s="17">
        <v>1</v>
      </c>
      <c r="E38" s="16" t="s">
        <v>44</v>
      </c>
      <c r="F38" s="17">
        <v>5</v>
      </c>
      <c r="G38" s="17" t="s">
        <v>17</v>
      </c>
      <c r="H38" s="17" t="s">
        <v>16</v>
      </c>
      <c r="I38" s="17">
        <v>2</v>
      </c>
      <c r="J38" s="17">
        <v>3</v>
      </c>
      <c r="K38" s="16" t="s">
        <v>16</v>
      </c>
      <c r="L38" s="16" t="s">
        <v>17</v>
      </c>
      <c r="M38" s="16" t="s">
        <v>17</v>
      </c>
      <c r="N38" s="15">
        <v>45411</v>
      </c>
      <c r="O38" s="16">
        <v>2</v>
      </c>
      <c r="P38" s="16">
        <v>1</v>
      </c>
      <c r="Q38" s="16">
        <v>0</v>
      </c>
      <c r="R38" s="16">
        <f t="shared" si="63"/>
        <v>0</v>
      </c>
      <c r="S38" s="2" t="str">
        <f t="shared" si="62"/>
        <v>NSH</v>
      </c>
      <c r="W38" s="4"/>
    </row>
    <row r="39" spans="1:83" x14ac:dyDescent="0.25">
      <c r="A39" s="41" t="str">
        <f t="shared" si="2"/>
        <v>Wednesday</v>
      </c>
      <c r="B39" s="3">
        <v>45413</v>
      </c>
      <c r="C39" s="2" t="s">
        <v>33</v>
      </c>
      <c r="D39" s="4">
        <v>1</v>
      </c>
      <c r="E39" s="2" t="s">
        <v>45</v>
      </c>
      <c r="F39" s="4">
        <v>5</v>
      </c>
      <c r="G39" s="4" t="s">
        <v>19</v>
      </c>
      <c r="H39" s="4" t="s">
        <v>18</v>
      </c>
      <c r="I39" s="4">
        <v>3</v>
      </c>
      <c r="J39" s="4">
        <v>2</v>
      </c>
      <c r="K39" s="2" t="s">
        <v>18</v>
      </c>
      <c r="L39" s="2" t="s">
        <v>19</v>
      </c>
      <c r="M39" s="2" t="s">
        <v>19</v>
      </c>
      <c r="N39" s="3">
        <v>45413</v>
      </c>
      <c r="O39" s="2">
        <v>2</v>
      </c>
      <c r="P39" s="2">
        <v>4</v>
      </c>
      <c r="Q39" s="2">
        <v>0</v>
      </c>
      <c r="R39" s="2">
        <f t="shared" si="63"/>
        <v>1</v>
      </c>
      <c r="S39" s="2" t="str">
        <f t="shared" si="62"/>
        <v>DAL</v>
      </c>
      <c r="W39" s="4"/>
    </row>
    <row r="40" spans="1:83" x14ac:dyDescent="0.25">
      <c r="A40" s="11" t="str">
        <f t="shared" si="2"/>
        <v>Wednesday</v>
      </c>
      <c r="B40" s="15">
        <v>45413</v>
      </c>
      <c r="C40" s="16" t="s">
        <v>33</v>
      </c>
      <c r="D40" s="17">
        <v>1</v>
      </c>
      <c r="E40" s="16" t="s">
        <v>40</v>
      </c>
      <c r="F40" s="17">
        <v>5</v>
      </c>
      <c r="G40" s="17" t="s">
        <v>21</v>
      </c>
      <c r="H40" s="17" t="s">
        <v>20</v>
      </c>
      <c r="I40" s="17">
        <v>4</v>
      </c>
      <c r="J40" s="17">
        <v>1</v>
      </c>
      <c r="K40" s="16" t="s">
        <v>20</v>
      </c>
      <c r="L40" s="16" t="s">
        <v>21</v>
      </c>
      <c r="M40" s="16" t="s">
        <v>21</v>
      </c>
      <c r="N40" s="15">
        <v>45413</v>
      </c>
      <c r="O40" s="16">
        <v>3</v>
      </c>
      <c r="P40" s="16">
        <v>4</v>
      </c>
      <c r="Q40" s="16">
        <v>0</v>
      </c>
      <c r="R40" s="16">
        <f t="shared" si="63"/>
        <v>1</v>
      </c>
      <c r="S40" s="2" t="str">
        <f t="shared" si="62"/>
        <v>EDM</v>
      </c>
      <c r="W40" s="4"/>
      <c r="AA40" s="11"/>
      <c r="AB40" s="11" t="s">
        <v>67</v>
      </c>
      <c r="AC40" s="11" t="s">
        <v>68</v>
      </c>
      <c r="AD40" s="11" t="s">
        <v>69</v>
      </c>
      <c r="AE40" s="11" t="s">
        <v>70</v>
      </c>
      <c r="AF40" s="11" t="s">
        <v>71</v>
      </c>
      <c r="AG40" s="11" t="s">
        <v>95</v>
      </c>
      <c r="AH40" s="11" t="s">
        <v>96</v>
      </c>
      <c r="AI40" s="11" t="s">
        <v>89</v>
      </c>
      <c r="AJ40" s="11" t="s">
        <v>90</v>
      </c>
      <c r="AK40" s="11" t="s">
        <v>91</v>
      </c>
      <c r="AL40" s="11" t="s">
        <v>92</v>
      </c>
      <c r="AM40" s="11" t="s">
        <v>93</v>
      </c>
      <c r="AN40" s="11" t="s">
        <v>94</v>
      </c>
      <c r="AO40" s="11" t="s">
        <v>97</v>
      </c>
      <c r="AP40" s="11" t="s">
        <v>98</v>
      </c>
      <c r="AQ40" s="11" t="s">
        <v>99</v>
      </c>
      <c r="AR40" s="11" t="s">
        <v>100</v>
      </c>
      <c r="AS40" s="11" t="s">
        <v>101</v>
      </c>
      <c r="AT40" s="11" t="s">
        <v>102</v>
      </c>
      <c r="AU40" s="11" t="s">
        <v>103</v>
      </c>
      <c r="AV40" s="11" t="s">
        <v>104</v>
      </c>
      <c r="AW40" s="11" t="s">
        <v>105</v>
      </c>
      <c r="AX40" s="11" t="s">
        <v>106</v>
      </c>
      <c r="AY40" s="11" t="s">
        <v>107</v>
      </c>
      <c r="AZ40" s="11" t="s">
        <v>108</v>
      </c>
      <c r="BA40" s="11" t="s">
        <v>109</v>
      </c>
      <c r="BB40" s="11" t="s">
        <v>110</v>
      </c>
      <c r="BC40" s="11" t="s">
        <v>111</v>
      </c>
      <c r="BD40" s="11" t="s">
        <v>112</v>
      </c>
      <c r="BE40" s="11" t="s">
        <v>113</v>
      </c>
    </row>
    <row r="41" spans="1:83" x14ac:dyDescent="0.25">
      <c r="A41" s="14" t="str">
        <f t="shared" si="2"/>
        <v>Thursday</v>
      </c>
      <c r="B41" s="20">
        <v>45414</v>
      </c>
      <c r="C41" s="18" t="s">
        <v>32</v>
      </c>
      <c r="D41" s="19">
        <v>1</v>
      </c>
      <c r="E41" s="18" t="s">
        <v>39</v>
      </c>
      <c r="F41" s="19">
        <v>6</v>
      </c>
      <c r="G41" s="19" t="s">
        <v>3</v>
      </c>
      <c r="H41" s="19" t="s">
        <v>2</v>
      </c>
      <c r="I41" s="19">
        <v>3</v>
      </c>
      <c r="J41" s="19">
        <v>3</v>
      </c>
      <c r="K41" s="18" t="s">
        <v>3</v>
      </c>
      <c r="L41" s="18" t="s">
        <v>2</v>
      </c>
      <c r="M41" s="18" t="s">
        <v>2</v>
      </c>
      <c r="N41" s="20">
        <v>45414</v>
      </c>
      <c r="O41" s="18">
        <v>1</v>
      </c>
      <c r="P41" s="18">
        <v>2</v>
      </c>
      <c r="Q41" s="18">
        <v>0</v>
      </c>
      <c r="R41" s="21">
        <f t="shared" si="63"/>
        <v>1</v>
      </c>
      <c r="S41" s="2" t="str">
        <f t="shared" si="62"/>
        <v>TOR</v>
      </c>
      <c r="W41" s="4"/>
      <c r="AA41" t="s">
        <v>11</v>
      </c>
      <c r="AB41">
        <f>COUNTIFS($K$2:$K$100, AA41, $D$2:$D$100, 1) + COUNTIFS($L$2:$L$100, AA41, $D$2:$D$100, 1)</f>
        <v>5</v>
      </c>
      <c r="AC41">
        <f>COUNTIFS($K$2:$K$100, AA41, $D$2:$D$100, 2) + COUNTIFS($L$2:$L$100, AA41, $D$2:$D$100, 2)</f>
        <v>6</v>
      </c>
      <c r="AD41">
        <f>COUNTIFS($K$2:$K$100, AA41, $D$2:$D$100, 3) + COUNTIFS($L$2:$L$100, AA41, $D$2:$D$100, 3)</f>
        <v>6</v>
      </c>
      <c r="AE41">
        <f>COUNTIFS($K$2:$K$100, AA41, $D$2:$D$100, 4) + COUNTIFS($L$2:$L$100, AA41, $D$2:$D$100, 4)</f>
        <v>7</v>
      </c>
      <c r="AF41">
        <f>AB41+AC41+AD41+AE41</f>
        <v>24</v>
      </c>
      <c r="AG41">
        <f>COUNTIF($L$2:$L$100, AA41)</f>
        <v>13</v>
      </c>
      <c r="AH41">
        <f>COUNTIF($K$2:$K$100, AA41)</f>
        <v>11</v>
      </c>
      <c r="AI41">
        <f>AK41+AM41</f>
        <v>16</v>
      </c>
      <c r="AJ41">
        <f>AF41-AI41</f>
        <v>8</v>
      </c>
      <c r="AK41">
        <f>SUMPRODUCT(($L$2:$L$100=AA41)*($P$2:$P$100&gt;$O$2:$O$100))</f>
        <v>9</v>
      </c>
      <c r="AL41">
        <f>SUMPRODUCT(($L$2:$L$100=AA22)*($P$2:$P$100&lt;$O$2:$O$100))</f>
        <v>4</v>
      </c>
      <c r="AM41">
        <f>SUMPRODUCT(($K$2:$K$100=AA41)*($P$2:$P$100&lt;$O$2:$O$100))</f>
        <v>7</v>
      </c>
      <c r="AN41">
        <f>SUMPRODUCT(($K$2:$K$100=AA41)*($P$2:$P$100&gt;$O$2:$O$100))</f>
        <v>4</v>
      </c>
      <c r="AO41">
        <f>COUNTIFS($L$2:$L$100,AA41,$D$2:$D$100,2)</f>
        <v>3</v>
      </c>
      <c r="AP41">
        <f>COUNTIFS($K$2:$K$100,AA41,$D$2:$D$100,2)</f>
        <v>3</v>
      </c>
      <c r="AQ41">
        <f>SUMIFS($P$2:$P$100, $L$2:$L$100, AA41,$D$2:$D$100, 2)</f>
        <v>8</v>
      </c>
      <c r="AR41">
        <f>SUMIFS($O$2:$O$100, $K$2:$K$100, AA41,$D$2:$D$100, 2)</f>
        <v>11</v>
      </c>
      <c r="AS41">
        <f>SUMIFS($O$2:$O$100, $L$2:$L$100, AA41,$D$2:$D$100, 2)</f>
        <v>8</v>
      </c>
      <c r="AT41">
        <f>SUMIFS($P$2:$P$100, $K$2:$K$100, AA41,$D$2:$D$100, 2)</f>
        <v>5</v>
      </c>
      <c r="AU41">
        <f>AQ41-AS41</f>
        <v>0</v>
      </c>
      <c r="AV41">
        <f>AR41-AT41</f>
        <v>6</v>
      </c>
      <c r="AW41">
        <f>AQ41+AR41</f>
        <v>19</v>
      </c>
      <c r="AX41">
        <f>AS41+AT41</f>
        <v>13</v>
      </c>
      <c r="AY41">
        <f>(AQ41+AR41)-(AS41+AT41)</f>
        <v>6</v>
      </c>
      <c r="AZ41">
        <f>AQ41/AO41</f>
        <v>2.6666666666666665</v>
      </c>
      <c r="BA41">
        <f>AR41/AP41</f>
        <v>3.6666666666666665</v>
      </c>
      <c r="BB41">
        <f>AS41/AO41</f>
        <v>2.6666666666666665</v>
      </c>
      <c r="BC41">
        <f>AT41/AP41</f>
        <v>1.6666666666666667</v>
      </c>
      <c r="BD41">
        <f>AW41/AB41</f>
        <v>3.8</v>
      </c>
      <c r="BE41">
        <f>AX41/AB41</f>
        <v>2.6</v>
      </c>
    </row>
    <row r="42" spans="1:83" x14ac:dyDescent="0.25">
      <c r="A42" t="str">
        <f t="shared" si="2"/>
        <v>Friday</v>
      </c>
      <c r="B42" s="3">
        <v>45415</v>
      </c>
      <c r="C42" s="2" t="s">
        <v>33</v>
      </c>
      <c r="D42" s="4">
        <v>1</v>
      </c>
      <c r="E42" s="2" t="s">
        <v>44</v>
      </c>
      <c r="F42" s="4">
        <v>6</v>
      </c>
      <c r="G42" s="4" t="s">
        <v>17</v>
      </c>
      <c r="H42" s="4" t="s">
        <v>16</v>
      </c>
      <c r="I42" s="4">
        <v>4</v>
      </c>
      <c r="J42" s="4">
        <v>2</v>
      </c>
      <c r="K42" s="2" t="s">
        <v>17</v>
      </c>
      <c r="L42" s="2" t="s">
        <v>16</v>
      </c>
      <c r="M42" s="2" t="s">
        <v>16</v>
      </c>
      <c r="N42" s="3">
        <v>45414</v>
      </c>
      <c r="O42" s="2">
        <v>1</v>
      </c>
      <c r="P42" s="2">
        <v>0</v>
      </c>
      <c r="Q42" s="2">
        <v>0</v>
      </c>
      <c r="R42" s="2">
        <f t="shared" si="63"/>
        <v>0</v>
      </c>
      <c r="S42" s="2" t="str">
        <f t="shared" si="62"/>
        <v>VAN</v>
      </c>
      <c r="AA42" t="s">
        <v>3</v>
      </c>
      <c r="AB42">
        <f t="shared" ref="AB42:AB48" si="64">COUNTIFS($K$2:$K$100, AA42, $D$2:$D$100, 1) + COUNTIFS($L$2:$L$100, AA42, $D$2:$D$100, 1)</f>
        <v>7</v>
      </c>
      <c r="AC42">
        <f t="shared" ref="AC42:AC48" si="65">COUNTIFS($K$2:$K$100, AA42, $D$2:$D$100, 2) + COUNTIFS($L$2:$L$100, AA42, $D$2:$D$100, 2)</f>
        <v>6</v>
      </c>
      <c r="AD42">
        <f t="shared" ref="AD42:AD48" si="66">COUNTIFS($K$2:$K$100, AA42, $D$2:$D$100, 3) + COUNTIFS($L$2:$L$100, AA42, $D$2:$D$100, 3)</f>
        <v>0</v>
      </c>
      <c r="AE42">
        <f t="shared" ref="AE42:AE48" si="67">COUNTIFS($K$2:$K$100, AA42, $D$2:$D$100, 4) + COUNTIFS($L$2:$L$100, AA42, $D$2:$D$100, 4)</f>
        <v>0</v>
      </c>
      <c r="AF42">
        <f t="shared" ref="AF42:AF48" si="68">AB42+AC42+AD42+AE42</f>
        <v>13</v>
      </c>
      <c r="AG42">
        <f t="shared" ref="AG42:AG48" si="69">COUNTIF($L$2:$L$100, AA42)</f>
        <v>7</v>
      </c>
      <c r="AH42">
        <f t="shared" ref="AH42:AH48" si="70">COUNTIF($K$2:$K$100, AA42)</f>
        <v>6</v>
      </c>
      <c r="AI42">
        <f t="shared" ref="AI42:AI48" si="71">AK42+AM42</f>
        <v>6</v>
      </c>
      <c r="AJ42">
        <f t="shared" ref="AJ42:AJ48" si="72">AF42-AI42</f>
        <v>7</v>
      </c>
      <c r="AK42">
        <f t="shared" ref="AK42:AK48" si="73">SUMPRODUCT(($L$2:$L$100=AA42)*($P$2:$P$100&gt;$O$2:$O$100))</f>
        <v>2</v>
      </c>
      <c r="AL42">
        <f t="shared" ref="AL42:AL48" si="74">SUMPRODUCT(($L$2:$L$100=AA23)*($P$2:$P$100&lt;$O$2:$O$100))</f>
        <v>5</v>
      </c>
      <c r="AM42">
        <f t="shared" ref="AM42:AM48" si="75">SUMPRODUCT(($K$2:$K$100=AA42)*($P$2:$P$100&lt;$O$2:$O$100))</f>
        <v>4</v>
      </c>
      <c r="AN42">
        <f t="shared" ref="AN42:AN48" si="76">SUMPRODUCT(($K$2:$K$100=AA42)*($P$2:$P$100&gt;$O$2:$O$100))</f>
        <v>2</v>
      </c>
      <c r="AO42">
        <f t="shared" ref="AO42:AO48" si="77">COUNTIFS($L$2:$L$100,AA42,$D$2:$D$100,2)</f>
        <v>3</v>
      </c>
      <c r="AP42">
        <f t="shared" ref="AP42:AP48" si="78">COUNTIFS($K$2:$K$100,AA42,$D$2:$D$100,2)</f>
        <v>3</v>
      </c>
      <c r="AQ42">
        <f t="shared" ref="AQ42:AQ48" si="79">SUMIFS($P$2:$P$100, $L$2:$L$100, AA42,$D$2:$D$100, 2)</f>
        <v>5</v>
      </c>
      <c r="AR42">
        <f t="shared" ref="AR42:AR48" si="80">SUMIFS($O$2:$O$100, $K$2:$K$100, AA42,$D$2:$D$100, 2)</f>
        <v>8</v>
      </c>
      <c r="AS42">
        <f t="shared" ref="AS42:AS48" si="81">SUMIFS($O$2:$O$100, $L$2:$L$100, AA42,$D$2:$D$100, 2)</f>
        <v>11</v>
      </c>
      <c r="AT42">
        <f t="shared" ref="AT42:AT48" si="82">SUMIFS($P$2:$P$100, $K$2:$K$100, AA42,$D$2:$D$100, 2)</f>
        <v>8</v>
      </c>
      <c r="AU42">
        <f t="shared" ref="AU42:AU48" si="83">AQ42-AS42</f>
        <v>-6</v>
      </c>
      <c r="AV42">
        <f t="shared" ref="AV42:AV48" si="84">AR42-AT42</f>
        <v>0</v>
      </c>
      <c r="AW42">
        <f t="shared" ref="AW42:AW48" si="85">AQ42+AR42</f>
        <v>13</v>
      </c>
      <c r="AX42">
        <f t="shared" ref="AX42:AX48" si="86">AS42+AT42</f>
        <v>19</v>
      </c>
      <c r="AY42">
        <f t="shared" ref="AY42:AY48" si="87">(AQ42+AR42)-(AS42+AT42)</f>
        <v>-6</v>
      </c>
      <c r="AZ42">
        <f t="shared" ref="AZ42:AZ48" si="88">AQ42/AO42</f>
        <v>1.6666666666666667</v>
      </c>
      <c r="BA42">
        <f t="shared" ref="BA42:BA48" si="89">AR42/AP42</f>
        <v>2.6666666666666665</v>
      </c>
      <c r="BB42">
        <f t="shared" ref="BB42:BB48" si="90">AS42/AO42</f>
        <v>3.6666666666666665</v>
      </c>
      <c r="BC42">
        <f t="shared" ref="BC42:BC48" si="91">AT42/AP42</f>
        <v>2.6666666666666665</v>
      </c>
      <c r="BD42">
        <f t="shared" ref="BD42:BD48" si="92">AW42/AB42</f>
        <v>1.8571428571428572</v>
      </c>
      <c r="BE42">
        <f t="shared" ref="BE42:BE48" si="93">AX42/AB42</f>
        <v>2.7142857142857144</v>
      </c>
    </row>
    <row r="43" spans="1:83" x14ac:dyDescent="0.25">
      <c r="A43" s="11" t="str">
        <f t="shared" si="2"/>
        <v>Friday</v>
      </c>
      <c r="B43" s="15">
        <v>45415</v>
      </c>
      <c r="C43" s="16" t="s">
        <v>33</v>
      </c>
      <c r="D43" s="17">
        <v>1</v>
      </c>
      <c r="E43" s="16" t="s">
        <v>45</v>
      </c>
      <c r="F43" s="17">
        <v>6</v>
      </c>
      <c r="G43" s="17" t="s">
        <v>19</v>
      </c>
      <c r="H43" s="17" t="s">
        <v>18</v>
      </c>
      <c r="I43" s="17">
        <v>3</v>
      </c>
      <c r="J43" s="17">
        <v>3</v>
      </c>
      <c r="K43" s="16" t="s">
        <v>19</v>
      </c>
      <c r="L43" s="16" t="s">
        <v>18</v>
      </c>
      <c r="M43" s="16" t="s">
        <v>19</v>
      </c>
      <c r="N43" s="15">
        <v>45414</v>
      </c>
      <c r="O43" s="16">
        <v>0</v>
      </c>
      <c r="P43" s="16">
        <v>2</v>
      </c>
      <c r="Q43" s="16">
        <v>0</v>
      </c>
      <c r="R43" s="16">
        <f t="shared" si="63"/>
        <v>0</v>
      </c>
      <c r="S43" s="2" t="str">
        <f t="shared" si="62"/>
        <v>VGK</v>
      </c>
      <c r="AA43" t="s">
        <v>13</v>
      </c>
      <c r="AB43">
        <f t="shared" si="64"/>
        <v>4</v>
      </c>
      <c r="AC43">
        <f t="shared" si="65"/>
        <v>6</v>
      </c>
      <c r="AD43">
        <f t="shared" si="66"/>
        <v>6</v>
      </c>
      <c r="AE43">
        <f t="shared" si="67"/>
        <v>0</v>
      </c>
      <c r="AF43">
        <f t="shared" si="68"/>
        <v>16</v>
      </c>
      <c r="AG43">
        <f t="shared" si="69"/>
        <v>8</v>
      </c>
      <c r="AH43">
        <f t="shared" si="70"/>
        <v>8</v>
      </c>
      <c r="AI43">
        <f t="shared" si="71"/>
        <v>10</v>
      </c>
      <c r="AJ43">
        <f t="shared" si="72"/>
        <v>6</v>
      </c>
      <c r="AK43">
        <f t="shared" si="73"/>
        <v>5</v>
      </c>
      <c r="AL43">
        <f t="shared" si="74"/>
        <v>2</v>
      </c>
      <c r="AM43">
        <f t="shared" si="75"/>
        <v>5</v>
      </c>
      <c r="AN43">
        <f t="shared" si="76"/>
        <v>3</v>
      </c>
      <c r="AO43">
        <f t="shared" si="77"/>
        <v>3</v>
      </c>
      <c r="AP43">
        <f t="shared" si="78"/>
        <v>3</v>
      </c>
      <c r="AQ43">
        <f t="shared" si="79"/>
        <v>9</v>
      </c>
      <c r="AR43">
        <f t="shared" si="80"/>
        <v>11</v>
      </c>
      <c r="AS43">
        <f t="shared" si="81"/>
        <v>10</v>
      </c>
      <c r="AT43">
        <f t="shared" si="82"/>
        <v>9</v>
      </c>
      <c r="AU43">
        <f t="shared" si="83"/>
        <v>-1</v>
      </c>
      <c r="AV43">
        <f t="shared" si="84"/>
        <v>2</v>
      </c>
      <c r="AW43">
        <f t="shared" si="85"/>
        <v>20</v>
      </c>
      <c r="AX43">
        <f t="shared" si="86"/>
        <v>19</v>
      </c>
      <c r="AY43">
        <f t="shared" si="87"/>
        <v>1</v>
      </c>
      <c r="AZ43">
        <f t="shared" si="88"/>
        <v>3</v>
      </c>
      <c r="BA43">
        <f t="shared" si="89"/>
        <v>3.6666666666666665</v>
      </c>
      <c r="BB43">
        <f t="shared" si="90"/>
        <v>3.3333333333333335</v>
      </c>
      <c r="BC43">
        <f t="shared" si="91"/>
        <v>3</v>
      </c>
      <c r="BD43">
        <f t="shared" si="92"/>
        <v>5</v>
      </c>
      <c r="BE43">
        <f t="shared" si="93"/>
        <v>4.75</v>
      </c>
    </row>
    <row r="44" spans="1:83" x14ac:dyDescent="0.25">
      <c r="A44" s="11" t="str">
        <f t="shared" si="2"/>
        <v>Saturday</v>
      </c>
      <c r="B44" s="20">
        <v>45416</v>
      </c>
      <c r="C44" s="18" t="s">
        <v>32</v>
      </c>
      <c r="D44" s="19">
        <v>1</v>
      </c>
      <c r="E44" s="18" t="s">
        <v>39</v>
      </c>
      <c r="F44" s="19">
        <v>7</v>
      </c>
      <c r="G44" s="19" t="s">
        <v>3</v>
      </c>
      <c r="H44" s="19" t="s">
        <v>2</v>
      </c>
      <c r="I44" s="19">
        <v>4</v>
      </c>
      <c r="J44" s="19">
        <v>3</v>
      </c>
      <c r="K44" s="18" t="s">
        <v>2</v>
      </c>
      <c r="L44" s="18" t="s">
        <v>3</v>
      </c>
      <c r="M44" s="18" t="s">
        <v>2</v>
      </c>
      <c r="N44" s="20">
        <v>45414</v>
      </c>
      <c r="O44" s="18">
        <v>1</v>
      </c>
      <c r="P44" s="18">
        <v>2</v>
      </c>
      <c r="Q44" s="18">
        <v>1</v>
      </c>
      <c r="R44" s="18">
        <f t="shared" si="63"/>
        <v>0</v>
      </c>
      <c r="S44" s="2" t="str">
        <f t="shared" si="62"/>
        <v>BOS</v>
      </c>
      <c r="AA44" t="s">
        <v>1</v>
      </c>
      <c r="AB44">
        <f t="shared" si="64"/>
        <v>5</v>
      </c>
      <c r="AC44">
        <f t="shared" si="65"/>
        <v>6</v>
      </c>
      <c r="AD44">
        <f t="shared" si="66"/>
        <v>0</v>
      </c>
      <c r="AE44">
        <f t="shared" si="67"/>
        <v>0</v>
      </c>
      <c r="AF44">
        <f t="shared" si="68"/>
        <v>11</v>
      </c>
      <c r="AG44">
        <f t="shared" si="69"/>
        <v>6</v>
      </c>
      <c r="AH44">
        <f t="shared" si="70"/>
        <v>5</v>
      </c>
      <c r="AI44">
        <f t="shared" si="71"/>
        <v>6</v>
      </c>
      <c r="AJ44">
        <f t="shared" si="72"/>
        <v>5</v>
      </c>
      <c r="AK44">
        <f t="shared" si="73"/>
        <v>4</v>
      </c>
      <c r="AL44">
        <f t="shared" si="74"/>
        <v>1</v>
      </c>
      <c r="AM44">
        <f t="shared" si="75"/>
        <v>2</v>
      </c>
      <c r="AN44">
        <f t="shared" si="76"/>
        <v>3</v>
      </c>
      <c r="AO44">
        <f t="shared" si="77"/>
        <v>3</v>
      </c>
      <c r="AP44">
        <f t="shared" si="78"/>
        <v>3</v>
      </c>
      <c r="AQ44">
        <f t="shared" si="79"/>
        <v>9</v>
      </c>
      <c r="AR44">
        <f t="shared" si="80"/>
        <v>10</v>
      </c>
      <c r="AS44">
        <f t="shared" si="81"/>
        <v>11</v>
      </c>
      <c r="AT44">
        <f t="shared" si="82"/>
        <v>9</v>
      </c>
      <c r="AU44">
        <f t="shared" si="83"/>
        <v>-2</v>
      </c>
      <c r="AV44">
        <f t="shared" si="84"/>
        <v>1</v>
      </c>
      <c r="AW44">
        <f t="shared" si="85"/>
        <v>19</v>
      </c>
      <c r="AX44">
        <f t="shared" si="86"/>
        <v>20</v>
      </c>
      <c r="AY44">
        <f t="shared" si="87"/>
        <v>-1</v>
      </c>
      <c r="AZ44">
        <f t="shared" si="88"/>
        <v>3</v>
      </c>
      <c r="BA44">
        <f t="shared" si="89"/>
        <v>3.3333333333333335</v>
      </c>
      <c r="BB44">
        <f t="shared" si="90"/>
        <v>3.6666666666666665</v>
      </c>
      <c r="BC44">
        <f t="shared" si="91"/>
        <v>3</v>
      </c>
      <c r="BD44">
        <f t="shared" si="92"/>
        <v>3.8</v>
      </c>
      <c r="BE44">
        <f t="shared" si="93"/>
        <v>4</v>
      </c>
    </row>
    <row r="45" spans="1:83" ht="15.75" thickBot="1" x14ac:dyDescent="0.3">
      <c r="A45" s="42" t="str">
        <f t="shared" si="2"/>
        <v>Sunday</v>
      </c>
      <c r="B45" s="23">
        <v>45417</v>
      </c>
      <c r="C45" s="24" t="s">
        <v>33</v>
      </c>
      <c r="D45" s="25">
        <v>1</v>
      </c>
      <c r="E45" s="24" t="s">
        <v>45</v>
      </c>
      <c r="F45" s="25">
        <v>7</v>
      </c>
      <c r="G45" s="25" t="s">
        <v>19</v>
      </c>
      <c r="H45" s="25" t="s">
        <v>18</v>
      </c>
      <c r="I45" s="25">
        <v>4</v>
      </c>
      <c r="J45" s="25">
        <v>3</v>
      </c>
      <c r="K45" s="24" t="s">
        <v>18</v>
      </c>
      <c r="L45" s="24" t="s">
        <v>19</v>
      </c>
      <c r="M45" s="24" t="s">
        <v>19</v>
      </c>
      <c r="N45" s="23">
        <v>45414</v>
      </c>
      <c r="O45" s="24">
        <v>1</v>
      </c>
      <c r="P45" s="24">
        <v>2</v>
      </c>
      <c r="Q45" s="24">
        <v>0</v>
      </c>
      <c r="R45" s="24">
        <f t="shared" si="63"/>
        <v>1</v>
      </c>
      <c r="S45" s="2" t="str">
        <f t="shared" si="62"/>
        <v>DAL</v>
      </c>
      <c r="AA45" t="s">
        <v>17</v>
      </c>
      <c r="AB45">
        <f t="shared" si="64"/>
        <v>6</v>
      </c>
      <c r="AC45">
        <f t="shared" si="65"/>
        <v>7</v>
      </c>
      <c r="AD45">
        <f t="shared" si="66"/>
        <v>0</v>
      </c>
      <c r="AE45">
        <f t="shared" si="67"/>
        <v>0</v>
      </c>
      <c r="AF45">
        <f t="shared" si="68"/>
        <v>13</v>
      </c>
      <c r="AG45">
        <f t="shared" si="69"/>
        <v>7</v>
      </c>
      <c r="AH45">
        <f t="shared" si="70"/>
        <v>6</v>
      </c>
      <c r="AI45">
        <f t="shared" si="71"/>
        <v>7</v>
      </c>
      <c r="AJ45">
        <f t="shared" si="72"/>
        <v>6</v>
      </c>
      <c r="AK45">
        <f t="shared" si="73"/>
        <v>3</v>
      </c>
      <c r="AL45">
        <f t="shared" si="74"/>
        <v>3</v>
      </c>
      <c r="AM45">
        <f t="shared" si="75"/>
        <v>4</v>
      </c>
      <c r="AN45">
        <f t="shared" si="76"/>
        <v>2</v>
      </c>
      <c r="AO45">
        <f t="shared" si="77"/>
        <v>4</v>
      </c>
      <c r="AP45">
        <f t="shared" si="78"/>
        <v>3</v>
      </c>
      <c r="AQ45">
        <f t="shared" si="79"/>
        <v>13</v>
      </c>
      <c r="AR45">
        <f t="shared" si="80"/>
        <v>7</v>
      </c>
      <c r="AS45">
        <f t="shared" si="81"/>
        <v>13</v>
      </c>
      <c r="AT45">
        <f t="shared" si="82"/>
        <v>11</v>
      </c>
      <c r="AU45">
        <f t="shared" si="83"/>
        <v>0</v>
      </c>
      <c r="AV45">
        <f t="shared" si="84"/>
        <v>-4</v>
      </c>
      <c r="AW45">
        <f t="shared" si="85"/>
        <v>20</v>
      </c>
      <c r="AX45">
        <f t="shared" si="86"/>
        <v>24</v>
      </c>
      <c r="AY45">
        <f t="shared" si="87"/>
        <v>-4</v>
      </c>
      <c r="AZ45">
        <f t="shared" si="88"/>
        <v>3.25</v>
      </c>
      <c r="BA45">
        <f t="shared" si="89"/>
        <v>2.3333333333333335</v>
      </c>
      <c r="BB45">
        <f t="shared" si="90"/>
        <v>3.25</v>
      </c>
      <c r="BC45">
        <f t="shared" si="91"/>
        <v>3.6666666666666665</v>
      </c>
      <c r="BD45">
        <f t="shared" si="92"/>
        <v>3.3333333333333335</v>
      </c>
      <c r="BE45">
        <f t="shared" si="93"/>
        <v>4</v>
      </c>
    </row>
    <row r="46" spans="1:83" ht="15.75" thickTop="1" x14ac:dyDescent="0.25">
      <c r="A46" s="11" t="str">
        <f t="shared" si="2"/>
        <v>Sunday</v>
      </c>
      <c r="B46" s="15">
        <v>45417</v>
      </c>
      <c r="C46" s="16" t="s">
        <v>32</v>
      </c>
      <c r="D46" s="17">
        <v>2</v>
      </c>
      <c r="E46" s="16" t="s">
        <v>58</v>
      </c>
      <c r="F46" s="17">
        <v>1</v>
      </c>
      <c r="G46" s="17" t="s">
        <v>13</v>
      </c>
      <c r="H46" s="17" t="s">
        <v>1</v>
      </c>
      <c r="I46" s="17">
        <v>1</v>
      </c>
      <c r="J46" s="17">
        <v>0</v>
      </c>
      <c r="K46" s="16" t="s">
        <v>1</v>
      </c>
      <c r="L46" s="16" t="s">
        <v>13</v>
      </c>
      <c r="M46" s="16" t="s">
        <v>13</v>
      </c>
      <c r="N46" s="15">
        <v>45415</v>
      </c>
      <c r="O46" s="16">
        <v>3</v>
      </c>
      <c r="P46" s="16">
        <v>4</v>
      </c>
      <c r="Q46" s="16">
        <v>0</v>
      </c>
      <c r="R46" s="16">
        <f t="shared" si="63"/>
        <v>1</v>
      </c>
      <c r="S46" s="2" t="str">
        <f t="shared" si="62"/>
        <v>NYR</v>
      </c>
      <c r="AA46" t="s">
        <v>21</v>
      </c>
      <c r="AB46">
        <f t="shared" si="64"/>
        <v>5</v>
      </c>
      <c r="AC46">
        <f t="shared" si="65"/>
        <v>7</v>
      </c>
      <c r="AD46">
        <f t="shared" si="66"/>
        <v>6</v>
      </c>
      <c r="AE46">
        <f t="shared" si="67"/>
        <v>7</v>
      </c>
      <c r="AF46">
        <f t="shared" si="68"/>
        <v>25</v>
      </c>
      <c r="AG46">
        <f t="shared" si="69"/>
        <v>12</v>
      </c>
      <c r="AH46">
        <f t="shared" si="70"/>
        <v>13</v>
      </c>
      <c r="AI46">
        <f t="shared" si="71"/>
        <v>14</v>
      </c>
      <c r="AJ46">
        <f t="shared" si="72"/>
        <v>11</v>
      </c>
      <c r="AK46">
        <f t="shared" si="73"/>
        <v>8</v>
      </c>
      <c r="AL46">
        <f t="shared" si="74"/>
        <v>2</v>
      </c>
      <c r="AM46">
        <f t="shared" si="75"/>
        <v>6</v>
      </c>
      <c r="AN46">
        <f t="shared" si="76"/>
        <v>7</v>
      </c>
      <c r="AO46">
        <f t="shared" si="77"/>
        <v>3</v>
      </c>
      <c r="AP46">
        <f t="shared" si="78"/>
        <v>4</v>
      </c>
      <c r="AQ46">
        <f t="shared" si="79"/>
        <v>11</v>
      </c>
      <c r="AR46">
        <f t="shared" si="80"/>
        <v>13</v>
      </c>
      <c r="AS46">
        <f t="shared" si="81"/>
        <v>7</v>
      </c>
      <c r="AT46">
        <f t="shared" si="82"/>
        <v>13</v>
      </c>
      <c r="AU46">
        <f t="shared" si="83"/>
        <v>4</v>
      </c>
      <c r="AV46">
        <f t="shared" si="84"/>
        <v>0</v>
      </c>
      <c r="AW46">
        <f t="shared" si="85"/>
        <v>24</v>
      </c>
      <c r="AX46">
        <f t="shared" si="86"/>
        <v>20</v>
      </c>
      <c r="AY46">
        <f t="shared" si="87"/>
        <v>4</v>
      </c>
      <c r="AZ46">
        <f t="shared" si="88"/>
        <v>3.6666666666666665</v>
      </c>
      <c r="BA46">
        <f t="shared" si="89"/>
        <v>3.25</v>
      </c>
      <c r="BB46">
        <f t="shared" si="90"/>
        <v>2.3333333333333335</v>
      </c>
      <c r="BC46">
        <f t="shared" si="91"/>
        <v>3.25</v>
      </c>
      <c r="BD46">
        <f t="shared" si="92"/>
        <v>4.8</v>
      </c>
      <c r="BE46">
        <f t="shared" si="93"/>
        <v>4</v>
      </c>
    </row>
    <row r="47" spans="1:83" x14ac:dyDescent="0.25">
      <c r="A47" s="11" t="str">
        <f t="shared" si="2"/>
        <v>Monday</v>
      </c>
      <c r="B47" s="20">
        <v>45418</v>
      </c>
      <c r="C47" s="18" t="s">
        <v>32</v>
      </c>
      <c r="D47" s="19">
        <v>2</v>
      </c>
      <c r="E47" s="18" t="s">
        <v>59</v>
      </c>
      <c r="F47" s="19">
        <v>1</v>
      </c>
      <c r="G47" s="19" t="s">
        <v>11</v>
      </c>
      <c r="H47" s="19" t="s">
        <v>3</v>
      </c>
      <c r="I47" s="19">
        <v>0</v>
      </c>
      <c r="J47" s="19">
        <v>1</v>
      </c>
      <c r="K47" s="18" t="s">
        <v>3</v>
      </c>
      <c r="L47" s="18" t="s">
        <v>11</v>
      </c>
      <c r="M47" s="18" t="s">
        <v>11</v>
      </c>
      <c r="N47" s="20">
        <v>45417</v>
      </c>
      <c r="O47" s="18">
        <v>5</v>
      </c>
      <c r="P47" s="18">
        <v>1</v>
      </c>
      <c r="Q47" s="18">
        <v>0</v>
      </c>
      <c r="R47" s="18">
        <f t="shared" si="63"/>
        <v>0</v>
      </c>
      <c r="S47" s="2" t="str">
        <f t="shared" si="62"/>
        <v>BOS</v>
      </c>
      <c r="AA47" t="s">
        <v>19</v>
      </c>
      <c r="AB47">
        <f t="shared" si="64"/>
        <v>7</v>
      </c>
      <c r="AC47">
        <f t="shared" si="65"/>
        <v>6</v>
      </c>
      <c r="AD47">
        <f t="shared" si="66"/>
        <v>6</v>
      </c>
      <c r="AE47">
        <f t="shared" si="67"/>
        <v>0</v>
      </c>
      <c r="AF47">
        <f t="shared" si="68"/>
        <v>19</v>
      </c>
      <c r="AG47">
        <f t="shared" si="69"/>
        <v>10</v>
      </c>
      <c r="AH47">
        <f t="shared" si="70"/>
        <v>9</v>
      </c>
      <c r="AI47">
        <f t="shared" si="71"/>
        <v>10</v>
      </c>
      <c r="AJ47">
        <f t="shared" si="72"/>
        <v>9</v>
      </c>
      <c r="AK47">
        <f t="shared" si="73"/>
        <v>4</v>
      </c>
      <c r="AL47">
        <f t="shared" si="74"/>
        <v>1</v>
      </c>
      <c r="AM47">
        <f t="shared" si="75"/>
        <v>6</v>
      </c>
      <c r="AN47">
        <f t="shared" si="76"/>
        <v>3</v>
      </c>
      <c r="AO47">
        <f t="shared" si="77"/>
        <v>3</v>
      </c>
      <c r="AP47">
        <f t="shared" si="78"/>
        <v>3</v>
      </c>
      <c r="AQ47">
        <f t="shared" si="79"/>
        <v>11</v>
      </c>
      <c r="AR47">
        <f t="shared" si="80"/>
        <v>11</v>
      </c>
      <c r="AS47">
        <f t="shared" si="81"/>
        <v>11</v>
      </c>
      <c r="AT47">
        <f t="shared" si="82"/>
        <v>3</v>
      </c>
      <c r="AU47">
        <f t="shared" si="83"/>
        <v>0</v>
      </c>
      <c r="AV47">
        <f t="shared" si="84"/>
        <v>8</v>
      </c>
      <c r="AW47">
        <f t="shared" si="85"/>
        <v>22</v>
      </c>
      <c r="AX47">
        <f t="shared" si="86"/>
        <v>14</v>
      </c>
      <c r="AY47">
        <f t="shared" si="87"/>
        <v>8</v>
      </c>
      <c r="AZ47">
        <f t="shared" si="88"/>
        <v>3.6666666666666665</v>
      </c>
      <c r="BA47">
        <f t="shared" si="89"/>
        <v>3.6666666666666665</v>
      </c>
      <c r="BB47">
        <f t="shared" si="90"/>
        <v>3.6666666666666665</v>
      </c>
      <c r="BC47">
        <f t="shared" si="91"/>
        <v>1</v>
      </c>
      <c r="BD47">
        <f t="shared" si="92"/>
        <v>3.1428571428571428</v>
      </c>
      <c r="BE47">
        <f t="shared" si="93"/>
        <v>2</v>
      </c>
    </row>
    <row r="48" spans="1:83" x14ac:dyDescent="0.25">
      <c r="A48" t="str">
        <f t="shared" si="2"/>
        <v>Tuesday</v>
      </c>
      <c r="B48" s="3">
        <v>45419</v>
      </c>
      <c r="C48" s="2" t="s">
        <v>32</v>
      </c>
      <c r="D48" s="4">
        <v>2</v>
      </c>
      <c r="E48" s="2" t="s">
        <v>58</v>
      </c>
      <c r="F48" s="4">
        <v>2</v>
      </c>
      <c r="G48" s="4" t="s">
        <v>13</v>
      </c>
      <c r="H48" s="4" t="s">
        <v>1</v>
      </c>
      <c r="I48" s="4">
        <v>2</v>
      </c>
      <c r="J48" s="4">
        <v>0</v>
      </c>
      <c r="K48" s="2" t="s">
        <v>1</v>
      </c>
      <c r="L48" s="2" t="s">
        <v>13</v>
      </c>
      <c r="M48" s="2" t="s">
        <v>1</v>
      </c>
      <c r="N48" s="3">
        <v>45417</v>
      </c>
      <c r="O48" s="2">
        <v>3</v>
      </c>
      <c r="P48" s="2">
        <v>4</v>
      </c>
      <c r="Q48" s="2">
        <v>2</v>
      </c>
      <c r="R48" s="2">
        <f t="shared" si="63"/>
        <v>0</v>
      </c>
      <c r="S48" s="2" t="str">
        <f t="shared" si="62"/>
        <v>NYR</v>
      </c>
      <c r="AA48" t="s">
        <v>14</v>
      </c>
      <c r="AB48">
        <f t="shared" si="64"/>
        <v>5</v>
      </c>
      <c r="AC48">
        <f t="shared" si="65"/>
        <v>6</v>
      </c>
      <c r="AD48">
        <f t="shared" si="66"/>
        <v>0</v>
      </c>
      <c r="AE48">
        <f t="shared" si="67"/>
        <v>0</v>
      </c>
      <c r="AF48">
        <f t="shared" si="68"/>
        <v>11</v>
      </c>
      <c r="AG48">
        <f t="shared" si="69"/>
        <v>5</v>
      </c>
      <c r="AH48">
        <f t="shared" si="70"/>
        <v>6</v>
      </c>
      <c r="AI48">
        <f t="shared" si="71"/>
        <v>6</v>
      </c>
      <c r="AJ48">
        <f t="shared" si="72"/>
        <v>5</v>
      </c>
      <c r="AK48">
        <f t="shared" si="73"/>
        <v>2</v>
      </c>
      <c r="AL48">
        <f t="shared" si="74"/>
        <v>2</v>
      </c>
      <c r="AM48">
        <f t="shared" si="75"/>
        <v>4</v>
      </c>
      <c r="AN48">
        <f t="shared" si="76"/>
        <v>2</v>
      </c>
      <c r="AO48">
        <f t="shared" si="77"/>
        <v>3</v>
      </c>
      <c r="AP48">
        <f t="shared" si="78"/>
        <v>3</v>
      </c>
      <c r="AQ48">
        <f t="shared" si="79"/>
        <v>3</v>
      </c>
      <c r="AR48">
        <f t="shared" si="80"/>
        <v>11</v>
      </c>
      <c r="AS48">
        <f t="shared" si="81"/>
        <v>11</v>
      </c>
      <c r="AT48">
        <f t="shared" si="82"/>
        <v>11</v>
      </c>
      <c r="AU48">
        <f t="shared" si="83"/>
        <v>-8</v>
      </c>
      <c r="AV48">
        <f t="shared" si="84"/>
        <v>0</v>
      </c>
      <c r="AW48">
        <f t="shared" si="85"/>
        <v>14</v>
      </c>
      <c r="AX48">
        <f t="shared" si="86"/>
        <v>22</v>
      </c>
      <c r="AY48">
        <f t="shared" si="87"/>
        <v>-8</v>
      </c>
      <c r="AZ48">
        <f t="shared" si="88"/>
        <v>1</v>
      </c>
      <c r="BA48">
        <f t="shared" si="89"/>
        <v>3.6666666666666665</v>
      </c>
      <c r="BB48">
        <f t="shared" si="90"/>
        <v>3.6666666666666665</v>
      </c>
      <c r="BC48">
        <f t="shared" si="91"/>
        <v>3.6666666666666665</v>
      </c>
      <c r="BD48">
        <f t="shared" si="92"/>
        <v>2.8</v>
      </c>
      <c r="BE48">
        <f t="shared" si="93"/>
        <v>4.4000000000000004</v>
      </c>
    </row>
    <row r="49" spans="1:57" x14ac:dyDescent="0.25">
      <c r="A49" s="11" t="str">
        <f t="shared" si="2"/>
        <v>Tuesday</v>
      </c>
      <c r="B49" s="15">
        <v>45419</v>
      </c>
      <c r="C49" s="16" t="s">
        <v>33</v>
      </c>
      <c r="D49" s="17">
        <v>2</v>
      </c>
      <c r="E49" s="16" t="s">
        <v>60</v>
      </c>
      <c r="F49" s="17">
        <v>1</v>
      </c>
      <c r="G49" s="17" t="s">
        <v>19</v>
      </c>
      <c r="H49" s="17" t="s">
        <v>14</v>
      </c>
      <c r="I49" s="17">
        <v>0</v>
      </c>
      <c r="J49" s="17">
        <v>1</v>
      </c>
      <c r="K49" s="16" t="s">
        <v>14</v>
      </c>
      <c r="L49" s="16" t="s">
        <v>19</v>
      </c>
      <c r="M49" s="16" t="s">
        <v>14</v>
      </c>
      <c r="N49" s="15">
        <v>45419</v>
      </c>
      <c r="O49" s="16">
        <v>4</v>
      </c>
      <c r="P49" s="16">
        <v>3</v>
      </c>
      <c r="Q49" s="16">
        <v>1</v>
      </c>
      <c r="R49" s="16">
        <f t="shared" si="63"/>
        <v>1</v>
      </c>
      <c r="S49" s="2" t="str">
        <f t="shared" si="62"/>
        <v>COL</v>
      </c>
    </row>
    <row r="50" spans="1:57" x14ac:dyDescent="0.25">
      <c r="A50" t="str">
        <f t="shared" si="2"/>
        <v>Wednesday</v>
      </c>
      <c r="B50" s="3">
        <v>45420</v>
      </c>
      <c r="C50" s="2" t="s">
        <v>33</v>
      </c>
      <c r="D50" s="4">
        <v>2</v>
      </c>
      <c r="E50" s="2" t="s">
        <v>64</v>
      </c>
      <c r="F50" s="4">
        <v>1</v>
      </c>
      <c r="G50" s="4" t="s">
        <v>17</v>
      </c>
      <c r="H50" s="4" t="s">
        <v>21</v>
      </c>
      <c r="I50" s="4">
        <v>1</v>
      </c>
      <c r="J50" s="4">
        <v>0</v>
      </c>
      <c r="K50" s="2" t="s">
        <v>21</v>
      </c>
      <c r="L50" s="2" t="s">
        <v>17</v>
      </c>
      <c r="M50" s="2" t="s">
        <v>17</v>
      </c>
      <c r="N50" s="3">
        <v>45419</v>
      </c>
      <c r="O50" s="2">
        <v>4</v>
      </c>
      <c r="P50" s="2">
        <v>5</v>
      </c>
      <c r="Q50" s="2">
        <v>0</v>
      </c>
      <c r="R50" s="2">
        <f>IF($O50=$P50, 0, IF($K50=$M50, IF($O50&gt;$P50, 1, 0), IF($P50&gt;$O50, 1, 0)))</f>
        <v>1</v>
      </c>
      <c r="S50" s="2" t="str">
        <f t="shared" si="62"/>
        <v>VAN</v>
      </c>
    </row>
    <row r="51" spans="1:57" x14ac:dyDescent="0.25">
      <c r="A51" s="11" t="str">
        <f t="shared" si="2"/>
        <v>Wednesday</v>
      </c>
      <c r="B51" s="15">
        <v>45420</v>
      </c>
      <c r="C51" s="16" t="s">
        <v>32</v>
      </c>
      <c r="D51" s="17">
        <v>2</v>
      </c>
      <c r="E51" s="16" t="s">
        <v>59</v>
      </c>
      <c r="F51" s="17">
        <v>2</v>
      </c>
      <c r="G51" s="17" t="s">
        <v>11</v>
      </c>
      <c r="H51" s="17" t="s">
        <v>3</v>
      </c>
      <c r="I51" s="17">
        <v>1</v>
      </c>
      <c r="J51" s="17">
        <v>1</v>
      </c>
      <c r="K51" s="16" t="s">
        <v>3</v>
      </c>
      <c r="L51" s="16" t="s">
        <v>11</v>
      </c>
      <c r="M51" s="16" t="s">
        <v>11</v>
      </c>
      <c r="N51" s="15">
        <v>45419</v>
      </c>
      <c r="O51" s="16">
        <v>1</v>
      </c>
      <c r="P51" s="16">
        <v>6</v>
      </c>
      <c r="Q51" s="16">
        <v>0</v>
      </c>
      <c r="R51" s="16">
        <f>IF($O51=$P51, 0, IF($K51=$M51, IF($O51&gt;$P51, 1, 0), IF($P51&gt;$O51, 1, 0)))</f>
        <v>1</v>
      </c>
      <c r="S51" s="2" t="str">
        <f t="shared" si="62"/>
        <v>FLA</v>
      </c>
      <c r="AA51" s="11"/>
      <c r="AB51" s="11" t="s">
        <v>67</v>
      </c>
      <c r="AC51" s="11" t="s">
        <v>68</v>
      </c>
      <c r="AD51" s="11" t="s">
        <v>69</v>
      </c>
      <c r="AE51" s="11" t="s">
        <v>70</v>
      </c>
      <c r="AF51" s="11" t="s">
        <v>71</v>
      </c>
      <c r="AG51" s="11" t="s">
        <v>95</v>
      </c>
      <c r="AH51" s="11" t="s">
        <v>96</v>
      </c>
      <c r="AI51" s="11" t="s">
        <v>89</v>
      </c>
      <c r="AJ51" s="11" t="s">
        <v>90</v>
      </c>
      <c r="AK51" s="11" t="s">
        <v>91</v>
      </c>
      <c r="AL51" s="11" t="s">
        <v>92</v>
      </c>
      <c r="AM51" s="11" t="s">
        <v>93</v>
      </c>
      <c r="AN51" s="11" t="s">
        <v>94</v>
      </c>
      <c r="AO51" s="11" t="s">
        <v>130</v>
      </c>
      <c r="AP51" s="11" t="s">
        <v>129</v>
      </c>
      <c r="AQ51" s="11" t="s">
        <v>128</v>
      </c>
      <c r="AR51" s="11" t="s">
        <v>127</v>
      </c>
      <c r="AS51" s="11" t="s">
        <v>126</v>
      </c>
      <c r="AT51" s="11" t="s">
        <v>125</v>
      </c>
      <c r="AU51" s="11" t="s">
        <v>124</v>
      </c>
      <c r="AV51" s="11" t="s">
        <v>123</v>
      </c>
      <c r="AW51" s="11" t="s">
        <v>122</v>
      </c>
      <c r="AX51" s="11" t="s">
        <v>121</v>
      </c>
      <c r="AY51" s="11" t="s">
        <v>120</v>
      </c>
      <c r="AZ51" s="11" t="s">
        <v>119</v>
      </c>
      <c r="BA51" s="11" t="s">
        <v>118</v>
      </c>
      <c r="BB51" s="11" t="s">
        <v>117</v>
      </c>
      <c r="BC51" s="11" t="s">
        <v>116</v>
      </c>
      <c r="BD51" s="11" t="s">
        <v>115</v>
      </c>
      <c r="BE51" s="11" t="s">
        <v>114</v>
      </c>
    </row>
    <row r="52" spans="1:57" x14ac:dyDescent="0.25">
      <c r="A52" t="str">
        <f t="shared" si="2"/>
        <v>Thursday</v>
      </c>
      <c r="B52" s="3">
        <v>45421</v>
      </c>
      <c r="C52" s="2" t="s">
        <v>32</v>
      </c>
      <c r="D52" s="4">
        <v>2</v>
      </c>
      <c r="E52" s="5" t="s">
        <v>58</v>
      </c>
      <c r="F52" s="4">
        <v>3</v>
      </c>
      <c r="G52" s="4" t="s">
        <v>13</v>
      </c>
      <c r="H52" s="4" t="s">
        <v>1</v>
      </c>
      <c r="I52" s="4">
        <v>3</v>
      </c>
      <c r="J52" s="4">
        <v>0</v>
      </c>
      <c r="K52" s="2" t="s">
        <v>13</v>
      </c>
      <c r="L52" s="2" t="s">
        <v>1</v>
      </c>
      <c r="M52" s="2" t="s">
        <v>1</v>
      </c>
      <c r="N52" s="3">
        <v>45421</v>
      </c>
      <c r="O52" s="2">
        <v>3</v>
      </c>
      <c r="P52" s="2">
        <v>2</v>
      </c>
      <c r="Q52" s="2">
        <v>1</v>
      </c>
      <c r="R52" s="2">
        <f t="shared" ref="R52:R89" si="94">IF($O52=$P52, 0, IF($K52=$M52, IF($O52&gt;$P52, 1, 0), IF($P52&gt;$O52, 1, 0)))</f>
        <v>0</v>
      </c>
      <c r="S52" s="2" t="str">
        <f t="shared" si="62"/>
        <v>NYR</v>
      </c>
      <c r="AA52" t="s">
        <v>11</v>
      </c>
      <c r="AB52">
        <f>COUNTIFS($K$2:$K$100, AA52, $D$2:$D$100, 1) + COUNTIFS($L$2:$L$100, AA52, $D$2:$D$100, 1)</f>
        <v>5</v>
      </c>
      <c r="AC52">
        <f>COUNTIFS($K$2:$K$100, AA52, $D$2:$D$100, 2) + COUNTIFS($L$2:$L$100, AA52, $D$2:$D$100, 2)</f>
        <v>6</v>
      </c>
      <c r="AD52">
        <f>COUNTIFS($K$2:$K$100, AA52, $D$2:$D$100, 3) + COUNTIFS($L$2:$L$100, AA52, $D$2:$D$100, 3)</f>
        <v>6</v>
      </c>
      <c r="AE52">
        <f>COUNTIFS($K$2:$K$100, AA52, $D$2:$D$100, 4) + COUNTIFS($L$2:$L$100, AA52, $D$2:$D$100, 4)</f>
        <v>7</v>
      </c>
      <c r="AF52">
        <f>AB52+AC52+AD52+AE52</f>
        <v>24</v>
      </c>
      <c r="AG52">
        <f>COUNTIF($L$2:$L$100, AA52)</f>
        <v>13</v>
      </c>
      <c r="AH52">
        <f>COUNTIF($K$2:$K$100, AA52)</f>
        <v>11</v>
      </c>
      <c r="AI52">
        <f>AK52+AM52</f>
        <v>16</v>
      </c>
      <c r="AJ52">
        <f>AF52-AI52</f>
        <v>8</v>
      </c>
      <c r="AK52">
        <f>SUMPRODUCT(($L$2:$L$100=AA52)*($P$2:$P$100&gt;$O$2:$O$100))</f>
        <v>9</v>
      </c>
      <c r="AL52">
        <f>SUMPRODUCT(($L$2:$L$100=AA52)*($P$2:$P$100&lt;$O$2:$O$100))</f>
        <v>4</v>
      </c>
      <c r="AM52">
        <f>SUMPRODUCT(($K$2:$K$100=AA52)*($P$2:$P$100&lt;$O$2:$O$100))</f>
        <v>7</v>
      </c>
      <c r="AN52">
        <f>SUMPRODUCT(($K$2:$K$100=AA52)*($P$2:$P$100&gt;$O$2:$O$100))</f>
        <v>4</v>
      </c>
      <c r="AO52">
        <f>COUNTIFS($L$2:$L$100,AA52,$D$2:$D$100,3)</f>
        <v>3</v>
      </c>
      <c r="AP52">
        <f>COUNTIFS($K$2:$K$100,AA52,$D$2:$D$100,3)</f>
        <v>3</v>
      </c>
      <c r="AQ52">
        <f>SUMIFS($P$2:$P$100, $L$2:$L$100, AA52,$D$2:$D$100, 3)</f>
        <v>9</v>
      </c>
      <c r="AR52">
        <f>SUMIFS($O$2:$O$100, $K$2:$K$100, AA52,$D$2:$D$100, 3)</f>
        <v>7</v>
      </c>
      <c r="AS52">
        <f>SUMIFS($O$2:$O$100, $L$2:$L$100, AA52,$D$2:$D$100, 3)</f>
        <v>8</v>
      </c>
      <c r="AT52">
        <f>SUMIFS($P$2:$P$100, $K$2:$K$100, AA52,$D$2:$D$100, 3)</f>
        <v>4</v>
      </c>
      <c r="AU52">
        <f t="shared" ref="AU52:AV52" si="95">AQ52-AS52</f>
        <v>1</v>
      </c>
      <c r="AV52">
        <f t="shared" si="95"/>
        <v>3</v>
      </c>
      <c r="AW52">
        <f>AQ52+AR52</f>
        <v>16</v>
      </c>
      <c r="AX52">
        <f>AS52+AT52</f>
        <v>12</v>
      </c>
      <c r="AY52">
        <f>(AQ52+AR52)-(AS52+AT52)</f>
        <v>4</v>
      </c>
      <c r="AZ52">
        <f t="shared" ref="AZ52:BA52" si="96">AQ52/AO52</f>
        <v>3</v>
      </c>
      <c r="BA52">
        <f t="shared" si="96"/>
        <v>2.3333333333333335</v>
      </c>
      <c r="BB52">
        <f t="shared" ref="BB52:BC52" si="97">AS52/AO52</f>
        <v>2.6666666666666665</v>
      </c>
      <c r="BC52">
        <f t="shared" si="97"/>
        <v>1.3333333333333333</v>
      </c>
      <c r="BD52">
        <f>AW52/AB52</f>
        <v>3.2</v>
      </c>
      <c r="BE52">
        <f>AX52/AB52</f>
        <v>2.4</v>
      </c>
    </row>
    <row r="53" spans="1:57" x14ac:dyDescent="0.25">
      <c r="A53" s="11" t="str">
        <f t="shared" si="2"/>
        <v>Thursday</v>
      </c>
      <c r="B53" s="15">
        <v>45421</v>
      </c>
      <c r="C53" s="16" t="s">
        <v>33</v>
      </c>
      <c r="D53" s="17">
        <v>2</v>
      </c>
      <c r="E53" s="22" t="s">
        <v>60</v>
      </c>
      <c r="F53" s="17">
        <v>2</v>
      </c>
      <c r="G53" s="17" t="s">
        <v>19</v>
      </c>
      <c r="H53" s="17" t="s">
        <v>14</v>
      </c>
      <c r="I53" s="17">
        <v>1</v>
      </c>
      <c r="J53" s="17">
        <v>1</v>
      </c>
      <c r="K53" s="16" t="s">
        <v>14</v>
      </c>
      <c r="L53" s="16" t="s">
        <v>19</v>
      </c>
      <c r="M53" s="16" t="s">
        <v>19</v>
      </c>
      <c r="N53" s="15">
        <v>45421</v>
      </c>
      <c r="O53" s="16">
        <v>3</v>
      </c>
      <c r="P53" s="16">
        <v>5</v>
      </c>
      <c r="Q53" s="16">
        <v>0</v>
      </c>
      <c r="R53" s="16">
        <f t="shared" si="94"/>
        <v>1</v>
      </c>
      <c r="S53" s="2" t="str">
        <f t="shared" si="62"/>
        <v>DAL</v>
      </c>
      <c r="AA53" t="s">
        <v>13</v>
      </c>
      <c r="AB53">
        <f t="shared" ref="AB53:AB55" si="98">COUNTIFS($K$2:$K$100, AA53, $D$2:$D$100, 1) + COUNTIFS($L$2:$L$100, AA53, $D$2:$D$100, 1)</f>
        <v>4</v>
      </c>
      <c r="AC53">
        <f t="shared" ref="AC53:AC55" si="99">COUNTIFS($K$2:$K$100, AA53, $D$2:$D$100, 2) + COUNTIFS($L$2:$L$100, AA53, $D$2:$D$100, 2)</f>
        <v>6</v>
      </c>
      <c r="AD53">
        <f t="shared" ref="AD53:AD55" si="100">COUNTIFS($K$2:$K$100, AA53, $D$2:$D$100, 3) + COUNTIFS($L$2:$L$100, AA53, $D$2:$D$100, 3)</f>
        <v>6</v>
      </c>
      <c r="AE53">
        <f t="shared" ref="AE53:AE55" si="101">COUNTIFS($K$2:$K$100, AA53, $D$2:$D$100, 4) + COUNTIFS($L$2:$L$100, AA53, $D$2:$D$100, 4)</f>
        <v>0</v>
      </c>
      <c r="AF53">
        <f t="shared" ref="AF53:AF55" si="102">AB53+AC53+AD53+AE53</f>
        <v>16</v>
      </c>
      <c r="AG53">
        <f t="shared" ref="AG53:AG55" si="103">COUNTIF($L$2:$L$100, AA53)</f>
        <v>8</v>
      </c>
      <c r="AH53">
        <f t="shared" ref="AH53:AH55" si="104">COUNTIF($K$2:$K$100, AA53)</f>
        <v>8</v>
      </c>
      <c r="AI53">
        <f t="shared" ref="AI53:AI55" si="105">AK53+AM53</f>
        <v>10</v>
      </c>
      <c r="AJ53">
        <f t="shared" ref="AJ53:AJ55" si="106">AF53-AI53</f>
        <v>6</v>
      </c>
      <c r="AK53">
        <f t="shared" ref="AK53:AK55" si="107">SUMPRODUCT(($L$2:$L$100=AA53)*($P$2:$P$100&gt;$O$2:$O$100))</f>
        <v>5</v>
      </c>
      <c r="AL53">
        <f t="shared" ref="AL53:AL55" si="108">SUMPRODUCT(($L$2:$L$100=AA53)*($P$2:$P$100&lt;$O$2:$O$100))</f>
        <v>3</v>
      </c>
      <c r="AM53">
        <f t="shared" ref="AM53:AM55" si="109">SUMPRODUCT(($K$2:$K$100=AA53)*($P$2:$P$100&lt;$O$2:$O$100))</f>
        <v>5</v>
      </c>
      <c r="AN53">
        <f t="shared" ref="AN53:AN55" si="110">SUMPRODUCT(($K$2:$K$100=AA53)*($P$2:$P$100&gt;$O$2:$O$100))</f>
        <v>3</v>
      </c>
      <c r="AO53">
        <f t="shared" ref="AO53:AO55" si="111">COUNTIFS($L$2:$L$100,AA53,$D$2:$D$100,3)</f>
        <v>3</v>
      </c>
      <c r="AP53">
        <f t="shared" ref="AP53:AP55" si="112">COUNTIFS($K$2:$K$100,AA53,$D$2:$D$100,3)</f>
        <v>3</v>
      </c>
      <c r="AQ53">
        <f t="shared" ref="AQ53:AQ55" si="113">SUMIFS($P$2:$P$100, $L$2:$L$100, AA53,$D$2:$D$100, 3)</f>
        <v>4</v>
      </c>
      <c r="AR53">
        <f t="shared" ref="AR53:AR55" si="114">SUMIFS($O$2:$O$100, $K$2:$K$100, AA53,$D$2:$D$100, 3)</f>
        <v>8</v>
      </c>
      <c r="AS53">
        <f t="shared" ref="AS53:AS55" si="115">SUMIFS($O$2:$O$100, $L$2:$L$100, AA53,$D$2:$D$100, 3)</f>
        <v>7</v>
      </c>
      <c r="AT53">
        <f t="shared" ref="AT53:AT55" si="116">SUMIFS($P$2:$P$100, $K$2:$K$100, AA53,$D$2:$D$100, 3)</f>
        <v>9</v>
      </c>
      <c r="AU53">
        <f t="shared" ref="AU53:AU55" si="117">AQ53-AS53</f>
        <v>-3</v>
      </c>
      <c r="AV53">
        <f t="shared" ref="AV53:AV55" si="118">AR53-AT53</f>
        <v>-1</v>
      </c>
      <c r="AW53">
        <f t="shared" ref="AW53:AW55" si="119">AQ53+AR53</f>
        <v>12</v>
      </c>
      <c r="AX53">
        <f t="shared" ref="AX53:AX55" si="120">AS53+AT53</f>
        <v>16</v>
      </c>
      <c r="AY53">
        <f t="shared" ref="AY53:AY55" si="121">(AQ53+AR53)-(AS53+AT53)</f>
        <v>-4</v>
      </c>
      <c r="AZ53">
        <f t="shared" ref="AZ53:AZ55" si="122">AQ53/AO53</f>
        <v>1.3333333333333333</v>
      </c>
      <c r="BA53">
        <f t="shared" ref="BA53:BA55" si="123">AR53/AP53</f>
        <v>2.6666666666666665</v>
      </c>
      <c r="BB53">
        <f t="shared" ref="BB53:BB55" si="124">AS53/AO53</f>
        <v>2.3333333333333335</v>
      </c>
      <c r="BC53">
        <f t="shared" ref="BC53:BC55" si="125">AT53/AP53</f>
        <v>3</v>
      </c>
      <c r="BD53">
        <f t="shared" ref="BD53:BD55" si="126">AW53/AB53</f>
        <v>3</v>
      </c>
      <c r="BE53">
        <f t="shared" ref="BE53:BE55" si="127">AX53/AB53</f>
        <v>4</v>
      </c>
    </row>
    <row r="54" spans="1:57" x14ac:dyDescent="0.25">
      <c r="A54" t="str">
        <f t="shared" si="2"/>
        <v>Friday</v>
      </c>
      <c r="B54" s="3">
        <v>45422</v>
      </c>
      <c r="C54" s="2" t="s">
        <v>32</v>
      </c>
      <c r="D54" s="4">
        <v>2</v>
      </c>
      <c r="E54" s="5" t="s">
        <v>59</v>
      </c>
      <c r="F54" s="4">
        <v>3</v>
      </c>
      <c r="G54" s="4" t="s">
        <v>11</v>
      </c>
      <c r="H54" s="4" t="s">
        <v>3</v>
      </c>
      <c r="I54" s="4">
        <v>2</v>
      </c>
      <c r="J54" s="4">
        <v>1</v>
      </c>
      <c r="K54" s="2" t="s">
        <v>11</v>
      </c>
      <c r="L54" s="2" t="s">
        <v>3</v>
      </c>
      <c r="M54" s="2" t="s">
        <v>11</v>
      </c>
      <c r="N54" s="3">
        <v>45422</v>
      </c>
      <c r="O54" s="2">
        <v>6</v>
      </c>
      <c r="P54" s="2">
        <v>2</v>
      </c>
      <c r="Q54" s="2">
        <v>0</v>
      </c>
      <c r="R54" s="26">
        <f t="shared" si="94"/>
        <v>1</v>
      </c>
      <c r="S54" s="2" t="str">
        <f t="shared" si="62"/>
        <v>FLA</v>
      </c>
      <c r="AA54" t="s">
        <v>21</v>
      </c>
      <c r="AB54">
        <f t="shared" si="98"/>
        <v>5</v>
      </c>
      <c r="AC54">
        <f t="shared" si="99"/>
        <v>7</v>
      </c>
      <c r="AD54">
        <f t="shared" si="100"/>
        <v>6</v>
      </c>
      <c r="AE54">
        <f t="shared" si="101"/>
        <v>7</v>
      </c>
      <c r="AF54">
        <f t="shared" si="102"/>
        <v>25</v>
      </c>
      <c r="AG54">
        <f t="shared" si="103"/>
        <v>12</v>
      </c>
      <c r="AH54">
        <f t="shared" si="104"/>
        <v>13</v>
      </c>
      <c r="AI54">
        <f t="shared" si="105"/>
        <v>14</v>
      </c>
      <c r="AJ54">
        <f t="shared" si="106"/>
        <v>11</v>
      </c>
      <c r="AK54">
        <f t="shared" si="107"/>
        <v>8</v>
      </c>
      <c r="AL54">
        <f t="shared" si="108"/>
        <v>4</v>
      </c>
      <c r="AM54">
        <f t="shared" si="109"/>
        <v>6</v>
      </c>
      <c r="AN54">
        <f t="shared" si="110"/>
        <v>7</v>
      </c>
      <c r="AO54">
        <f t="shared" si="111"/>
        <v>3</v>
      </c>
      <c r="AP54">
        <f t="shared" si="112"/>
        <v>3</v>
      </c>
      <c r="AQ54">
        <f t="shared" si="113"/>
        <v>10</v>
      </c>
      <c r="AR54">
        <f t="shared" si="114"/>
        <v>7</v>
      </c>
      <c r="AS54">
        <f t="shared" si="115"/>
        <v>8</v>
      </c>
      <c r="AT54">
        <f t="shared" si="116"/>
        <v>6</v>
      </c>
      <c r="AU54">
        <f t="shared" si="117"/>
        <v>2</v>
      </c>
      <c r="AV54">
        <f t="shared" si="118"/>
        <v>1</v>
      </c>
      <c r="AW54">
        <f t="shared" si="119"/>
        <v>17</v>
      </c>
      <c r="AX54">
        <f t="shared" si="120"/>
        <v>14</v>
      </c>
      <c r="AY54">
        <f t="shared" si="121"/>
        <v>3</v>
      </c>
      <c r="AZ54">
        <f t="shared" si="122"/>
        <v>3.3333333333333335</v>
      </c>
      <c r="BA54">
        <f t="shared" si="123"/>
        <v>2.3333333333333335</v>
      </c>
      <c r="BB54">
        <f t="shared" si="124"/>
        <v>2.6666666666666665</v>
      </c>
      <c r="BC54">
        <f t="shared" si="125"/>
        <v>2</v>
      </c>
      <c r="BD54">
        <f t="shared" si="126"/>
        <v>3.4</v>
      </c>
      <c r="BE54">
        <f t="shared" si="127"/>
        <v>2.8</v>
      </c>
    </row>
    <row r="55" spans="1:57" x14ac:dyDescent="0.25">
      <c r="A55" s="11" t="str">
        <f t="shared" si="2"/>
        <v>Friday</v>
      </c>
      <c r="B55" s="15">
        <v>45422</v>
      </c>
      <c r="C55" s="16" t="s">
        <v>33</v>
      </c>
      <c r="D55" s="17">
        <v>2</v>
      </c>
      <c r="E55" s="22" t="s">
        <v>64</v>
      </c>
      <c r="F55" s="17">
        <v>2</v>
      </c>
      <c r="G55" s="17" t="s">
        <v>17</v>
      </c>
      <c r="H55" s="17" t="s">
        <v>21</v>
      </c>
      <c r="I55" s="17">
        <v>1</v>
      </c>
      <c r="J55" s="17">
        <v>1</v>
      </c>
      <c r="K55" s="16" t="s">
        <v>21</v>
      </c>
      <c r="L55" s="16" t="s">
        <v>17</v>
      </c>
      <c r="M55" s="16" t="s">
        <v>21</v>
      </c>
      <c r="N55" s="15">
        <v>45422</v>
      </c>
      <c r="O55" s="16">
        <v>4</v>
      </c>
      <c r="P55" s="16">
        <v>3</v>
      </c>
      <c r="Q55" s="16">
        <v>1</v>
      </c>
      <c r="R55" s="16">
        <f t="shared" si="94"/>
        <v>1</v>
      </c>
      <c r="S55" s="2" t="str">
        <f t="shared" si="62"/>
        <v>EDM</v>
      </c>
      <c r="AA55" t="s">
        <v>19</v>
      </c>
      <c r="AB55">
        <f t="shared" si="98"/>
        <v>7</v>
      </c>
      <c r="AC55">
        <f t="shared" si="99"/>
        <v>6</v>
      </c>
      <c r="AD55">
        <f t="shared" si="100"/>
        <v>6</v>
      </c>
      <c r="AE55">
        <f t="shared" si="101"/>
        <v>0</v>
      </c>
      <c r="AF55">
        <f t="shared" si="102"/>
        <v>19</v>
      </c>
      <c r="AG55">
        <f t="shared" si="103"/>
        <v>10</v>
      </c>
      <c r="AH55">
        <f t="shared" si="104"/>
        <v>9</v>
      </c>
      <c r="AI55">
        <f t="shared" si="105"/>
        <v>10</v>
      </c>
      <c r="AJ55">
        <f t="shared" si="106"/>
        <v>9</v>
      </c>
      <c r="AK55">
        <f t="shared" si="107"/>
        <v>4</v>
      </c>
      <c r="AL55">
        <f t="shared" si="108"/>
        <v>6</v>
      </c>
      <c r="AM55">
        <f t="shared" si="109"/>
        <v>6</v>
      </c>
      <c r="AN55">
        <f t="shared" si="110"/>
        <v>3</v>
      </c>
      <c r="AO55">
        <f t="shared" si="111"/>
        <v>3</v>
      </c>
      <c r="AP55">
        <f t="shared" si="112"/>
        <v>3</v>
      </c>
      <c r="AQ55">
        <f t="shared" si="113"/>
        <v>6</v>
      </c>
      <c r="AR55">
        <f t="shared" si="114"/>
        <v>8</v>
      </c>
      <c r="AS55">
        <f t="shared" si="115"/>
        <v>7</v>
      </c>
      <c r="AT55">
        <f t="shared" si="116"/>
        <v>10</v>
      </c>
      <c r="AU55">
        <f t="shared" si="117"/>
        <v>-1</v>
      </c>
      <c r="AV55">
        <f t="shared" si="118"/>
        <v>-2</v>
      </c>
      <c r="AW55">
        <f t="shared" si="119"/>
        <v>14</v>
      </c>
      <c r="AX55">
        <f t="shared" si="120"/>
        <v>17</v>
      </c>
      <c r="AY55">
        <f t="shared" si="121"/>
        <v>-3</v>
      </c>
      <c r="AZ55">
        <f t="shared" si="122"/>
        <v>2</v>
      </c>
      <c r="BA55">
        <f t="shared" si="123"/>
        <v>2.6666666666666665</v>
      </c>
      <c r="BB55">
        <f t="shared" si="124"/>
        <v>2.3333333333333335</v>
      </c>
      <c r="BC55">
        <f t="shared" si="125"/>
        <v>3.3333333333333335</v>
      </c>
      <c r="BD55">
        <f t="shared" si="126"/>
        <v>2</v>
      </c>
      <c r="BE55">
        <f t="shared" si="127"/>
        <v>2.4285714285714284</v>
      </c>
    </row>
    <row r="56" spans="1:57" x14ac:dyDescent="0.25">
      <c r="A56" t="str">
        <f t="shared" si="2"/>
        <v>Saturday</v>
      </c>
      <c r="B56" s="3">
        <v>45423</v>
      </c>
      <c r="C56" s="2" t="s">
        <v>32</v>
      </c>
      <c r="D56" s="4">
        <v>2</v>
      </c>
      <c r="E56" s="5" t="s">
        <v>58</v>
      </c>
      <c r="F56" s="4">
        <v>4</v>
      </c>
      <c r="G56" s="4" t="s">
        <v>13</v>
      </c>
      <c r="H56" s="4" t="s">
        <v>1</v>
      </c>
      <c r="I56" s="4">
        <v>3</v>
      </c>
      <c r="J56" s="4">
        <v>1</v>
      </c>
      <c r="K56" s="2" t="s">
        <v>13</v>
      </c>
      <c r="L56" s="2" t="s">
        <v>1</v>
      </c>
      <c r="M56" s="2" t="s">
        <v>1</v>
      </c>
      <c r="N56" s="3">
        <v>45422</v>
      </c>
      <c r="O56" s="2">
        <v>3</v>
      </c>
      <c r="P56" s="2">
        <v>4</v>
      </c>
      <c r="Q56" s="2">
        <v>0</v>
      </c>
      <c r="R56" s="2">
        <f t="shared" si="94"/>
        <v>1</v>
      </c>
      <c r="S56" s="2" t="str">
        <f t="shared" si="62"/>
        <v>CAR</v>
      </c>
    </row>
    <row r="57" spans="1:57" x14ac:dyDescent="0.25">
      <c r="A57" s="11" t="str">
        <f t="shared" si="2"/>
        <v>Saturday</v>
      </c>
      <c r="B57" s="15">
        <v>45423</v>
      </c>
      <c r="C57" s="16" t="s">
        <v>33</v>
      </c>
      <c r="D57" s="17">
        <v>2</v>
      </c>
      <c r="E57" s="22" t="s">
        <v>60</v>
      </c>
      <c r="F57" s="17">
        <v>3</v>
      </c>
      <c r="G57" s="17" t="s">
        <v>19</v>
      </c>
      <c r="H57" s="17" t="s">
        <v>14</v>
      </c>
      <c r="I57" s="17">
        <v>2</v>
      </c>
      <c r="J57" s="17">
        <v>1</v>
      </c>
      <c r="K57" s="16" t="s">
        <v>19</v>
      </c>
      <c r="L57" s="16" t="s">
        <v>14</v>
      </c>
      <c r="M57" s="16" t="s">
        <v>14</v>
      </c>
      <c r="N57" s="15">
        <v>45422</v>
      </c>
      <c r="O57" s="16">
        <v>4</v>
      </c>
      <c r="P57" s="16">
        <v>1</v>
      </c>
      <c r="Q57" s="16">
        <v>0</v>
      </c>
      <c r="R57" s="16">
        <f t="shared" si="94"/>
        <v>0</v>
      </c>
      <c r="S57" s="2" t="str">
        <f t="shared" si="62"/>
        <v>DAL</v>
      </c>
    </row>
    <row r="58" spans="1:57" x14ac:dyDescent="0.25">
      <c r="A58" t="str">
        <f t="shared" si="2"/>
        <v>Sunday</v>
      </c>
      <c r="B58" s="3">
        <v>45424</v>
      </c>
      <c r="C58" s="2" t="s">
        <v>32</v>
      </c>
      <c r="D58" s="4">
        <v>2</v>
      </c>
      <c r="E58" s="5" t="s">
        <v>59</v>
      </c>
      <c r="F58" s="4">
        <v>4</v>
      </c>
      <c r="G58" s="4" t="s">
        <v>11</v>
      </c>
      <c r="H58" s="4" t="s">
        <v>3</v>
      </c>
      <c r="I58" s="4">
        <v>3</v>
      </c>
      <c r="J58" s="4">
        <v>1</v>
      </c>
      <c r="K58" s="2" t="s">
        <v>11</v>
      </c>
      <c r="L58" s="2" t="s">
        <v>3</v>
      </c>
      <c r="M58" s="2" t="s">
        <v>3</v>
      </c>
      <c r="N58" s="3">
        <v>45423</v>
      </c>
      <c r="O58" s="2">
        <v>3</v>
      </c>
      <c r="P58" s="2">
        <v>2</v>
      </c>
      <c r="Q58" s="2">
        <v>0</v>
      </c>
      <c r="R58" s="2">
        <f t="shared" si="94"/>
        <v>0</v>
      </c>
      <c r="S58" s="2" t="str">
        <f t="shared" si="62"/>
        <v>FLA</v>
      </c>
      <c r="AA58" s="11"/>
      <c r="AB58" s="11" t="s">
        <v>67</v>
      </c>
      <c r="AC58" s="11" t="s">
        <v>68</v>
      </c>
      <c r="AD58" s="11" t="s">
        <v>69</v>
      </c>
      <c r="AE58" s="11" t="s">
        <v>70</v>
      </c>
      <c r="AF58" s="11" t="s">
        <v>71</v>
      </c>
      <c r="AG58" s="11" t="s">
        <v>95</v>
      </c>
      <c r="AH58" s="11" t="s">
        <v>96</v>
      </c>
      <c r="AI58" s="11" t="s">
        <v>89</v>
      </c>
      <c r="AJ58" s="11" t="s">
        <v>90</v>
      </c>
      <c r="AK58" s="11" t="s">
        <v>91</v>
      </c>
      <c r="AL58" s="11" t="s">
        <v>92</v>
      </c>
      <c r="AM58" s="11" t="s">
        <v>93</v>
      </c>
      <c r="AN58" s="11" t="s">
        <v>94</v>
      </c>
      <c r="AO58" s="11" t="s">
        <v>148</v>
      </c>
      <c r="AP58" s="11" t="s">
        <v>132</v>
      </c>
      <c r="AQ58" s="11" t="s">
        <v>133</v>
      </c>
      <c r="AR58" s="11" t="s">
        <v>134</v>
      </c>
      <c r="AS58" s="11" t="s">
        <v>135</v>
      </c>
      <c r="AT58" s="11" t="s">
        <v>136</v>
      </c>
      <c r="AU58" s="11" t="s">
        <v>137</v>
      </c>
      <c r="AV58" s="11" t="s">
        <v>138</v>
      </c>
      <c r="AW58" s="11" t="s">
        <v>139</v>
      </c>
      <c r="AX58" s="11" t="s">
        <v>140</v>
      </c>
      <c r="AY58" s="11" t="s">
        <v>141</v>
      </c>
      <c r="AZ58" s="11" t="s">
        <v>142</v>
      </c>
      <c r="BA58" s="11" t="s">
        <v>143</v>
      </c>
      <c r="BB58" s="11" t="s">
        <v>144</v>
      </c>
      <c r="BC58" s="11" t="s">
        <v>145</v>
      </c>
      <c r="BD58" s="11" t="s">
        <v>146</v>
      </c>
      <c r="BE58" s="11" t="s">
        <v>147</v>
      </c>
    </row>
    <row r="59" spans="1:57" x14ac:dyDescent="0.25">
      <c r="A59" s="11" t="str">
        <f t="shared" si="2"/>
        <v>Sunday</v>
      </c>
      <c r="B59" s="15">
        <v>45424</v>
      </c>
      <c r="C59" s="16" t="s">
        <v>33</v>
      </c>
      <c r="D59" s="17">
        <v>2</v>
      </c>
      <c r="E59" s="22" t="s">
        <v>64</v>
      </c>
      <c r="F59" s="17">
        <v>3</v>
      </c>
      <c r="G59" s="17" t="s">
        <v>17</v>
      </c>
      <c r="H59" s="17" t="s">
        <v>21</v>
      </c>
      <c r="I59" s="17">
        <v>2</v>
      </c>
      <c r="J59" s="17">
        <v>1</v>
      </c>
      <c r="K59" s="16" t="s">
        <v>17</v>
      </c>
      <c r="L59" s="16" t="s">
        <v>21</v>
      </c>
      <c r="M59" s="16" t="s">
        <v>17</v>
      </c>
      <c r="N59" s="15">
        <v>45423</v>
      </c>
      <c r="O59" s="16">
        <v>4</v>
      </c>
      <c r="P59" s="16">
        <v>3</v>
      </c>
      <c r="Q59" s="16">
        <v>0</v>
      </c>
      <c r="R59" s="16">
        <f t="shared" si="94"/>
        <v>1</v>
      </c>
      <c r="S59" s="2" t="str">
        <f t="shared" si="62"/>
        <v>VAN</v>
      </c>
      <c r="AA59" t="s">
        <v>11</v>
      </c>
      <c r="AB59">
        <f>COUNTIFS($K$2:$K$100, AA59, $D$2:$D$100, 1) + COUNTIFS($L$2:$L$100, AA59, $D$2:$D$100, 1)</f>
        <v>5</v>
      </c>
      <c r="AC59">
        <f>COUNTIFS($K$2:$K$100, AA59, $D$2:$D$100, 2) + COUNTIFS($L$2:$L$100, AA59, $D$2:$D$100, 2)</f>
        <v>6</v>
      </c>
      <c r="AD59">
        <f>COUNTIFS($K$2:$K$100, AA59, $D$2:$D$100, 3) + COUNTIFS($L$2:$L$100, AA59, $D$2:$D$100, 3)</f>
        <v>6</v>
      </c>
      <c r="AE59">
        <f>COUNTIFS($K$2:$K$100, AA59, $D$2:$D$100, 4) + COUNTIFS($L$2:$L$100, AA59, $D$2:$D$100, 4)</f>
        <v>7</v>
      </c>
      <c r="AF59">
        <f>AB59+AC59+AD59+AE59</f>
        <v>24</v>
      </c>
      <c r="AG59">
        <f>COUNTIF($L$2:$L$100, AA59)</f>
        <v>13</v>
      </c>
      <c r="AH59">
        <f>COUNTIF($K$2:$K$100, AA59)</f>
        <v>11</v>
      </c>
      <c r="AI59">
        <f>AK59+AM59</f>
        <v>16</v>
      </c>
      <c r="AJ59">
        <f>AF59-AI59</f>
        <v>8</v>
      </c>
      <c r="AK59">
        <f>SUMPRODUCT(($L$2:$L$100=AA59)*($P$2:$P$100&gt;$O$2:$O$100))</f>
        <v>9</v>
      </c>
      <c r="AL59">
        <f>SUMPRODUCT(($L$2:$L$100=AA59)*($P$2:$P$100&lt;$O$2:$O$100))</f>
        <v>4</v>
      </c>
      <c r="AM59">
        <f>SUMPRODUCT(($K$2:$K$100=AA59)*($P$2:$P$100&lt;$O$2:$O$100))</f>
        <v>7</v>
      </c>
      <c r="AN59">
        <f>SUMPRODUCT(($K$2:$K$100=AA59)*($P$2:$P$100&gt;$O$2:$O$100))</f>
        <v>4</v>
      </c>
      <c r="AO59">
        <f>COUNTIFS($L$2:$L$100,AA59,$D$2:$D$100,4)</f>
        <v>4</v>
      </c>
      <c r="AP59">
        <f>COUNTIFS($K$2:$K$100,AA59,$D$2:$D$100,4)</f>
        <v>3</v>
      </c>
      <c r="AQ59">
        <f>SUMIFS($P$2:$P$100, $L$2:$L$100, AA59,$D$2:$D$100, 4)</f>
        <v>12</v>
      </c>
      <c r="AR59">
        <f>SUMIFS($O$2:$O$100, $K$2:$K$100, AA59,$D$2:$D$100, 4)</f>
        <v>6</v>
      </c>
      <c r="AS59">
        <f>SUMIFS($O$2:$O$100, $L$2:$L$100, AA59,$D$2:$D$100, 4)</f>
        <v>7</v>
      </c>
      <c r="AT59">
        <f>SUMIFS($P$2:$P$100, $K$2:$K$100, AA59,$D$2:$D$100, 4)</f>
        <v>16</v>
      </c>
      <c r="AU59">
        <f t="shared" ref="AU59:AU60" si="128">AQ59-AS59</f>
        <v>5</v>
      </c>
      <c r="AV59">
        <f t="shared" ref="AV59:AV60" si="129">AR59-AT59</f>
        <v>-10</v>
      </c>
      <c r="AW59">
        <f>AQ59+AR59</f>
        <v>18</v>
      </c>
      <c r="AX59">
        <f>AS59+AT59</f>
        <v>23</v>
      </c>
      <c r="AY59">
        <f>(AQ59+AR59)-(AS59+AT59)</f>
        <v>-5</v>
      </c>
      <c r="AZ59">
        <f t="shared" ref="AZ59:AZ60" si="130">AQ59/AO59</f>
        <v>3</v>
      </c>
      <c r="BA59">
        <f t="shared" ref="BA59:BA60" si="131">AR59/AP59</f>
        <v>2</v>
      </c>
      <c r="BB59">
        <f t="shared" ref="BB59:BB60" si="132">AS59/AO59</f>
        <v>1.75</v>
      </c>
      <c r="BC59">
        <f t="shared" ref="BC59:BC60" si="133">AT59/AP59</f>
        <v>5.333333333333333</v>
      </c>
      <c r="BD59">
        <f>AW59/AB59</f>
        <v>3.6</v>
      </c>
      <c r="BE59">
        <f>AX59/AB59</f>
        <v>4.5999999999999996</v>
      </c>
    </row>
    <row r="60" spans="1:57" x14ac:dyDescent="0.25">
      <c r="A60" t="str">
        <f t="shared" si="2"/>
        <v>Monday</v>
      </c>
      <c r="B60" s="3">
        <v>45425</v>
      </c>
      <c r="C60" s="2" t="s">
        <v>32</v>
      </c>
      <c r="D60" s="4">
        <v>2</v>
      </c>
      <c r="E60" s="5" t="s">
        <v>58</v>
      </c>
      <c r="F60" s="4">
        <v>5</v>
      </c>
      <c r="G60" s="4" t="s">
        <v>13</v>
      </c>
      <c r="H60" s="4" t="s">
        <v>1</v>
      </c>
      <c r="I60" s="4">
        <v>3</v>
      </c>
      <c r="J60" s="4">
        <v>2</v>
      </c>
      <c r="K60" s="2" t="s">
        <v>1</v>
      </c>
      <c r="L60" s="2" t="s">
        <v>13</v>
      </c>
      <c r="M60" s="2" t="s">
        <v>1</v>
      </c>
      <c r="N60" s="3">
        <v>45424</v>
      </c>
      <c r="O60" s="2">
        <v>4</v>
      </c>
      <c r="P60" s="2">
        <v>1</v>
      </c>
      <c r="Q60" s="2">
        <v>0</v>
      </c>
      <c r="R60" s="2">
        <f t="shared" si="94"/>
        <v>1</v>
      </c>
      <c r="S60" s="2" t="str">
        <f t="shared" si="62"/>
        <v>CAR</v>
      </c>
      <c r="AA60" t="s">
        <v>21</v>
      </c>
      <c r="AB60">
        <f t="shared" ref="AB60" si="134">COUNTIFS($K$2:$K$100, AA60, $D$2:$D$100, 1) + COUNTIFS($L$2:$L$100, AA60, $D$2:$D$100, 1)</f>
        <v>5</v>
      </c>
      <c r="AC60">
        <f t="shared" ref="AC60" si="135">COUNTIFS($K$2:$K$100, AA60, $D$2:$D$100, 2) + COUNTIFS($L$2:$L$100, AA60, $D$2:$D$100, 2)</f>
        <v>7</v>
      </c>
      <c r="AD60">
        <f t="shared" ref="AD60" si="136">COUNTIFS($K$2:$K$100, AA60, $D$2:$D$100, 3) + COUNTIFS($L$2:$L$100, AA60, $D$2:$D$100, 3)</f>
        <v>6</v>
      </c>
      <c r="AE60">
        <f t="shared" ref="AE60" si="137">COUNTIFS($K$2:$K$100, AA60, $D$2:$D$100, 4) + COUNTIFS($L$2:$L$100, AA60, $D$2:$D$100, 4)</f>
        <v>7</v>
      </c>
      <c r="AF60">
        <f t="shared" ref="AF60" si="138">AB60+AC60+AD60+AE60</f>
        <v>25</v>
      </c>
      <c r="AG60">
        <f>COUNTIF($L$2:$L$100, AA60)</f>
        <v>12</v>
      </c>
      <c r="AH60">
        <f>COUNTIF($K$2:$K$100, AA60)</f>
        <v>13</v>
      </c>
      <c r="AI60">
        <f>AK60+AM60</f>
        <v>14</v>
      </c>
      <c r="AJ60">
        <f>AF60-AI60</f>
        <v>11</v>
      </c>
      <c r="AK60">
        <f>SUMPRODUCT(($L$2:$L$100=AA60)*($P$2:$P$100&gt;$O$2:$O$100))</f>
        <v>8</v>
      </c>
      <c r="AL60">
        <f>SUMPRODUCT(($L$2:$L$100=AA60)*($P$2:$P$100&lt;$O$2:$O$100))</f>
        <v>4</v>
      </c>
      <c r="AM60">
        <f>SUMPRODUCT(($K$2:$K$100=AA60)*($P$2:$P$100&lt;$O$2:$O$100))</f>
        <v>6</v>
      </c>
      <c r="AN60">
        <f>SUMPRODUCT(($K$2:$K$100=AA60)*($P$2:$P$100&gt;$O$2:$O$100))</f>
        <v>7</v>
      </c>
      <c r="AO60">
        <f>COUNTIFS($L$2:$L$100,AA60,$D$2:$D$100,4)</f>
        <v>3</v>
      </c>
      <c r="AP60">
        <f>COUNTIFS($K$2:$K$100,AA60,$D$2:$D$100,4)</f>
        <v>4</v>
      </c>
      <c r="AQ60">
        <f>SUMIFS($P$2:$P$100, $L$2:$L$100, AA60,$D$2:$D$100, 4)</f>
        <v>16</v>
      </c>
      <c r="AR60">
        <f>SUMIFS($O$2:$O$100, $K$2:$K$100, AA60,$D$2:$D$100, 4)</f>
        <v>7</v>
      </c>
      <c r="AS60">
        <f>SUMIFS($O$2:$O$100, $L$2:$L$100, AA60,$D$2:$D$100, 4)</f>
        <v>6</v>
      </c>
      <c r="AT60">
        <f>SUMIFS($P$2:$P$100, $K$2:$K$100, AA60,$D$2:$D$100, 4)</f>
        <v>12</v>
      </c>
      <c r="AU60">
        <f t="shared" si="128"/>
        <v>10</v>
      </c>
      <c r="AV60">
        <f t="shared" si="129"/>
        <v>-5</v>
      </c>
      <c r="AW60">
        <f t="shared" ref="AW60" si="139">AQ60+AR60</f>
        <v>23</v>
      </c>
      <c r="AX60">
        <f t="shared" ref="AX60" si="140">AS60+AT60</f>
        <v>18</v>
      </c>
      <c r="AY60">
        <f t="shared" ref="AY60" si="141">(AQ60+AR60)-(AS60+AT60)</f>
        <v>5</v>
      </c>
      <c r="AZ60">
        <f t="shared" si="130"/>
        <v>5.333333333333333</v>
      </c>
      <c r="BA60">
        <f t="shared" si="131"/>
        <v>1.75</v>
      </c>
      <c r="BB60">
        <f t="shared" si="132"/>
        <v>2</v>
      </c>
      <c r="BC60">
        <f t="shared" si="133"/>
        <v>3</v>
      </c>
      <c r="BD60">
        <f t="shared" ref="BD60" si="142">AW60/AB60</f>
        <v>4.5999999999999996</v>
      </c>
      <c r="BE60">
        <f t="shared" ref="BE60" si="143">AX60/AB60</f>
        <v>3.6</v>
      </c>
    </row>
    <row r="61" spans="1:57" x14ac:dyDescent="0.25">
      <c r="A61" s="11" t="str">
        <f t="shared" si="2"/>
        <v>Monday</v>
      </c>
      <c r="B61" s="15">
        <v>45425</v>
      </c>
      <c r="C61" s="16" t="s">
        <v>33</v>
      </c>
      <c r="D61" s="17">
        <v>2</v>
      </c>
      <c r="E61" s="22" t="s">
        <v>60</v>
      </c>
      <c r="F61" s="17">
        <v>4</v>
      </c>
      <c r="G61" s="17" t="s">
        <v>19</v>
      </c>
      <c r="H61" s="17" t="s">
        <v>14</v>
      </c>
      <c r="I61" s="17">
        <v>3</v>
      </c>
      <c r="J61" s="17">
        <v>1</v>
      </c>
      <c r="K61" s="16" t="s">
        <v>19</v>
      </c>
      <c r="L61" s="16" t="s">
        <v>14</v>
      </c>
      <c r="M61" s="16" t="s">
        <v>14</v>
      </c>
      <c r="N61" s="15">
        <v>45424</v>
      </c>
      <c r="O61" s="16">
        <v>5</v>
      </c>
      <c r="P61" s="16">
        <v>1</v>
      </c>
      <c r="Q61" s="16">
        <v>0</v>
      </c>
      <c r="R61" s="16">
        <f t="shared" si="94"/>
        <v>0</v>
      </c>
      <c r="S61" s="2" t="str">
        <f t="shared" si="62"/>
        <v>DAL</v>
      </c>
    </row>
    <row r="62" spans="1:57" x14ac:dyDescent="0.25">
      <c r="A62" t="str">
        <f t="shared" si="2"/>
        <v>Tuesday</v>
      </c>
      <c r="B62" s="3">
        <v>45426</v>
      </c>
      <c r="C62" s="2" t="s">
        <v>32</v>
      </c>
      <c r="D62" s="4">
        <v>2</v>
      </c>
      <c r="E62" s="5" t="s">
        <v>59</v>
      </c>
      <c r="F62" s="4">
        <v>5</v>
      </c>
      <c r="G62" s="4" t="s">
        <v>11</v>
      </c>
      <c r="H62" s="4" t="s">
        <v>3</v>
      </c>
      <c r="I62" s="4">
        <v>3</v>
      </c>
      <c r="J62" s="4">
        <v>2</v>
      </c>
      <c r="K62" s="2" t="s">
        <v>3</v>
      </c>
      <c r="L62" s="2" t="s">
        <v>11</v>
      </c>
      <c r="M62" s="2" t="s">
        <v>3</v>
      </c>
      <c r="N62" s="3">
        <v>45425</v>
      </c>
      <c r="O62" s="2">
        <v>2</v>
      </c>
      <c r="P62" s="2">
        <v>1</v>
      </c>
      <c r="Q62" s="2">
        <v>0</v>
      </c>
      <c r="R62" s="2">
        <f t="shared" si="94"/>
        <v>1</v>
      </c>
      <c r="S62" s="2" t="str">
        <f t="shared" si="62"/>
        <v>BOS</v>
      </c>
    </row>
    <row r="63" spans="1:57" x14ac:dyDescent="0.25">
      <c r="A63" s="11" t="str">
        <f t="shared" si="2"/>
        <v>Tuesday</v>
      </c>
      <c r="B63" s="15">
        <v>45426</v>
      </c>
      <c r="C63" s="16" t="s">
        <v>33</v>
      </c>
      <c r="D63" s="17">
        <v>2</v>
      </c>
      <c r="E63" s="22" t="s">
        <v>64</v>
      </c>
      <c r="F63" s="17">
        <v>4</v>
      </c>
      <c r="G63" s="17" t="s">
        <v>17</v>
      </c>
      <c r="H63" s="17" t="s">
        <v>21</v>
      </c>
      <c r="I63" s="17">
        <v>2</v>
      </c>
      <c r="J63" s="17">
        <v>2</v>
      </c>
      <c r="K63" s="16" t="s">
        <v>17</v>
      </c>
      <c r="L63" s="16" t="s">
        <v>21</v>
      </c>
      <c r="M63" s="16" t="s">
        <v>21</v>
      </c>
      <c r="N63" s="15">
        <v>45425</v>
      </c>
      <c r="O63" s="16">
        <v>2</v>
      </c>
      <c r="P63" s="16">
        <v>3</v>
      </c>
      <c r="Q63" s="16">
        <v>0</v>
      </c>
      <c r="R63" s="16">
        <f t="shared" si="94"/>
        <v>1</v>
      </c>
      <c r="S63" s="2" t="str">
        <f t="shared" si="62"/>
        <v>EDM</v>
      </c>
    </row>
    <row r="64" spans="1:57" x14ac:dyDescent="0.25">
      <c r="A64" s="11" t="str">
        <f t="shared" si="2"/>
        <v>Wednesday</v>
      </c>
      <c r="B64" s="20">
        <v>45427</v>
      </c>
      <c r="C64" s="18" t="s">
        <v>33</v>
      </c>
      <c r="D64" s="19">
        <v>2</v>
      </c>
      <c r="E64" s="28" t="s">
        <v>60</v>
      </c>
      <c r="F64" s="19">
        <v>5</v>
      </c>
      <c r="G64" s="19" t="s">
        <v>19</v>
      </c>
      <c r="H64" s="19" t="s">
        <v>14</v>
      </c>
      <c r="I64" s="19">
        <v>3</v>
      </c>
      <c r="J64" s="19">
        <v>2</v>
      </c>
      <c r="K64" s="18" t="s">
        <v>14</v>
      </c>
      <c r="L64" s="18" t="s">
        <v>19</v>
      </c>
      <c r="M64" s="18" t="s">
        <v>14</v>
      </c>
      <c r="N64" s="20">
        <v>45426</v>
      </c>
      <c r="O64" s="18">
        <v>4</v>
      </c>
      <c r="P64" s="18">
        <v>3</v>
      </c>
      <c r="Q64" s="18">
        <v>0</v>
      </c>
      <c r="R64" s="18">
        <f t="shared" si="94"/>
        <v>1</v>
      </c>
      <c r="S64" s="2" t="str">
        <f t="shared" si="62"/>
        <v>COL</v>
      </c>
    </row>
    <row r="65" spans="1:24" x14ac:dyDescent="0.25">
      <c r="A65" t="str">
        <f t="shared" si="2"/>
        <v>Thursday</v>
      </c>
      <c r="B65" s="3">
        <v>45428</v>
      </c>
      <c r="C65" s="2" t="s">
        <v>32</v>
      </c>
      <c r="D65" s="4">
        <v>2</v>
      </c>
      <c r="E65" s="5" t="s">
        <v>58</v>
      </c>
      <c r="F65" s="4">
        <v>6</v>
      </c>
      <c r="G65" s="4" t="s">
        <v>13</v>
      </c>
      <c r="H65" s="4" t="s">
        <v>1</v>
      </c>
      <c r="I65" s="4">
        <v>4</v>
      </c>
      <c r="J65" s="4">
        <v>2</v>
      </c>
      <c r="K65" s="2" t="s">
        <v>13</v>
      </c>
      <c r="L65" s="2" t="s">
        <v>1</v>
      </c>
      <c r="M65" s="2" t="s">
        <v>1</v>
      </c>
      <c r="N65" s="3">
        <v>45428</v>
      </c>
      <c r="O65" s="2">
        <v>5</v>
      </c>
      <c r="P65" s="2">
        <v>3</v>
      </c>
      <c r="Q65" s="2">
        <v>0</v>
      </c>
      <c r="R65" s="2">
        <f t="shared" si="94"/>
        <v>0</v>
      </c>
      <c r="S65" s="2" t="str">
        <f t="shared" si="62"/>
        <v>NYR</v>
      </c>
    </row>
    <row r="66" spans="1:24" x14ac:dyDescent="0.25">
      <c r="A66" s="11" t="str">
        <f t="shared" si="2"/>
        <v>Thursday</v>
      </c>
      <c r="B66" s="15">
        <v>45428</v>
      </c>
      <c r="C66" s="16" t="s">
        <v>33</v>
      </c>
      <c r="D66" s="17">
        <v>2</v>
      </c>
      <c r="E66" s="22" t="s">
        <v>64</v>
      </c>
      <c r="F66" s="17">
        <v>5</v>
      </c>
      <c r="G66" s="17" t="s">
        <v>17</v>
      </c>
      <c r="H66" s="17" t="s">
        <v>21</v>
      </c>
      <c r="I66" s="17">
        <v>3</v>
      </c>
      <c r="J66" s="17">
        <v>2</v>
      </c>
      <c r="K66" s="16" t="s">
        <v>21</v>
      </c>
      <c r="L66" s="16" t="s">
        <v>17</v>
      </c>
      <c r="M66" s="16" t="s">
        <v>21</v>
      </c>
      <c r="N66" s="15">
        <v>45428</v>
      </c>
      <c r="O66" s="16">
        <v>2</v>
      </c>
      <c r="P66" s="16">
        <v>3</v>
      </c>
      <c r="Q66" s="16">
        <v>0</v>
      </c>
      <c r="R66" s="16">
        <f>IF($O66=$P66, 0, IF($K66=$M66, IF($O66&gt;$P66, 1, 0), IF($P66&gt;$O66, 1, 0)))</f>
        <v>0</v>
      </c>
      <c r="S66" s="2" t="str">
        <f t="shared" ref="S66:S89" si="144">IF(O66&gt;P66,K66,L66)</f>
        <v>VAN</v>
      </c>
    </row>
    <row r="67" spans="1:24" x14ac:dyDescent="0.25">
      <c r="A67" t="str">
        <f t="shared" ref="A67:A89" si="145">TEXT($B67,"dddd")</f>
        <v>Friday</v>
      </c>
      <c r="B67" s="3">
        <v>45429</v>
      </c>
      <c r="C67" s="2" t="s">
        <v>32</v>
      </c>
      <c r="D67" s="4">
        <v>2</v>
      </c>
      <c r="E67" s="5" t="s">
        <v>59</v>
      </c>
      <c r="F67" s="4">
        <v>6</v>
      </c>
      <c r="G67" s="4" t="s">
        <v>11</v>
      </c>
      <c r="H67" s="4" t="s">
        <v>3</v>
      </c>
      <c r="I67" s="4">
        <v>4</v>
      </c>
      <c r="J67" s="4">
        <v>2</v>
      </c>
      <c r="K67" s="2" t="s">
        <v>11</v>
      </c>
      <c r="L67" s="2" t="s">
        <v>3</v>
      </c>
      <c r="M67" s="2" t="s">
        <v>3</v>
      </c>
      <c r="N67" s="3">
        <v>45428</v>
      </c>
      <c r="O67" s="2">
        <v>2</v>
      </c>
      <c r="P67" s="2">
        <v>1</v>
      </c>
      <c r="Q67" s="2">
        <v>0</v>
      </c>
      <c r="R67" s="2">
        <f t="shared" si="94"/>
        <v>0</v>
      </c>
      <c r="S67" s="2" t="str">
        <f t="shared" si="144"/>
        <v>FLA</v>
      </c>
    </row>
    <row r="68" spans="1:24" x14ac:dyDescent="0.25">
      <c r="A68" s="11" t="str">
        <f t="shared" si="145"/>
        <v>Friday</v>
      </c>
      <c r="B68" s="15">
        <v>45429</v>
      </c>
      <c r="C68" s="16" t="s">
        <v>33</v>
      </c>
      <c r="D68" s="17">
        <v>2</v>
      </c>
      <c r="E68" s="22" t="s">
        <v>60</v>
      </c>
      <c r="F68" s="17">
        <v>6</v>
      </c>
      <c r="G68" s="17" t="s">
        <v>19</v>
      </c>
      <c r="H68" s="17" t="s">
        <v>14</v>
      </c>
      <c r="I68" s="17">
        <v>4</v>
      </c>
      <c r="J68" s="17">
        <v>2</v>
      </c>
      <c r="K68" s="16" t="s">
        <v>19</v>
      </c>
      <c r="L68" s="16" t="s">
        <v>14</v>
      </c>
      <c r="M68" s="16" t="s">
        <v>19</v>
      </c>
      <c r="N68" s="15">
        <v>45428</v>
      </c>
      <c r="O68" s="16">
        <v>2</v>
      </c>
      <c r="P68" s="16">
        <v>1</v>
      </c>
      <c r="Q68" s="16">
        <v>2</v>
      </c>
      <c r="R68" s="16">
        <f t="shared" si="94"/>
        <v>1</v>
      </c>
      <c r="S68" s="2" t="str">
        <f t="shared" si="144"/>
        <v>DAL</v>
      </c>
    </row>
    <row r="69" spans="1:24" x14ac:dyDescent="0.25">
      <c r="A69" t="str">
        <f t="shared" si="145"/>
        <v>Saturday</v>
      </c>
      <c r="B69" s="3">
        <v>45430</v>
      </c>
      <c r="C69" s="2" t="s">
        <v>33</v>
      </c>
      <c r="D69" s="4">
        <v>2</v>
      </c>
      <c r="E69" s="5" t="s">
        <v>64</v>
      </c>
      <c r="F69" s="4">
        <v>6</v>
      </c>
      <c r="G69" s="4" t="s">
        <v>17</v>
      </c>
      <c r="H69" s="4" t="s">
        <v>21</v>
      </c>
      <c r="I69" s="4">
        <v>3</v>
      </c>
      <c r="J69" s="4">
        <v>3</v>
      </c>
      <c r="K69" s="2" t="s">
        <v>17</v>
      </c>
      <c r="L69" s="2" t="s">
        <v>21</v>
      </c>
      <c r="M69" s="2" t="s">
        <v>21</v>
      </c>
      <c r="N69" s="3">
        <v>45430</v>
      </c>
      <c r="O69" s="2">
        <v>1</v>
      </c>
      <c r="P69" s="2">
        <v>5</v>
      </c>
      <c r="Q69" s="2">
        <v>0</v>
      </c>
      <c r="R69" s="2">
        <f t="shared" si="94"/>
        <v>1</v>
      </c>
      <c r="S69" s="2" t="str">
        <f t="shared" si="144"/>
        <v>EDM</v>
      </c>
    </row>
    <row r="70" spans="1:24" ht="15.75" thickBot="1" x14ac:dyDescent="0.3">
      <c r="A70" s="43" t="str">
        <f t="shared" si="145"/>
        <v>Monday</v>
      </c>
      <c r="B70" s="29">
        <v>45432</v>
      </c>
      <c r="C70" s="30" t="s">
        <v>33</v>
      </c>
      <c r="D70" s="31">
        <v>2</v>
      </c>
      <c r="E70" s="32" t="s">
        <v>64</v>
      </c>
      <c r="F70" s="31">
        <v>7</v>
      </c>
      <c r="G70" s="31" t="s">
        <v>17</v>
      </c>
      <c r="H70" s="31" t="s">
        <v>21</v>
      </c>
      <c r="I70" s="31">
        <v>3</v>
      </c>
      <c r="J70" s="31">
        <v>4</v>
      </c>
      <c r="K70" s="30" t="s">
        <v>21</v>
      </c>
      <c r="L70" s="30" t="s">
        <v>17</v>
      </c>
      <c r="M70" s="30" t="s">
        <v>21</v>
      </c>
      <c r="N70" s="29">
        <v>45432</v>
      </c>
      <c r="O70" s="30">
        <v>3</v>
      </c>
      <c r="P70" s="30">
        <v>2</v>
      </c>
      <c r="Q70" s="30">
        <v>0</v>
      </c>
      <c r="R70" s="30">
        <f t="shared" si="94"/>
        <v>1</v>
      </c>
      <c r="S70" s="2" t="str">
        <f t="shared" si="144"/>
        <v>EDM</v>
      </c>
    </row>
    <row r="71" spans="1:24" ht="15.75" thickTop="1" x14ac:dyDescent="0.25">
      <c r="A71" s="11" t="str">
        <f t="shared" si="145"/>
        <v>Wednesday</v>
      </c>
      <c r="B71" s="15">
        <v>45434</v>
      </c>
      <c r="C71" s="16" t="s">
        <v>32</v>
      </c>
      <c r="D71" s="17">
        <v>3</v>
      </c>
      <c r="E71" s="22" t="s">
        <v>61</v>
      </c>
      <c r="F71" s="17">
        <v>1</v>
      </c>
      <c r="G71" s="17" t="s">
        <v>13</v>
      </c>
      <c r="H71" s="17" t="s">
        <v>11</v>
      </c>
      <c r="I71" s="17">
        <v>0</v>
      </c>
      <c r="J71" s="17">
        <v>1</v>
      </c>
      <c r="K71" s="16" t="s">
        <v>11</v>
      </c>
      <c r="L71" s="16" t="s">
        <v>13</v>
      </c>
      <c r="M71" s="16" t="s">
        <v>11</v>
      </c>
      <c r="N71" s="15">
        <v>45434</v>
      </c>
      <c r="O71" s="16">
        <v>3</v>
      </c>
      <c r="P71" s="16">
        <v>0</v>
      </c>
      <c r="Q71" s="16">
        <v>0</v>
      </c>
      <c r="R71" s="16">
        <f t="shared" si="94"/>
        <v>1</v>
      </c>
      <c r="S71" s="16" t="str">
        <f t="shared" si="144"/>
        <v>FLA</v>
      </c>
    </row>
    <row r="72" spans="1:24" x14ac:dyDescent="0.25">
      <c r="A72" s="14" t="str">
        <f t="shared" si="145"/>
        <v>Thursday</v>
      </c>
      <c r="B72" s="20">
        <v>45435</v>
      </c>
      <c r="C72" s="18" t="s">
        <v>33</v>
      </c>
      <c r="D72" s="19">
        <v>3</v>
      </c>
      <c r="E72" s="28" t="s">
        <v>62</v>
      </c>
      <c r="F72" s="19">
        <v>1</v>
      </c>
      <c r="G72" s="19" t="s">
        <v>19</v>
      </c>
      <c r="H72" s="19" t="s">
        <v>21</v>
      </c>
      <c r="I72" s="19">
        <v>0</v>
      </c>
      <c r="J72" s="19">
        <v>1</v>
      </c>
      <c r="K72" s="18" t="s">
        <v>21</v>
      </c>
      <c r="L72" s="18" t="s">
        <v>19</v>
      </c>
      <c r="M72" s="18" t="s">
        <v>21</v>
      </c>
      <c r="N72" s="20">
        <v>45435</v>
      </c>
      <c r="O72" s="18">
        <v>3</v>
      </c>
      <c r="P72" s="18">
        <v>2</v>
      </c>
      <c r="Q72" s="18">
        <v>2</v>
      </c>
      <c r="R72" s="18">
        <f t="shared" si="94"/>
        <v>1</v>
      </c>
      <c r="S72" s="18" t="str">
        <f t="shared" si="144"/>
        <v>EDM</v>
      </c>
    </row>
    <row r="73" spans="1:24" x14ac:dyDescent="0.25">
      <c r="A73" s="38" t="str">
        <f t="shared" si="145"/>
        <v>Friday</v>
      </c>
      <c r="B73" s="20">
        <v>45436</v>
      </c>
      <c r="C73" s="18" t="s">
        <v>32</v>
      </c>
      <c r="D73" s="19">
        <v>3</v>
      </c>
      <c r="E73" s="28" t="s">
        <v>61</v>
      </c>
      <c r="F73" s="19">
        <v>2</v>
      </c>
      <c r="G73" s="19" t="s">
        <v>13</v>
      </c>
      <c r="H73" s="19" t="s">
        <v>11</v>
      </c>
      <c r="I73" s="19">
        <v>1</v>
      </c>
      <c r="J73" s="19">
        <v>1</v>
      </c>
      <c r="K73" s="18" t="s">
        <v>11</v>
      </c>
      <c r="L73" s="18" t="s">
        <v>13</v>
      </c>
      <c r="M73" s="18" t="s">
        <v>13</v>
      </c>
      <c r="N73" s="39">
        <v>45436</v>
      </c>
      <c r="O73" s="40">
        <v>1</v>
      </c>
      <c r="P73" s="18">
        <v>2</v>
      </c>
      <c r="Q73" s="18">
        <v>1</v>
      </c>
      <c r="R73" s="18">
        <f t="shared" si="94"/>
        <v>1</v>
      </c>
      <c r="S73" s="18" t="str">
        <f t="shared" si="144"/>
        <v>NYR</v>
      </c>
    </row>
    <row r="74" spans="1:24" x14ac:dyDescent="0.25">
      <c r="A74" s="14" t="str">
        <f t="shared" si="145"/>
        <v>Saturday</v>
      </c>
      <c r="B74" s="20">
        <v>45437</v>
      </c>
      <c r="C74" s="18" t="s">
        <v>33</v>
      </c>
      <c r="D74" s="19">
        <v>3</v>
      </c>
      <c r="E74" s="28" t="s">
        <v>62</v>
      </c>
      <c r="F74" s="19">
        <v>2</v>
      </c>
      <c r="G74" s="19" t="s">
        <v>19</v>
      </c>
      <c r="H74" s="19" t="s">
        <v>21</v>
      </c>
      <c r="I74" s="19">
        <v>1</v>
      </c>
      <c r="J74" s="19">
        <v>1</v>
      </c>
      <c r="K74" s="18" t="s">
        <v>21</v>
      </c>
      <c r="L74" s="18" t="s">
        <v>19</v>
      </c>
      <c r="M74" s="18" t="s">
        <v>19</v>
      </c>
      <c r="N74" s="20">
        <v>45437</v>
      </c>
      <c r="O74" s="18">
        <v>1</v>
      </c>
      <c r="P74" s="18">
        <v>3</v>
      </c>
      <c r="Q74" s="18">
        <v>0</v>
      </c>
      <c r="R74" s="18">
        <f t="shared" si="94"/>
        <v>1</v>
      </c>
      <c r="S74" s="18" t="str">
        <f t="shared" si="144"/>
        <v>DAL</v>
      </c>
      <c r="X74" s="2">
        <f>WEEKDAY(B69)</f>
        <v>7</v>
      </c>
    </row>
    <row r="75" spans="1:24" x14ac:dyDescent="0.25">
      <c r="A75" s="14" t="str">
        <f t="shared" si="145"/>
        <v>Sunday</v>
      </c>
      <c r="B75" s="20">
        <v>45438</v>
      </c>
      <c r="C75" s="18" t="s">
        <v>32</v>
      </c>
      <c r="D75" s="19">
        <v>3</v>
      </c>
      <c r="E75" s="28" t="s">
        <v>61</v>
      </c>
      <c r="F75" s="19">
        <v>3</v>
      </c>
      <c r="G75" s="19" t="s">
        <v>13</v>
      </c>
      <c r="H75" s="19" t="s">
        <v>11</v>
      </c>
      <c r="I75" s="19">
        <v>2</v>
      </c>
      <c r="J75" s="19">
        <v>1</v>
      </c>
      <c r="K75" s="18" t="s">
        <v>13</v>
      </c>
      <c r="L75" s="18" t="s">
        <v>11</v>
      </c>
      <c r="M75" s="18" t="s">
        <v>11</v>
      </c>
      <c r="N75" s="20">
        <v>45438</v>
      </c>
      <c r="O75" s="18">
        <v>5</v>
      </c>
      <c r="P75" s="18">
        <v>4</v>
      </c>
      <c r="Q75" s="18">
        <v>1</v>
      </c>
      <c r="R75" s="18">
        <f t="shared" si="94"/>
        <v>0</v>
      </c>
      <c r="S75" s="18" t="str">
        <f t="shared" si="144"/>
        <v>NYR</v>
      </c>
    </row>
    <row r="76" spans="1:24" x14ac:dyDescent="0.25">
      <c r="A76" s="14" t="str">
        <f t="shared" si="145"/>
        <v>Monday</v>
      </c>
      <c r="B76" s="20">
        <v>45439</v>
      </c>
      <c r="C76" s="18" t="s">
        <v>33</v>
      </c>
      <c r="D76" s="19">
        <v>3</v>
      </c>
      <c r="E76" s="28" t="s">
        <v>62</v>
      </c>
      <c r="F76" s="19">
        <v>3</v>
      </c>
      <c r="G76" s="19" t="s">
        <v>19</v>
      </c>
      <c r="H76" s="19" t="s">
        <v>21</v>
      </c>
      <c r="I76" s="19">
        <v>2</v>
      </c>
      <c r="J76" s="19">
        <v>1</v>
      </c>
      <c r="K76" s="18" t="s">
        <v>19</v>
      </c>
      <c r="L76" s="18" t="s">
        <v>21</v>
      </c>
      <c r="M76" s="18" t="s">
        <v>21</v>
      </c>
      <c r="N76" s="20">
        <v>45439</v>
      </c>
      <c r="O76" s="18">
        <v>5</v>
      </c>
      <c r="P76" s="18">
        <v>3</v>
      </c>
      <c r="Q76" s="18">
        <v>0</v>
      </c>
      <c r="R76" s="18">
        <f t="shared" si="94"/>
        <v>0</v>
      </c>
      <c r="S76" s="18" t="str">
        <f t="shared" si="144"/>
        <v>DAL</v>
      </c>
    </row>
    <row r="77" spans="1:24" x14ac:dyDescent="0.25">
      <c r="A77" s="14" t="str">
        <f t="shared" si="145"/>
        <v>Tuesday</v>
      </c>
      <c r="B77" s="20">
        <v>45440</v>
      </c>
      <c r="C77" s="18" t="s">
        <v>32</v>
      </c>
      <c r="D77" s="19">
        <v>3</v>
      </c>
      <c r="E77" s="28" t="s">
        <v>61</v>
      </c>
      <c r="F77" s="19">
        <v>4</v>
      </c>
      <c r="G77" s="19" t="s">
        <v>13</v>
      </c>
      <c r="H77" s="19" t="s">
        <v>11</v>
      </c>
      <c r="I77" s="19">
        <v>2</v>
      </c>
      <c r="J77" s="19">
        <v>2</v>
      </c>
      <c r="K77" s="18" t="s">
        <v>13</v>
      </c>
      <c r="L77" s="18" t="s">
        <v>11</v>
      </c>
      <c r="M77" s="18" t="s">
        <v>11</v>
      </c>
      <c r="N77" s="20">
        <v>45440</v>
      </c>
      <c r="O77" s="18">
        <v>2</v>
      </c>
      <c r="P77" s="18">
        <v>3</v>
      </c>
      <c r="Q77" s="18">
        <v>1</v>
      </c>
      <c r="R77" s="18">
        <f t="shared" si="94"/>
        <v>1</v>
      </c>
      <c r="S77" s="18" t="str">
        <f t="shared" si="144"/>
        <v>FLA</v>
      </c>
    </row>
    <row r="78" spans="1:24" x14ac:dyDescent="0.25">
      <c r="A78" s="14" t="str">
        <f t="shared" si="145"/>
        <v>Wednesday</v>
      </c>
      <c r="B78" s="20">
        <v>45441</v>
      </c>
      <c r="C78" s="18" t="s">
        <v>33</v>
      </c>
      <c r="D78" s="19">
        <v>3</v>
      </c>
      <c r="E78" s="28" t="s">
        <v>62</v>
      </c>
      <c r="F78" s="19">
        <v>4</v>
      </c>
      <c r="G78" s="19" t="s">
        <v>19</v>
      </c>
      <c r="H78" s="19" t="s">
        <v>21</v>
      </c>
      <c r="I78" s="19">
        <v>2</v>
      </c>
      <c r="J78" s="19">
        <v>2</v>
      </c>
      <c r="K78" s="18" t="s">
        <v>19</v>
      </c>
      <c r="L78" s="18" t="s">
        <v>21</v>
      </c>
      <c r="M78" s="18" t="s">
        <v>21</v>
      </c>
      <c r="N78" s="20">
        <v>45440</v>
      </c>
      <c r="O78" s="18">
        <v>2</v>
      </c>
      <c r="P78" s="18">
        <v>5</v>
      </c>
      <c r="Q78" s="18">
        <v>0</v>
      </c>
      <c r="R78" s="18">
        <f t="shared" si="94"/>
        <v>1</v>
      </c>
      <c r="S78" s="18" t="str">
        <f t="shared" si="144"/>
        <v>EDM</v>
      </c>
    </row>
    <row r="79" spans="1:24" x14ac:dyDescent="0.25">
      <c r="A79" s="14" t="str">
        <f t="shared" si="145"/>
        <v>Thursday</v>
      </c>
      <c r="B79" s="20">
        <v>45442</v>
      </c>
      <c r="C79" s="18" t="s">
        <v>32</v>
      </c>
      <c r="D79" s="19">
        <v>3</v>
      </c>
      <c r="E79" s="28" t="s">
        <v>61</v>
      </c>
      <c r="F79" s="19">
        <v>5</v>
      </c>
      <c r="G79" s="19" t="s">
        <v>13</v>
      </c>
      <c r="H79" s="19" t="s">
        <v>11</v>
      </c>
      <c r="I79" s="19">
        <v>2</v>
      </c>
      <c r="J79" s="19">
        <v>3</v>
      </c>
      <c r="K79" s="18" t="s">
        <v>11</v>
      </c>
      <c r="L79" s="18" t="s">
        <v>13</v>
      </c>
      <c r="M79" s="18" t="s">
        <v>11</v>
      </c>
      <c r="N79" s="20">
        <v>45442</v>
      </c>
      <c r="O79" s="18">
        <v>3</v>
      </c>
      <c r="P79" s="18">
        <v>2</v>
      </c>
      <c r="Q79" s="18">
        <v>0</v>
      </c>
      <c r="R79" s="18">
        <f t="shared" si="94"/>
        <v>1</v>
      </c>
      <c r="S79" s="18" t="str">
        <f t="shared" si="144"/>
        <v>FLA</v>
      </c>
    </row>
    <row r="80" spans="1:24" x14ac:dyDescent="0.25">
      <c r="A80" s="14" t="str">
        <f t="shared" si="145"/>
        <v>Friday</v>
      </c>
      <c r="B80" s="20">
        <v>45443</v>
      </c>
      <c r="C80" s="18" t="s">
        <v>33</v>
      </c>
      <c r="D80" s="19">
        <v>3</v>
      </c>
      <c r="E80" s="28" t="s">
        <v>62</v>
      </c>
      <c r="F80" s="19">
        <v>5</v>
      </c>
      <c r="G80" s="19" t="s">
        <v>19</v>
      </c>
      <c r="H80" s="19" t="s">
        <v>21</v>
      </c>
      <c r="I80" s="19">
        <v>2</v>
      </c>
      <c r="J80" s="19">
        <v>3</v>
      </c>
      <c r="K80" s="18" t="s">
        <v>21</v>
      </c>
      <c r="L80" s="18" t="s">
        <v>19</v>
      </c>
      <c r="M80" s="18" t="s">
        <v>21</v>
      </c>
      <c r="N80" s="20">
        <v>45443</v>
      </c>
      <c r="O80" s="18">
        <v>3</v>
      </c>
      <c r="P80" s="18">
        <v>1</v>
      </c>
      <c r="Q80" s="18">
        <v>0</v>
      </c>
      <c r="R80" s="18">
        <f t="shared" si="94"/>
        <v>1</v>
      </c>
      <c r="S80" s="18" t="str">
        <f t="shared" si="144"/>
        <v>EDM</v>
      </c>
    </row>
    <row r="81" spans="1:19" x14ac:dyDescent="0.25">
      <c r="A81" s="14" t="str">
        <f t="shared" si="145"/>
        <v>Saturday</v>
      </c>
      <c r="B81" s="20">
        <v>45444</v>
      </c>
      <c r="C81" s="18" t="s">
        <v>32</v>
      </c>
      <c r="D81" s="19">
        <v>3</v>
      </c>
      <c r="E81" s="28" t="s">
        <v>61</v>
      </c>
      <c r="F81" s="19">
        <v>6</v>
      </c>
      <c r="G81" s="19" t="s">
        <v>13</v>
      </c>
      <c r="H81" s="19" t="s">
        <v>11</v>
      </c>
      <c r="I81" s="19">
        <v>2</v>
      </c>
      <c r="J81" s="19">
        <v>4</v>
      </c>
      <c r="K81" s="18" t="s">
        <v>13</v>
      </c>
      <c r="L81" s="18" t="s">
        <v>11</v>
      </c>
      <c r="M81" s="18" t="s">
        <v>13</v>
      </c>
      <c r="N81" s="20">
        <v>45444</v>
      </c>
      <c r="O81" s="18">
        <v>1</v>
      </c>
      <c r="P81" s="18">
        <v>2</v>
      </c>
      <c r="Q81" s="18">
        <v>0</v>
      </c>
      <c r="R81" s="18">
        <f t="shared" si="94"/>
        <v>0</v>
      </c>
      <c r="S81" s="18" t="str">
        <f t="shared" si="144"/>
        <v>FLA</v>
      </c>
    </row>
    <row r="82" spans="1:19" ht="15.75" thickBot="1" x14ac:dyDescent="0.3">
      <c r="A82" s="42" t="str">
        <f t="shared" si="145"/>
        <v>Sunday</v>
      </c>
      <c r="B82" s="33">
        <v>45445</v>
      </c>
      <c r="C82" s="34" t="s">
        <v>33</v>
      </c>
      <c r="D82" s="35">
        <v>3</v>
      </c>
      <c r="E82" s="36" t="s">
        <v>62</v>
      </c>
      <c r="F82" s="35">
        <v>6</v>
      </c>
      <c r="G82" s="35" t="s">
        <v>19</v>
      </c>
      <c r="H82" s="35" t="s">
        <v>21</v>
      </c>
      <c r="I82" s="35">
        <v>2</v>
      </c>
      <c r="J82" s="35">
        <v>4</v>
      </c>
      <c r="K82" s="34" t="s">
        <v>19</v>
      </c>
      <c r="L82" s="34" t="s">
        <v>21</v>
      </c>
      <c r="M82" s="34" t="s">
        <v>21</v>
      </c>
      <c r="N82" s="33">
        <v>45445</v>
      </c>
      <c r="O82" s="34">
        <v>1</v>
      </c>
      <c r="P82" s="34">
        <v>2</v>
      </c>
      <c r="Q82" s="34">
        <v>0</v>
      </c>
      <c r="R82" s="34">
        <f t="shared" si="94"/>
        <v>1</v>
      </c>
      <c r="S82" s="2" t="str">
        <f t="shared" si="144"/>
        <v>EDM</v>
      </c>
    </row>
    <row r="83" spans="1:19" ht="15.75" thickTop="1" x14ac:dyDescent="0.25">
      <c r="A83" s="11" t="str">
        <f t="shared" si="145"/>
        <v>Saturday</v>
      </c>
      <c r="B83" s="15">
        <v>45451</v>
      </c>
      <c r="C83" s="16" t="s">
        <v>33</v>
      </c>
      <c r="D83" s="17">
        <v>4</v>
      </c>
      <c r="E83" s="22" t="s">
        <v>63</v>
      </c>
      <c r="F83" s="17">
        <v>1</v>
      </c>
      <c r="G83" s="17" t="s">
        <v>11</v>
      </c>
      <c r="H83" s="17" t="s">
        <v>21</v>
      </c>
      <c r="I83" s="17">
        <v>1</v>
      </c>
      <c r="J83" s="17">
        <v>0</v>
      </c>
      <c r="K83" s="16" t="s">
        <v>21</v>
      </c>
      <c r="L83" s="16" t="s">
        <v>11</v>
      </c>
      <c r="M83" s="16" t="s">
        <v>21</v>
      </c>
      <c r="N83" s="15">
        <v>45451</v>
      </c>
      <c r="O83" s="16">
        <v>0</v>
      </c>
      <c r="P83" s="16">
        <v>3</v>
      </c>
      <c r="Q83" s="16">
        <v>0</v>
      </c>
      <c r="R83" s="16">
        <f t="shared" si="94"/>
        <v>0</v>
      </c>
      <c r="S83" s="16" t="str">
        <f t="shared" si="144"/>
        <v>FLA</v>
      </c>
    </row>
    <row r="84" spans="1:19" x14ac:dyDescent="0.25">
      <c r="A84" s="14" t="str">
        <f t="shared" si="145"/>
        <v>Monday</v>
      </c>
      <c r="B84" s="20">
        <v>45453</v>
      </c>
      <c r="C84" s="18" t="s">
        <v>33</v>
      </c>
      <c r="D84" s="19">
        <v>4</v>
      </c>
      <c r="E84" s="28" t="s">
        <v>63</v>
      </c>
      <c r="F84" s="19">
        <v>2</v>
      </c>
      <c r="G84" s="19" t="s">
        <v>11</v>
      </c>
      <c r="H84" s="19" t="s">
        <v>21</v>
      </c>
      <c r="I84" s="19">
        <v>2</v>
      </c>
      <c r="J84" s="19">
        <v>0</v>
      </c>
      <c r="K84" s="18" t="s">
        <v>21</v>
      </c>
      <c r="L84" s="18" t="s">
        <v>11</v>
      </c>
      <c r="M84" s="18" t="s">
        <v>21</v>
      </c>
      <c r="N84" s="20">
        <v>45453</v>
      </c>
      <c r="O84" s="18">
        <v>1</v>
      </c>
      <c r="P84" s="18">
        <v>4</v>
      </c>
      <c r="Q84" s="18">
        <v>0</v>
      </c>
      <c r="R84" s="18">
        <f t="shared" si="94"/>
        <v>0</v>
      </c>
      <c r="S84" s="18" t="str">
        <f t="shared" si="144"/>
        <v>FLA</v>
      </c>
    </row>
    <row r="85" spans="1:19" x14ac:dyDescent="0.25">
      <c r="A85" s="38" t="str">
        <f t="shared" si="145"/>
        <v>Monday</v>
      </c>
      <c r="B85" s="20">
        <v>45425</v>
      </c>
      <c r="C85" s="18" t="s">
        <v>33</v>
      </c>
      <c r="D85" s="19">
        <v>4</v>
      </c>
      <c r="E85" s="28" t="s">
        <v>63</v>
      </c>
      <c r="F85" s="19">
        <v>3</v>
      </c>
      <c r="G85" s="19" t="s">
        <v>11</v>
      </c>
      <c r="H85" s="19" t="s">
        <v>21</v>
      </c>
      <c r="I85" s="19">
        <v>3</v>
      </c>
      <c r="J85" s="19">
        <v>0</v>
      </c>
      <c r="K85" s="18" t="s">
        <v>11</v>
      </c>
      <c r="L85" s="18" t="s">
        <v>21</v>
      </c>
      <c r="M85" s="18" t="s">
        <v>21</v>
      </c>
      <c r="N85" s="20">
        <v>45456</v>
      </c>
      <c r="O85" s="18">
        <v>4</v>
      </c>
      <c r="P85" s="18">
        <v>3</v>
      </c>
      <c r="Q85" s="18">
        <v>0</v>
      </c>
      <c r="R85" s="18">
        <f t="shared" si="94"/>
        <v>0</v>
      </c>
      <c r="S85" s="18" t="str">
        <f t="shared" si="144"/>
        <v>FLA</v>
      </c>
    </row>
    <row r="86" spans="1:19" x14ac:dyDescent="0.25">
      <c r="A86" s="14" t="str">
        <f t="shared" si="145"/>
        <v>Saturday</v>
      </c>
      <c r="B86" s="20">
        <v>45458</v>
      </c>
      <c r="C86" s="18" t="s">
        <v>33</v>
      </c>
      <c r="D86" s="19">
        <v>4</v>
      </c>
      <c r="E86" s="28" t="s">
        <v>63</v>
      </c>
      <c r="F86" s="19">
        <v>4</v>
      </c>
      <c r="G86" s="19" t="s">
        <v>11</v>
      </c>
      <c r="H86" s="19" t="s">
        <v>21</v>
      </c>
      <c r="I86" s="19">
        <v>3</v>
      </c>
      <c r="J86" s="19">
        <v>1</v>
      </c>
      <c r="K86" s="18" t="s">
        <v>11</v>
      </c>
      <c r="L86" s="18" t="s">
        <v>21</v>
      </c>
      <c r="M86" s="18" t="s">
        <v>21</v>
      </c>
      <c r="N86" s="20">
        <v>45458</v>
      </c>
      <c r="O86" s="18">
        <v>1</v>
      </c>
      <c r="P86" s="18">
        <v>8</v>
      </c>
      <c r="Q86" s="18">
        <v>0</v>
      </c>
      <c r="R86" s="18">
        <f t="shared" si="94"/>
        <v>1</v>
      </c>
      <c r="S86" s="18" t="str">
        <f t="shared" si="144"/>
        <v>EDM</v>
      </c>
    </row>
    <row r="87" spans="1:19" x14ac:dyDescent="0.25">
      <c r="A87" s="14" t="str">
        <f t="shared" si="145"/>
        <v>Tuesday</v>
      </c>
      <c r="B87" s="20">
        <v>45461</v>
      </c>
      <c r="C87" s="18" t="s">
        <v>33</v>
      </c>
      <c r="D87" s="19">
        <v>4</v>
      </c>
      <c r="E87" s="28" t="s">
        <v>63</v>
      </c>
      <c r="F87" s="19">
        <v>5</v>
      </c>
      <c r="G87" s="19" t="s">
        <v>11</v>
      </c>
      <c r="H87" s="19" t="s">
        <v>21</v>
      </c>
      <c r="I87" s="19">
        <v>3</v>
      </c>
      <c r="J87" s="19">
        <v>2</v>
      </c>
      <c r="K87" s="18" t="s">
        <v>21</v>
      </c>
      <c r="L87" s="18" t="s">
        <v>11</v>
      </c>
      <c r="M87" s="18" t="s">
        <v>21</v>
      </c>
      <c r="N87" s="20">
        <v>45461</v>
      </c>
      <c r="O87" s="18">
        <v>5</v>
      </c>
      <c r="P87" s="18">
        <v>3</v>
      </c>
      <c r="Q87" s="18">
        <v>0</v>
      </c>
      <c r="R87" s="18">
        <f t="shared" si="94"/>
        <v>1</v>
      </c>
      <c r="S87" s="18" t="str">
        <f t="shared" si="144"/>
        <v>EDM</v>
      </c>
    </row>
    <row r="88" spans="1:19" x14ac:dyDescent="0.25">
      <c r="A88" s="14" t="str">
        <f t="shared" si="145"/>
        <v>Friday</v>
      </c>
      <c r="B88" s="20">
        <v>45464</v>
      </c>
      <c r="C88" s="18" t="s">
        <v>33</v>
      </c>
      <c r="D88" s="19">
        <v>4</v>
      </c>
      <c r="E88" s="28" t="s">
        <v>63</v>
      </c>
      <c r="F88" s="19">
        <v>6</v>
      </c>
      <c r="G88" s="19" t="s">
        <v>11</v>
      </c>
      <c r="H88" s="19" t="s">
        <v>21</v>
      </c>
      <c r="I88" s="19">
        <v>3</v>
      </c>
      <c r="J88" s="19">
        <v>3</v>
      </c>
      <c r="K88" s="18" t="s">
        <v>11</v>
      </c>
      <c r="L88" s="18" t="s">
        <v>21</v>
      </c>
      <c r="M88" s="18" t="s">
        <v>21</v>
      </c>
      <c r="N88" s="20">
        <v>45464</v>
      </c>
      <c r="O88" s="18">
        <v>1</v>
      </c>
      <c r="P88" s="18">
        <v>5</v>
      </c>
      <c r="Q88" s="18">
        <v>0</v>
      </c>
      <c r="R88" s="18">
        <f t="shared" si="94"/>
        <v>1</v>
      </c>
      <c r="S88" s="18" t="str">
        <f t="shared" si="144"/>
        <v>EDM</v>
      </c>
    </row>
    <row r="89" spans="1:19" ht="15.75" thickBot="1" x14ac:dyDescent="0.3">
      <c r="A89" s="42" t="str">
        <f t="shared" si="145"/>
        <v>Monday</v>
      </c>
      <c r="B89" s="23">
        <v>45467</v>
      </c>
      <c r="C89" s="24" t="s">
        <v>33</v>
      </c>
      <c r="D89" s="25">
        <v>4</v>
      </c>
      <c r="E89" s="44" t="s">
        <v>63</v>
      </c>
      <c r="F89" s="25">
        <v>7</v>
      </c>
      <c r="G89" s="25" t="s">
        <v>11</v>
      </c>
      <c r="H89" s="25" t="s">
        <v>21</v>
      </c>
      <c r="I89" s="25">
        <v>4</v>
      </c>
      <c r="J89" s="25">
        <v>3</v>
      </c>
      <c r="K89" s="24" t="s">
        <v>21</v>
      </c>
      <c r="L89" s="24" t="s">
        <v>11</v>
      </c>
      <c r="M89" s="24" t="s">
        <v>21</v>
      </c>
      <c r="N89" s="23">
        <v>45467</v>
      </c>
      <c r="O89" s="24">
        <v>1</v>
      </c>
      <c r="P89" s="24">
        <v>2</v>
      </c>
      <c r="Q89" s="24">
        <v>0</v>
      </c>
      <c r="R89" s="24">
        <f t="shared" si="94"/>
        <v>0</v>
      </c>
      <c r="S89" s="24" t="str">
        <f t="shared" si="144"/>
        <v>FLA</v>
      </c>
    </row>
    <row r="90" spans="1:19" ht="15.75" thickTop="1" x14ac:dyDescent="0.25"/>
  </sheetData>
  <conditionalFormatting sqref="A1:ZW10000">
    <cfRule type="cellIs" dxfId="17" priority="13" operator="equal">
      <formula>"LAK"</formula>
    </cfRule>
    <cfRule type="cellIs" dxfId="16" priority="52" operator="equal">
      <formula>"NYR"</formula>
    </cfRule>
    <cfRule type="cellIs" dxfId="15" priority="53" operator="equal">
      <formula>"TBL"</formula>
    </cfRule>
    <cfRule type="cellIs" dxfId="14" priority="54" operator="equal">
      <formula>"BOS"</formula>
    </cfRule>
    <cfRule type="cellIs" dxfId="13" priority="14" operator="equal">
      <formula>"TOR"</formula>
    </cfRule>
    <cfRule type="cellIs" dxfId="12" priority="17" operator="equal">
      <formula>"CAR"</formula>
    </cfRule>
    <cfRule type="cellIs" dxfId="11" priority="20" operator="equal">
      <formula>"NYI"</formula>
    </cfRule>
    <cfRule type="cellIs" dxfId="10" priority="23" operator="equal">
      <formula>"FLA"</formula>
    </cfRule>
    <cfRule type="cellIs" dxfId="9" priority="25" operator="equal">
      <formula>"EDM"</formula>
    </cfRule>
    <cfRule type="cellIs" dxfId="8" priority="26" operator="equal">
      <formula>"DAL"</formula>
    </cfRule>
    <cfRule type="cellIs" dxfId="7" priority="27" operator="equal">
      <formula>"NSH"</formula>
    </cfRule>
    <cfRule type="cellIs" dxfId="6" priority="28" operator="equal">
      <formula>"VAN"</formula>
    </cfRule>
    <cfRule type="cellIs" dxfId="5" priority="29" operator="equal">
      <formula>"COL"</formula>
    </cfRule>
    <cfRule type="cellIs" dxfId="4" priority="30" operator="equal">
      <formula>"WPG"</formula>
    </cfRule>
    <cfRule type="cellIs" dxfId="3" priority="50" operator="equal">
      <formula>"VGK"</formula>
    </cfRule>
    <cfRule type="cellIs" dxfId="2" priority="51" operator="equal">
      <formula>"WSH"</formula>
    </cfRule>
  </conditionalFormatting>
  <conditionalFormatting sqref="I1:J99">
    <cfRule type="colorScale" priority="169">
      <colorScale>
        <cfvo type="formula" val="0"/>
        <cfvo type="formula" val="2"/>
        <cfvo type="formula" val="4"/>
        <color rgb="FFF8696B"/>
        <color rgb="FFFFEB84"/>
        <color rgb="FF63BE7B"/>
      </colorScale>
    </cfRule>
  </conditionalFormatting>
  <conditionalFormatting sqref="I33:J33">
    <cfRule type="colorScale" priority="167">
      <colorScale>
        <cfvo type="formula" val="0"/>
        <cfvo type="formula" val="2"/>
        <cfvo type="formula" val="4"/>
        <color rgb="FFF8696B"/>
        <color rgb="FFFFEB84"/>
        <color rgb="FF63BE7B"/>
      </colorScale>
    </cfRule>
  </conditionalFormatting>
  <conditionalFormatting sqref="I62:J62 I63">
    <cfRule type="colorScale" priority="155">
      <colorScale>
        <cfvo type="formula" val="0"/>
        <cfvo type="formula" val="2"/>
        <cfvo type="formula" val="4"/>
        <color rgb="FFF8696B"/>
        <color rgb="FFFFEB84"/>
        <color rgb="FF63BE7B"/>
      </colorScale>
    </cfRule>
    <cfRule type="colorScale" priority="154">
      <colorScale>
        <cfvo type="formula" val="0"/>
        <cfvo type="formula" val="2"/>
        <cfvo type="formula" val="4"/>
        <color rgb="FFF8696B"/>
        <color rgb="FFFFEB84"/>
        <color rgb="FF63BE7B"/>
      </colorScale>
    </cfRule>
  </conditionalFormatting>
  <conditionalFormatting sqref="R1:R1048576">
    <cfRule type="colorScale" priority="170">
      <colorScale>
        <cfvo type="min"/>
        <cfvo type="max"/>
        <color rgb="FFFF3300"/>
        <color theme="9"/>
      </colorScale>
    </cfRule>
  </conditionalFormatting>
  <conditionalFormatting sqref="AB22:AE37 AB41:AE48 AB52:AE55">
    <cfRule type="cellIs" dxfId="1" priority="152" operator="equal">
      <formula>0</formula>
    </cfRule>
  </conditionalFormatting>
  <conditionalFormatting sqref="AB59:AE60">
    <cfRule type="cellIs" dxfId="0" priority="56" operator="equal">
      <formula>0</formula>
    </cfRule>
  </conditionalFormatting>
  <conditionalFormatting sqref="AE3:AE17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22:AF37">
    <cfRule type="colorScale" priority="11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41:AF48">
    <cfRule type="colorScale" priority="739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52:AF55">
    <cfRule type="colorScale" priority="60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F59:AF60">
    <cfRule type="colorScale" priority="5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W22:AW37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41:AW48">
    <cfRule type="colorScale" priority="4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W52:AW55 AW59:AW60">
    <cfRule type="colorScale" priority="7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X22:AX37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41:AX48">
    <cfRule type="colorScale" priority="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52:AX55 AX59:AX60">
    <cfRule type="colorScale" priority="7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Y22:AY37 AU22:AV37"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Y41:AY48 AU41:AV48"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Y52:AY55 AU52:AV55 AY59:AY60 AU59:AV60">
    <cfRule type="colorScale" priority="7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Z22:BA37 BD22:BD37">
    <cfRule type="colorScale" priority="151">
      <colorScale>
        <cfvo type="min"/>
        <cfvo type="max"/>
        <color rgb="FFFCFCFF"/>
        <color rgb="FF63BE7B"/>
      </colorScale>
    </cfRule>
  </conditionalFormatting>
  <conditionalFormatting sqref="AZ41:BA48 BD41:BD48">
    <cfRule type="colorScale" priority="493">
      <colorScale>
        <cfvo type="min"/>
        <cfvo type="max"/>
        <color rgb="FFFCFCFF"/>
        <color rgb="FF63BE7B"/>
      </colorScale>
    </cfRule>
  </conditionalFormatting>
  <conditionalFormatting sqref="AZ52:BA55 BD52:BD55 AZ59:BA60 BD59:BD60">
    <cfRule type="colorScale" priority="723">
      <colorScale>
        <cfvo type="min"/>
        <cfvo type="max"/>
        <color rgb="FFFCFCFF"/>
        <color rgb="FF63BE7B"/>
      </colorScale>
    </cfRule>
  </conditionalFormatting>
  <conditionalFormatting sqref="BB22:BC37 BE22:BE37">
    <cfRule type="colorScale" priority="150">
      <colorScale>
        <cfvo type="min"/>
        <cfvo type="max"/>
        <color rgb="FFFCFCFF"/>
        <color rgb="FFF8696B"/>
      </colorScale>
    </cfRule>
  </conditionalFormatting>
  <conditionalFormatting sqref="BB41:BC48 BE41:BE48">
    <cfRule type="colorScale" priority="501">
      <colorScale>
        <cfvo type="min"/>
        <cfvo type="max"/>
        <color rgb="FFFCFCFF"/>
        <color rgb="FFF8696B"/>
      </colorScale>
    </cfRule>
  </conditionalFormatting>
  <conditionalFormatting sqref="BB52:BC55 BE52:BE55 BB59:BC60 BE59:BE60">
    <cfRule type="colorScale" priority="731">
      <colorScale>
        <cfvo type="min"/>
        <cfvo type="max"/>
        <color rgb="FFFCFCFF"/>
        <color rgb="FFF8696B"/>
      </colorScale>
    </cfRule>
  </conditionalFormatting>
  <conditionalFormatting sqref="BH22:BH37">
    <cfRule type="colorScale" priority="1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W22:BW3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X22:BX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Y22:BY37 BU22:BV3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Y22:BY3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Z22:CA37 CD22:CD37">
    <cfRule type="colorScale" priority="10">
      <colorScale>
        <cfvo type="min"/>
        <cfvo type="max"/>
        <color rgb="FFFCFCFF"/>
        <color rgb="FF63BE7B"/>
      </colorScale>
    </cfRule>
  </conditionalFormatting>
  <conditionalFormatting sqref="BZ22:CA37">
    <cfRule type="colorScale" priority="5">
      <colorScale>
        <cfvo type="min"/>
        <cfvo type="max"/>
        <color rgb="FFFCFCFF"/>
        <color rgb="FF63BE7B"/>
      </colorScale>
    </cfRule>
  </conditionalFormatting>
  <conditionalFormatting sqref="CB22:CC37 CE22:CE37">
    <cfRule type="colorScale" priority="9">
      <colorScale>
        <cfvo type="min"/>
        <cfvo type="max"/>
        <color rgb="FFFCFCFF"/>
        <color rgb="FFF8696B"/>
      </colorScale>
    </cfRule>
  </conditionalFormatting>
  <conditionalFormatting sqref="CB22:CC37">
    <cfRule type="colorScale" priority="4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Jordan Briggs</cp:lastModifiedBy>
  <dcterms:created xsi:type="dcterms:W3CDTF">2024-04-21T19:10:08Z</dcterms:created>
  <dcterms:modified xsi:type="dcterms:W3CDTF">2026-06-03T05:04:34Z</dcterms:modified>
</cp:coreProperties>
</file>