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8D8488C-46DB-4EBC-BF78-1BE9A17731F4}" xr6:coauthVersionLast="47" xr6:coauthVersionMax="47" xr10:uidLastSave="{00000000-0000-0000-0000-000000000000}"/>
  <bookViews>
    <workbookView xWindow="-120" yWindow="-120" windowWidth="29040" windowHeight="15840" xr2:uid="{BA8CC626-EC21-40D4-90D0-12FE6302FD13}"/>
  </bookViews>
  <sheets>
    <sheet name="JerseyData" sheetId="1" r:id="rId1"/>
    <sheet name="NikeJerseys" sheetId="7" r:id="rId2"/>
    <sheet name="Wishlist" sheetId="6" r:id="rId3"/>
    <sheet name="Reporting" sheetId="5" r:id="rId4"/>
    <sheet name="NHLTeams" sheetId="2" r:id="rId5"/>
    <sheet name="Divisions" sheetId="3" r:id="rId6"/>
    <sheet name="Conferences" sheetId="4" r:id="rId7"/>
  </sheets>
  <functionGroups builtInGroupCount="19"/>
  <definedNames>
    <definedName name="_xlnm._FilterDatabase" localSheetId="0" hidden="1">JerseyData!$F$1:$F$103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61" i="1" l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H71" i="1"/>
  <c r="G71" i="1"/>
  <c r="H70" i="1"/>
  <c r="G70" i="1"/>
  <c r="H69" i="1"/>
  <c r="G69" i="1"/>
  <c r="H68" i="1"/>
  <c r="G68" i="1"/>
  <c r="H67" i="1"/>
  <c r="G67" i="1"/>
  <c r="H66" i="1"/>
  <c r="G66" i="1"/>
  <c r="D3" i="7"/>
  <c r="AS2" i="7"/>
  <c r="AR2" i="7"/>
  <c r="AG2" i="7"/>
  <c r="E2" i="7"/>
  <c r="D2" i="7"/>
  <c r="H65" i="1"/>
  <c r="G65" i="1"/>
  <c r="H64" i="1"/>
  <c r="G64" i="1"/>
  <c r="AB57" i="1"/>
  <c r="AB56" i="1"/>
  <c r="AB55" i="1"/>
  <c r="AB54" i="1"/>
  <c r="AB53" i="1"/>
  <c r="AB52" i="1"/>
  <c r="AB51" i="1"/>
  <c r="AA53" i="1"/>
  <c r="AA57" i="1"/>
  <c r="AA56" i="1"/>
  <c r="AA55" i="1"/>
  <c r="AA54" i="1"/>
  <c r="AA52" i="1"/>
  <c r="AA51" i="1"/>
  <c r="AE57" i="1"/>
  <c r="AF57" i="1" s="1"/>
  <c r="AE51" i="1"/>
  <c r="AF51" i="1" s="1"/>
  <c r="AE53" i="1"/>
  <c r="AF53" i="1" s="1"/>
  <c r="AE63" i="1"/>
  <c r="AF63" i="1" s="1"/>
  <c r="AE49" i="1"/>
  <c r="AE50" i="1"/>
  <c r="AE52" i="1"/>
  <c r="AF52" i="1" s="1"/>
  <c r="AE58" i="1"/>
  <c r="AE59" i="1"/>
  <c r="AE60" i="1"/>
  <c r="AF60" i="1" s="1"/>
  <c r="AE61" i="1"/>
  <c r="AE62" i="1"/>
  <c r="AF49" i="1"/>
  <c r="AF50" i="1"/>
  <c r="AF58" i="1"/>
  <c r="AF59" i="1"/>
  <c r="AF61" i="1"/>
  <c r="AF62" i="1"/>
  <c r="AF64" i="1"/>
  <c r="AF65" i="1"/>
  <c r="AF66" i="1"/>
  <c r="AF67" i="1"/>
  <c r="AF68" i="1"/>
  <c r="AF69" i="1"/>
  <c r="AQ60" i="1"/>
  <c r="H63" i="1"/>
  <c r="G63" i="1"/>
  <c r="H62" i="1"/>
  <c r="G62" i="1"/>
  <c r="H61" i="1"/>
  <c r="G61" i="1"/>
  <c r="H60" i="1"/>
  <c r="G60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R2" i="1"/>
  <c r="AQ2" i="1"/>
  <c r="AQ6" i="1"/>
  <c r="AQ5" i="1"/>
  <c r="AQ4" i="1"/>
  <c r="AQ3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D27" i="5"/>
  <c r="D26" i="5"/>
  <c r="H59" i="1"/>
  <c r="G59" i="1"/>
  <c r="H58" i="1"/>
  <c r="G58" i="1"/>
  <c r="AE56" i="1" l="1"/>
  <c r="AF56" i="1" s="1"/>
  <c r="AE55" i="1"/>
  <c r="AF55" i="1" s="1"/>
  <c r="AE54" i="1"/>
  <c r="AF54" i="1" s="1"/>
  <c r="H57" i="1"/>
  <c r="G57" i="1"/>
  <c r="H56" i="1"/>
  <c r="G56" i="1"/>
  <c r="H55" i="1"/>
  <c r="G55" i="1"/>
  <c r="H51" i="1"/>
  <c r="G51" i="1"/>
  <c r="H54" i="1"/>
  <c r="G54" i="1"/>
  <c r="H53" i="1"/>
  <c r="G53" i="1"/>
  <c r="H52" i="1"/>
  <c r="G52" i="1"/>
  <c r="H50" i="1"/>
  <c r="G50" i="1"/>
  <c r="H49" i="1"/>
  <c r="G49" i="1"/>
  <c r="AB48" i="1"/>
  <c r="AB47" i="1"/>
  <c r="AB46" i="1"/>
  <c r="AE46" i="1" s="1"/>
  <c r="AF46" i="1" s="1"/>
  <c r="AE47" i="1"/>
  <c r="AF47" i="1" s="1"/>
  <c r="AE45" i="1"/>
  <c r="AF45" i="1" s="1"/>
  <c r="AE44" i="1"/>
  <c r="AF44" i="1" s="1"/>
  <c r="AE43" i="1"/>
  <c r="AF43" i="1" s="1"/>
  <c r="AE42" i="1"/>
  <c r="AF42" i="1" s="1"/>
  <c r="AE41" i="1"/>
  <c r="AF41" i="1" s="1"/>
  <c r="AE40" i="1"/>
  <c r="AF40" i="1" s="1"/>
  <c r="AE39" i="1"/>
  <c r="AF39" i="1" s="1"/>
  <c r="AE38" i="1"/>
  <c r="AF38" i="1" s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Z36" i="1"/>
  <c r="AE36" i="1" s="1"/>
  <c r="AF36" i="1" s="1"/>
  <c r="Z37" i="1"/>
  <c r="Z35" i="1"/>
  <c r="AE35" i="1" s="1"/>
  <c r="AF35" i="1" s="1"/>
  <c r="H36" i="1"/>
  <c r="G36" i="1"/>
  <c r="H37" i="1"/>
  <c r="G37" i="1"/>
  <c r="H35" i="1"/>
  <c r="G35" i="1"/>
  <c r="H34" i="1"/>
  <c r="G34" i="1"/>
  <c r="H33" i="1"/>
  <c r="G33" i="1"/>
  <c r="AA28" i="1"/>
  <c r="AE28" i="1" s="1"/>
  <c r="AF28" i="1" s="1"/>
  <c r="AA27" i="1"/>
  <c r="AE27" i="1" s="1"/>
  <c r="AF27" i="1" s="1"/>
  <c r="AA26" i="1"/>
  <c r="AE26" i="1" s="1"/>
  <c r="AF26" i="1" s="1"/>
  <c r="E25" i="5"/>
  <c r="D25" i="5"/>
  <c r="D24" i="5"/>
  <c r="D23" i="5"/>
  <c r="D22" i="5"/>
  <c r="D21" i="5"/>
  <c r="D20" i="5"/>
  <c r="AF34" i="1"/>
  <c r="AE34" i="1"/>
  <c r="AE33" i="1"/>
  <c r="AF33" i="1" s="1"/>
  <c r="AE32" i="1"/>
  <c r="AF32" i="1" s="1"/>
  <c r="AE31" i="1"/>
  <c r="AF31" i="1" s="1"/>
  <c r="AE30" i="1"/>
  <c r="AF30" i="1" s="1"/>
  <c r="AE29" i="1"/>
  <c r="AF29" i="1" s="1"/>
  <c r="H31" i="1"/>
  <c r="H32" i="1"/>
  <c r="H30" i="1"/>
  <c r="G32" i="1"/>
  <c r="G31" i="1"/>
  <c r="G30" i="1"/>
  <c r="H28" i="1"/>
  <c r="G28" i="1"/>
  <c r="H27" i="1"/>
  <c r="G27" i="1"/>
  <c r="H29" i="1"/>
  <c r="G29" i="1"/>
  <c r="H26" i="1"/>
  <c r="G26" i="1"/>
  <c r="H23" i="1"/>
  <c r="H24" i="1"/>
  <c r="H25" i="1"/>
  <c r="G25" i="1"/>
  <c r="G24" i="1"/>
  <c r="G23" i="1"/>
  <c r="H22" i="1"/>
  <c r="G22" i="1"/>
  <c r="C6" i="5"/>
  <c r="AE25" i="1"/>
  <c r="AF25" i="1" s="1"/>
  <c r="AE24" i="1"/>
  <c r="AF24" i="1" s="1"/>
  <c r="AE23" i="1"/>
  <c r="AF23" i="1" s="1"/>
  <c r="AE22" i="1"/>
  <c r="AF22" i="1" s="1"/>
  <c r="AB21" i="1"/>
  <c r="AE21" i="1" s="1"/>
  <c r="AF21" i="1" s="1"/>
  <c r="AB20" i="1"/>
  <c r="AE20" i="1" s="1"/>
  <c r="AF20" i="1" s="1"/>
  <c r="AB19" i="1"/>
  <c r="AE19" i="1" s="1"/>
  <c r="AF19" i="1" s="1"/>
  <c r="AB18" i="1"/>
  <c r="AE18" i="1" s="1"/>
  <c r="AF18" i="1" s="1"/>
  <c r="AB17" i="1"/>
  <c r="AE17" i="1" s="1"/>
  <c r="AF17" i="1" s="1"/>
  <c r="AB16" i="1"/>
  <c r="AE16" i="1" s="1"/>
  <c r="AF16" i="1" s="1"/>
  <c r="AB15" i="1"/>
  <c r="AE15" i="1" s="1"/>
  <c r="AF15" i="1" s="1"/>
  <c r="AE14" i="1"/>
  <c r="AF14" i="1" s="1"/>
  <c r="AE13" i="1"/>
  <c r="AF13" i="1" s="1"/>
  <c r="AE12" i="1"/>
  <c r="AF12" i="1" s="1"/>
  <c r="AE11" i="1"/>
  <c r="AF11" i="1" s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4" i="1"/>
  <c r="G3" i="1"/>
  <c r="G2" i="1"/>
  <c r="D10" i="1"/>
  <c r="D9" i="1"/>
  <c r="D8" i="1"/>
  <c r="D7" i="1"/>
  <c r="D6" i="1"/>
  <c r="D5" i="1"/>
  <c r="D4" i="1"/>
  <c r="D3" i="1"/>
  <c r="D2" i="1"/>
  <c r="E10" i="1"/>
  <c r="E9" i="1"/>
  <c r="E8" i="1"/>
  <c r="E7" i="1"/>
  <c r="E6" i="1"/>
  <c r="E5" i="1"/>
  <c r="E4" i="1"/>
  <c r="E3" i="1"/>
  <c r="E2" i="1"/>
  <c r="AB10" i="1"/>
  <c r="AE10" i="1" s="1"/>
  <c r="AF10" i="1" s="1"/>
  <c r="AB9" i="1"/>
  <c r="AE9" i="1" s="1"/>
  <c r="AF9" i="1" s="1"/>
  <c r="AB8" i="1"/>
  <c r="AE8" i="1" s="1"/>
  <c r="AF8" i="1" s="1"/>
  <c r="AC7" i="1"/>
  <c r="AC6" i="1"/>
  <c r="AC5" i="1"/>
  <c r="AB3" i="1"/>
  <c r="AE3" i="1" s="1"/>
  <c r="AF3" i="1" s="1"/>
  <c r="AB7" i="1"/>
  <c r="AB6" i="1"/>
  <c r="AB5" i="1"/>
  <c r="AE4" i="1"/>
  <c r="AF4" i="1" s="1"/>
  <c r="AF2" i="1"/>
  <c r="C5" i="5"/>
  <c r="AE48" i="1" l="1"/>
  <c r="AF48" i="1" s="1"/>
  <c r="AE37" i="1"/>
  <c r="AF37" i="1" s="1"/>
  <c r="C15" i="5"/>
  <c r="C11" i="5"/>
  <c r="C10" i="5"/>
  <c r="C14" i="5"/>
  <c r="C17" i="5"/>
  <c r="C16" i="5"/>
  <c r="AE6" i="1"/>
  <c r="AF6" i="1" s="1"/>
  <c r="AE7" i="1"/>
  <c r="AF7" i="1" s="1"/>
  <c r="AE5" i="1"/>
  <c r="AF5" i="1" s="1"/>
  <c r="C7" i="5" l="1"/>
</calcChain>
</file>

<file path=xl/sharedStrings.xml><?xml version="1.0" encoding="utf-8"?>
<sst xmlns="http://schemas.openxmlformats.org/spreadsheetml/2006/main" count="1349" uniqueCount="486">
  <si>
    <t>Florida Panthers</t>
  </si>
  <si>
    <t>Matthew</t>
  </si>
  <si>
    <t>Tkachuk</t>
  </si>
  <si>
    <t>Red</t>
  </si>
  <si>
    <t>Home</t>
  </si>
  <si>
    <t>Calgary Flames</t>
  </si>
  <si>
    <t>Edmonton Oilers</t>
  </si>
  <si>
    <t>Jonathan</t>
  </si>
  <si>
    <t>Huberdeau</t>
  </si>
  <si>
    <t>Connor</t>
  </si>
  <si>
    <t>Blue</t>
  </si>
  <si>
    <t>OrderDate</t>
  </si>
  <si>
    <t>ReceiveDate</t>
  </si>
  <si>
    <t>Team</t>
  </si>
  <si>
    <t>PlayerFirst</t>
  </si>
  <si>
    <t>PlayerLast</t>
  </si>
  <si>
    <t>Colours</t>
  </si>
  <si>
    <t>Price</t>
  </si>
  <si>
    <t>MainColour</t>
  </si>
  <si>
    <t>SecondColour</t>
  </si>
  <si>
    <t>White</t>
  </si>
  <si>
    <t>Orange</t>
  </si>
  <si>
    <t>Yellow</t>
  </si>
  <si>
    <t>Number</t>
  </si>
  <si>
    <t>Washington Capitals</t>
  </si>
  <si>
    <t>Montreal Canadiens</t>
  </si>
  <si>
    <t>Colorado Avalanche</t>
  </si>
  <si>
    <t>Alexander</t>
  </si>
  <si>
    <t>Carey</t>
  </si>
  <si>
    <t>Nathan</t>
  </si>
  <si>
    <t>MacKinnon</t>
  </si>
  <si>
    <t>Ovechkin</t>
  </si>
  <si>
    <t>Burgandy</t>
  </si>
  <si>
    <t>Conference</t>
  </si>
  <si>
    <t>Division</t>
  </si>
  <si>
    <t>Atlantic</t>
  </si>
  <si>
    <t>Pacific</t>
  </si>
  <si>
    <t>Metropolitan</t>
  </si>
  <si>
    <t>Central</t>
  </si>
  <si>
    <t>StickerPrice</t>
  </si>
  <si>
    <t>Duty</t>
  </si>
  <si>
    <t>Shipping</t>
  </si>
  <si>
    <t>Discount</t>
  </si>
  <si>
    <t>Tax</t>
  </si>
  <si>
    <t>PriceC</t>
  </si>
  <si>
    <t>Size</t>
  </si>
  <si>
    <t>USSale</t>
  </si>
  <si>
    <t>IsUSPrice</t>
  </si>
  <si>
    <t>ExchangeRate</t>
  </si>
  <si>
    <t>DiscountReason</t>
  </si>
  <si>
    <t>30% Off</t>
  </si>
  <si>
    <t>25% Off</t>
  </si>
  <si>
    <t>Position</t>
  </si>
  <si>
    <t>Forward</t>
  </si>
  <si>
    <t>DOB</t>
  </si>
  <si>
    <t>RetireDate</t>
  </si>
  <si>
    <t>FirstSeason</t>
  </si>
  <si>
    <t>LastSeason</t>
  </si>
  <si>
    <t>2005-2006</t>
  </si>
  <si>
    <t>2015-2016</t>
  </si>
  <si>
    <t>2013-2014</t>
  </si>
  <si>
    <t>2007-2008</t>
  </si>
  <si>
    <t>2021-2022</t>
  </si>
  <si>
    <t>2012-2013</t>
  </si>
  <si>
    <t>2016-2017</t>
  </si>
  <si>
    <t>Winnipeg Jets</t>
  </si>
  <si>
    <t>Pittsburgh Penguins</t>
  </si>
  <si>
    <t>Toronto Maple Leafs</t>
  </si>
  <si>
    <t>Blake</t>
  </si>
  <si>
    <t>Wheeler</t>
  </si>
  <si>
    <t>Sidney</t>
  </si>
  <si>
    <t>Crosby</t>
  </si>
  <si>
    <t>Matthews</t>
  </si>
  <si>
    <t>Black</t>
  </si>
  <si>
    <t>Nationality</t>
  </si>
  <si>
    <t>USA</t>
  </si>
  <si>
    <t>WaitDays</t>
  </si>
  <si>
    <t>OwnedDays</t>
  </si>
  <si>
    <t>ID</t>
  </si>
  <si>
    <t>FullTeamName</t>
  </si>
  <si>
    <t>ShortTeamName</t>
  </si>
  <si>
    <t>ImagePath</t>
  </si>
  <si>
    <t>Colour_1</t>
  </si>
  <si>
    <t>Colour_2</t>
  </si>
  <si>
    <t>Colour_3</t>
  </si>
  <si>
    <t>Colour_4</t>
  </si>
  <si>
    <t>Colour_5</t>
  </si>
  <si>
    <t>Colour_6</t>
  </si>
  <si>
    <t>Anaheim Ducks</t>
  </si>
  <si>
    <t>ANA</t>
  </si>
  <si>
    <t>Images\logo_anaheim_ducks.png</t>
  </si>
  <si>
    <t>#FE7F00</t>
  </si>
  <si>
    <t>#B5985A</t>
  </si>
  <si>
    <t>#111111</t>
  </si>
  <si>
    <t>#FFFFFF</t>
  </si>
  <si>
    <t/>
  </si>
  <si>
    <t>Arizona Coyotes</t>
  </si>
  <si>
    <t>ARI</t>
  </si>
  <si>
    <t>Images\logo_arizona_coyotes.png</t>
  </si>
  <si>
    <t>#8C2633</t>
  </si>
  <si>
    <t>#C09867</t>
  </si>
  <si>
    <t>Boston Bruins</t>
  </si>
  <si>
    <t>BOS</t>
  </si>
  <si>
    <t>Images\logo_boston_bruins.png</t>
  </si>
  <si>
    <t>#FFB81C</t>
  </si>
  <si>
    <t>#000000</t>
  </si>
  <si>
    <t>Buffalo Sabres</t>
  </si>
  <si>
    <t>BUF</t>
  </si>
  <si>
    <t>Images\logo_buffalo_sabres.png</t>
  </si>
  <si>
    <t>#041E42</t>
  </si>
  <si>
    <t>#FCB514</t>
  </si>
  <si>
    <t>#ADAFAA</t>
  </si>
  <si>
    <t>Carolina Hurricanes</t>
  </si>
  <si>
    <t>CAR</t>
  </si>
  <si>
    <t>Images\logo_carolina_hurricanes.png</t>
  </si>
  <si>
    <t>#CC0000</t>
  </si>
  <si>
    <t>#A2AAAD</t>
  </si>
  <si>
    <t>Columbus Blue Jackets</t>
  </si>
  <si>
    <t>CBJ</t>
  </si>
  <si>
    <t>Images\logo_colombus_blue_jackets.png</t>
  </si>
  <si>
    <t>#00285C</t>
  </si>
  <si>
    <t>#CE1126</t>
  </si>
  <si>
    <t>#A4A9AD</t>
  </si>
  <si>
    <t>CGY</t>
  </si>
  <si>
    <t>Images\logo_calgary_flames.png</t>
  </si>
  <si>
    <t>#C8102E</t>
  </si>
  <si>
    <t>#FFC758</t>
  </si>
  <si>
    <t>#B2B7BB</t>
  </si>
  <si>
    <t>Chicago Blackhawks</t>
  </si>
  <si>
    <t>CHI</t>
  </si>
  <si>
    <t>Images\logo_chicago_blackhawks.png</t>
  </si>
  <si>
    <t>#CF0A2C</t>
  </si>
  <si>
    <t>COL</t>
  </si>
  <si>
    <t>Images\logo_colorado_avalanche.png</t>
  </si>
  <si>
    <t>#6F263D</t>
  </si>
  <si>
    <t>#236192</t>
  </si>
  <si>
    <t>Dallas Stars</t>
  </si>
  <si>
    <t>DAL</t>
  </si>
  <si>
    <t>Images\logo_dallas_stars.png</t>
  </si>
  <si>
    <t>#006847</t>
  </si>
  <si>
    <t>#C0C0C0</t>
  </si>
  <si>
    <t>Detroit Red Wings</t>
  </si>
  <si>
    <t>DET</t>
  </si>
  <si>
    <t>Images\logo_detroit_red_wings.png</t>
  </si>
  <si>
    <t>EDM</t>
  </si>
  <si>
    <t>Images\logo_edmonton_oilers.png</t>
  </si>
  <si>
    <t>#FF4C00</t>
  </si>
  <si>
    <t>FLA</t>
  </si>
  <si>
    <t>Images\logo_florida_panthers.png</t>
  </si>
  <si>
    <t>#002E5F</t>
  </si>
  <si>
    <t>#B9975B</t>
  </si>
  <si>
    <t>Los Angeles Kings</t>
  </si>
  <si>
    <t>LAK</t>
  </si>
  <si>
    <t>Images\logo_los_angeles_kings.png</t>
  </si>
  <si>
    <t>#003E7E</t>
  </si>
  <si>
    <t>#AFB7BA</t>
  </si>
  <si>
    <t>Minnesota Wild</t>
  </si>
  <si>
    <t>MIN</t>
  </si>
  <si>
    <t>Images\logo_minnesota_wild.png</t>
  </si>
  <si>
    <t>#026F5F</t>
  </si>
  <si>
    <t>#B8204F</t>
  </si>
  <si>
    <t>MTL</t>
  </si>
  <si>
    <t>Images\logo_montreal_canadiens.png</t>
  </si>
  <si>
    <t>#AF1E2D</t>
  </si>
  <si>
    <t>#192168</t>
  </si>
  <si>
    <t>New Jersey Devils</t>
  </si>
  <si>
    <t>NJD</t>
  </si>
  <si>
    <t>Images\logo_new_jersey_devils.png</t>
  </si>
  <si>
    <t>Nashville Predators</t>
  </si>
  <si>
    <t>NSH</t>
  </si>
  <si>
    <t>Images\logo_nashville_predators.png</t>
  </si>
  <si>
    <t>New York Islanders</t>
  </si>
  <si>
    <t>NYI</t>
  </si>
  <si>
    <t>Images\logo_new_york_islanders.png</t>
  </si>
  <si>
    <t>#00539B</t>
  </si>
  <si>
    <t>#F57D31</t>
  </si>
  <si>
    <t>#8D9093</t>
  </si>
  <si>
    <t>New York Rangers</t>
  </si>
  <si>
    <t>NYR</t>
  </si>
  <si>
    <t>Images\logo_new_york_rangers.png</t>
  </si>
  <si>
    <t>#0038A8</t>
  </si>
  <si>
    <t>Ottawa Senators</t>
  </si>
  <si>
    <t>OTT</t>
  </si>
  <si>
    <t>Images\logo_ottawa_senators.png</t>
  </si>
  <si>
    <t>#C52032</t>
  </si>
  <si>
    <t>#FFCD00</t>
  </si>
  <si>
    <t>Philadelphia Flyers</t>
  </si>
  <si>
    <t>PHI</t>
  </si>
  <si>
    <t>Images\logo_philadelphia_flyers.png</t>
  </si>
  <si>
    <t>#F74902</t>
  </si>
  <si>
    <t>PIT</t>
  </si>
  <si>
    <t>Images\logo_pittsburgh_penguins.png</t>
  </si>
  <si>
    <t>Seattle Kraken</t>
  </si>
  <si>
    <t>SEA</t>
  </si>
  <si>
    <t>Images\logo_seattle_kraken.png</t>
  </si>
  <si>
    <t>#001628</t>
  </si>
  <si>
    <t>#32CCD6</t>
  </si>
  <si>
    <t>#75D6FF</t>
  </si>
  <si>
    <t>#FF2D55</t>
  </si>
  <si>
    <t>#8E9090</t>
  </si>
  <si>
    <t>San Jose Sharks</t>
  </si>
  <si>
    <t>SJS</t>
  </si>
  <si>
    <t>Images\logo_san_jose_sharks.png</t>
  </si>
  <si>
    <t>#006D75</t>
  </si>
  <si>
    <t>#EA7200</t>
  </si>
  <si>
    <t>St. Louis Blues</t>
  </si>
  <si>
    <t>STL</t>
  </si>
  <si>
    <t>Images\logo_st_louis_blues.png</t>
  </si>
  <si>
    <t>#002F87</t>
  </si>
  <si>
    <t>Tampa Bay Lightning</t>
  </si>
  <si>
    <t>TBL</t>
  </si>
  <si>
    <t>Images\logo_tampa_bay_lightning.png</t>
  </si>
  <si>
    <t>#002868</t>
  </si>
  <si>
    <t>TOR</t>
  </si>
  <si>
    <t>Images\logo_toronto_maple_leafs.png</t>
  </si>
  <si>
    <t>#00205B</t>
  </si>
  <si>
    <t>Vancouver Canucks</t>
  </si>
  <si>
    <t>VAN</t>
  </si>
  <si>
    <t>Images\logo_vancouver_canucks.png</t>
  </si>
  <si>
    <t>#001F5B</t>
  </si>
  <si>
    <t>#00843D</t>
  </si>
  <si>
    <t>#9E9E9E</t>
  </si>
  <si>
    <t>Vegas Golden Knights</t>
  </si>
  <si>
    <t>VGK</t>
  </si>
  <si>
    <t>Images\logo_vegas_golden_knights.png</t>
  </si>
  <si>
    <t>#B4975A</t>
  </si>
  <si>
    <t>#FFC72C</t>
  </si>
  <si>
    <t>WPG</t>
  </si>
  <si>
    <t>Images\logo_winnipeg_jets.png</t>
  </si>
  <si>
    <t>#004C97</t>
  </si>
  <si>
    <t>#92C1E9</t>
  </si>
  <si>
    <t>WSH</t>
  </si>
  <si>
    <t>Images\logo_washington_capitals.png</t>
  </si>
  <si>
    <t>DivisionName</t>
  </si>
  <si>
    <t>ImageURL</t>
  </si>
  <si>
    <t>Colour1</t>
  </si>
  <si>
    <t>Colour2</t>
  </si>
  <si>
    <t>Colour3</t>
  </si>
  <si>
    <t>Colour4</t>
  </si>
  <si>
    <t>Images\logo_atlantic_division.png</t>
  </si>
  <si>
    <t>#D12030</t>
  </si>
  <si>
    <t>#231F20</t>
  </si>
  <si>
    <t>#79858B</t>
  </si>
  <si>
    <t>Images\logo_metropolitan_division.png</t>
  </si>
  <si>
    <t>#FDB825</t>
  </si>
  <si>
    <t>Images\logo_central_division.png</t>
  </si>
  <si>
    <t>#0071B9</t>
  </si>
  <si>
    <t>Images\logo_pacific_division.png</t>
  </si>
  <si>
    <t>#00A668</t>
  </si>
  <si>
    <t>ConferenceName</t>
  </si>
  <si>
    <t>Eastern</t>
  </si>
  <si>
    <t>\Images\logo_eastern_conference.png</t>
  </si>
  <si>
    <t>#B01C2C</t>
  </si>
  <si>
    <t>#FEFEFE</t>
  </si>
  <si>
    <t>#B8A9A6</t>
  </si>
  <si>
    <t>#060201</t>
  </si>
  <si>
    <t>Western</t>
  </si>
  <si>
    <t>\Images\logo_western_conference.png</t>
  </si>
  <si>
    <t>#959CA1</t>
  </si>
  <si>
    <t>Goalie</t>
  </si>
  <si>
    <t>2008-2009</t>
  </si>
  <si>
    <t>Kiprusoff</t>
  </si>
  <si>
    <t>Alternate</t>
  </si>
  <si>
    <t>Miikka</t>
  </si>
  <si>
    <t>2000-2001</t>
  </si>
  <si>
    <t>Sean</t>
  </si>
  <si>
    <t>Monahan</t>
  </si>
  <si>
    <t>Bo</t>
  </si>
  <si>
    <t>Horvat</t>
  </si>
  <si>
    <t>2014-2015</t>
  </si>
  <si>
    <t>Green</t>
  </si>
  <si>
    <t>Distinct Teams:</t>
  </si>
  <si>
    <t>Number Jerseys:</t>
  </si>
  <si>
    <t>Defence</t>
  </si>
  <si>
    <t>Anze</t>
  </si>
  <si>
    <t>Kopitar</t>
  </si>
  <si>
    <t>Quick</t>
  </si>
  <si>
    <t>Ryan</t>
  </si>
  <si>
    <t>Jack</t>
  </si>
  <si>
    <t>Eichel</t>
  </si>
  <si>
    <t>Patrice</t>
  </si>
  <si>
    <t>Bergeron</t>
  </si>
  <si>
    <t>Corey</t>
  </si>
  <si>
    <t>Perry</t>
  </si>
  <si>
    <t>Toews</t>
  </si>
  <si>
    <t>Away</t>
  </si>
  <si>
    <t>Gold</t>
  </si>
  <si>
    <t>Navy</t>
  </si>
  <si>
    <t>2X</t>
  </si>
  <si>
    <t>McDonagh</t>
  </si>
  <si>
    <t>2010-2011</t>
  </si>
  <si>
    <t>2006-2007</t>
  </si>
  <si>
    <t>SLOVENIA</t>
  </si>
  <si>
    <t>CANADA</t>
  </si>
  <si>
    <t>2003-2004</t>
  </si>
  <si>
    <t>2022-2023</t>
  </si>
  <si>
    <t>USStickerPrice</t>
  </si>
  <si>
    <t>RUSSIA</t>
  </si>
  <si>
    <t>FINLAND</t>
  </si>
  <si>
    <t>ThirdColour</t>
  </si>
  <si>
    <t>BrandName</t>
  </si>
  <si>
    <t>JerseyMake</t>
  </si>
  <si>
    <t>Adidas</t>
  </si>
  <si>
    <t>PrimeGreen</t>
  </si>
  <si>
    <t>Total Calculated Price</t>
  </si>
  <si>
    <t>Conferences</t>
  </si>
  <si>
    <t>Divisions</t>
  </si>
  <si>
    <t>Filip</t>
  </si>
  <si>
    <t>Forsberg</t>
  </si>
  <si>
    <t>SWEDEN</t>
  </si>
  <si>
    <t>Climate</t>
  </si>
  <si>
    <t>Reebok</t>
  </si>
  <si>
    <t>Henrik</t>
  </si>
  <si>
    <t>Zetterberg</t>
  </si>
  <si>
    <t>John</t>
  </si>
  <si>
    <t>Tavares</t>
  </si>
  <si>
    <t>Dustin</t>
  </si>
  <si>
    <t>Wolf</t>
  </si>
  <si>
    <t>Alternate Hockey Fights Cancer</t>
  </si>
  <si>
    <t>Pink</t>
  </si>
  <si>
    <t>Purple</t>
  </si>
  <si>
    <t>2002-2003</t>
  </si>
  <si>
    <t>2017-2018</t>
  </si>
  <si>
    <t>2009-2010</t>
  </si>
  <si>
    <t>Sebastian</t>
  </si>
  <si>
    <t>Aho</t>
  </si>
  <si>
    <t>Kane</t>
  </si>
  <si>
    <t>Patrick</t>
  </si>
  <si>
    <t>Jordan</t>
  </si>
  <si>
    <t>Eberle</t>
  </si>
  <si>
    <t>Reverse Retro</t>
  </si>
  <si>
    <t>Teal</t>
  </si>
  <si>
    <t>Premiere</t>
  </si>
  <si>
    <t>D:\NHL jerseys\Images\20231210_121738.jpg</t>
  </si>
  <si>
    <t>D:\NHL jerseys\Images\20231210_122138.jpg</t>
  </si>
  <si>
    <t>ImageFront</t>
  </si>
  <si>
    <t>ImageBack</t>
  </si>
  <si>
    <t>D:\NHL jerseys\Images\20231210_122303.jpg</t>
  </si>
  <si>
    <t>D:\NHL jerseys\Images\20231210_121947.jpg</t>
  </si>
  <si>
    <t>D:\NHL jerseys\Images\20231210_122634.jpg</t>
  </si>
  <si>
    <t>D:\NHL jerseys\Images\20231210_122739.jpg</t>
  </si>
  <si>
    <t>D:\NHL jerseys\Images\20231210_123208.jpg</t>
  </si>
  <si>
    <t>D:\NHL jerseys\Images\20231210_123259.jpg</t>
  </si>
  <si>
    <t>D:\NHL jerseys\Images\20231210_123700.jpg</t>
  </si>
  <si>
    <t>D:\NHL jerseys\Images\20231210_123731.jpg</t>
  </si>
  <si>
    <t>D:\NHL jerseys\Images\20231210_123839.jpg</t>
  </si>
  <si>
    <t>D:\NHL jerseys\Images\20231210_124005.jpg</t>
  </si>
  <si>
    <t>D:\NHL jerseys\Images\20231210_124107.jpg</t>
  </si>
  <si>
    <t>D:\NHL jerseys\Images\20231210_124347.jpg</t>
  </si>
  <si>
    <t>D:\NHL jerseys\Images\20231210_124429.jpg</t>
  </si>
  <si>
    <t>D:\NHL jerseys\Images\20231210_124541.jpg</t>
  </si>
  <si>
    <t>D:\NHL jerseys\Images\20231210_124639.jpg</t>
  </si>
  <si>
    <t>D:\NHL jerseys\Images\20231210_124813.jpg</t>
  </si>
  <si>
    <t>D:\NHL jerseys\Images\20231210_124742.jpg</t>
  </si>
  <si>
    <t>Marchessault</t>
  </si>
  <si>
    <t>Marc-Andre</t>
  </si>
  <si>
    <t>Fleury</t>
  </si>
  <si>
    <t>Logan</t>
  </si>
  <si>
    <t>Couture</t>
  </si>
  <si>
    <t>CaptainPatch</t>
  </si>
  <si>
    <t>AssistantPatch</t>
  </si>
  <si>
    <t>Grey</t>
  </si>
  <si>
    <t>OpenDate</t>
  </si>
  <si>
    <t>Supplier</t>
  </si>
  <si>
    <t>MadeDate</t>
  </si>
  <si>
    <t>Players</t>
  </si>
  <si>
    <t>Youngest</t>
  </si>
  <si>
    <t>Oldest</t>
  </si>
  <si>
    <t>Average</t>
  </si>
  <si>
    <t>Name</t>
  </si>
  <si>
    <t>Closest To My Bday</t>
  </si>
  <si>
    <t>03/23</t>
  </si>
  <si>
    <t>Fanatics Canada Online Shop</t>
  </si>
  <si>
    <t>SportsK</t>
  </si>
  <si>
    <t>FLA Team Shop</t>
  </si>
  <si>
    <t>04/23</t>
  </si>
  <si>
    <t>11/17</t>
  </si>
  <si>
    <t>D:\NHL jerseys\Images\20231210_124202.jpg</t>
  </si>
  <si>
    <t>07/22</t>
  </si>
  <si>
    <t>07/21</t>
  </si>
  <si>
    <t>10/22</t>
  </si>
  <si>
    <t>06/18</t>
  </si>
  <si>
    <t>09/21</t>
  </si>
  <si>
    <t>Mark</t>
  </si>
  <si>
    <t>Scheifele</t>
  </si>
  <si>
    <t>Light Blue</t>
  </si>
  <si>
    <t>Sportchek</t>
  </si>
  <si>
    <t>2011-2012</t>
  </si>
  <si>
    <t>02/19</t>
  </si>
  <si>
    <t>05/18</t>
  </si>
  <si>
    <t>Jamie</t>
  </si>
  <si>
    <t>Benn</t>
  </si>
  <si>
    <t>Martin</t>
  </si>
  <si>
    <t>St. Louis</t>
  </si>
  <si>
    <t>Mitchell &amp; Ness</t>
  </si>
  <si>
    <t>1998-1999</t>
  </si>
  <si>
    <t>Aleksander </t>
  </si>
  <si>
    <t>Barkov</t>
  </si>
  <si>
    <t>Vladimir</t>
  </si>
  <si>
    <t>Tarasenko</t>
  </si>
  <si>
    <t>Max</t>
  </si>
  <si>
    <t>Domi</t>
  </si>
  <si>
    <t>Matt</t>
  </si>
  <si>
    <t>Duchene</t>
  </si>
  <si>
    <t>Zach</t>
  </si>
  <si>
    <t>Werenski</t>
  </si>
  <si>
    <t>Claude</t>
  </si>
  <si>
    <t>Giroux</t>
  </si>
  <si>
    <t>Parise</t>
  </si>
  <si>
    <t>NYR Blueshirts Adidas Primegreen</t>
  </si>
  <si>
    <t>Calgary Away</t>
  </si>
  <si>
    <t>Brady</t>
  </si>
  <si>
    <t>2018-2019</t>
  </si>
  <si>
    <t>Stamkos</t>
  </si>
  <si>
    <t>Iginla</t>
  </si>
  <si>
    <t>Pavelski</t>
  </si>
  <si>
    <t>Malkin</t>
  </si>
  <si>
    <t>Doughty</t>
  </si>
  <si>
    <t>Cooley</t>
  </si>
  <si>
    <t>Guenther</t>
  </si>
  <si>
    <t>09/22</t>
  </si>
  <si>
    <t>Wayne</t>
  </si>
  <si>
    <t>Gretzky</t>
  </si>
  <si>
    <t>Giordano</t>
  </si>
  <si>
    <t>Drake</t>
  </si>
  <si>
    <t>Batherson</t>
  </si>
  <si>
    <t>Nick</t>
  </si>
  <si>
    <t>Suzuki</t>
  </si>
  <si>
    <t>Kris</t>
  </si>
  <si>
    <t>Letang</t>
  </si>
  <si>
    <t>Dark Blue</t>
  </si>
  <si>
    <t>Ebay</t>
  </si>
  <si>
    <t>2019-2020</t>
  </si>
  <si>
    <t>Artemi</t>
  </si>
  <si>
    <t>Panarin</t>
  </si>
  <si>
    <t>Barzal</t>
  </si>
  <si>
    <t>Gaudreau</t>
  </si>
  <si>
    <t>Steven</t>
  </si>
  <si>
    <t>Kyle</t>
  </si>
  <si>
    <t>Tyler</t>
  </si>
  <si>
    <t>Seguin</t>
  </si>
  <si>
    <t>Elias</t>
  </si>
  <si>
    <t>Petterson</t>
  </si>
  <si>
    <t>Johnny</t>
  </si>
  <si>
    <t>Silver</t>
  </si>
  <si>
    <t>SVP</t>
  </si>
  <si>
    <t>1978-1980</t>
  </si>
  <si>
    <t>Auston</t>
  </si>
  <si>
    <t>ClosestToMe</t>
  </si>
  <si>
    <t>Adam</t>
  </si>
  <si>
    <t>Henrique</t>
  </si>
  <si>
    <t>Mitch</t>
  </si>
  <si>
    <t>Marner</t>
  </si>
  <si>
    <t>Nico</t>
  </si>
  <si>
    <t>Hischier</t>
  </si>
  <si>
    <t>McDavid</t>
  </si>
  <si>
    <t>TJ</t>
  </si>
  <si>
    <t>Oshie</t>
  </si>
  <si>
    <t>SWITZERLAND</t>
  </si>
  <si>
    <t>25% OFF</t>
  </si>
  <si>
    <t>50% Off</t>
  </si>
  <si>
    <t>15% OFF</t>
  </si>
  <si>
    <t xml:space="preserve"> League</t>
  </si>
  <si>
    <t>IIHF</t>
  </si>
  <si>
    <t>Event</t>
  </si>
  <si>
    <t>World Juniors - Halifax Moncton</t>
  </si>
  <si>
    <t>Team Canada</t>
  </si>
  <si>
    <t>2022 Olympics</t>
  </si>
  <si>
    <t>Gender</t>
  </si>
  <si>
    <t>Men</t>
  </si>
  <si>
    <t>Women</t>
  </si>
  <si>
    <t>Marie</t>
  </si>
  <si>
    <t>Philip-Poulin</t>
  </si>
  <si>
    <t>Drouin</t>
  </si>
  <si>
    <t>Evgeni</t>
  </si>
  <si>
    <t>Joe</t>
  </si>
  <si>
    <t>Thornton</t>
  </si>
  <si>
    <t>1997-1998</t>
  </si>
  <si>
    <t>Leon</t>
  </si>
  <si>
    <t>Draisaitl</t>
  </si>
  <si>
    <t>GERMANY</t>
  </si>
  <si>
    <t>Mackenzie</t>
  </si>
  <si>
    <t>Weegar</t>
  </si>
  <si>
    <t>CancelledOrder</t>
  </si>
  <si>
    <t>Reverse Retro 2.0</t>
  </si>
  <si>
    <t>Stadium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</si>
</sst>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sz val="11"/>
      <color indexed="8"/>
      <name val="Tw Cen MT"/>
    </font>
    <font>
      <sz val="11"/>
      <color rgb="FF000000"/>
      <name val="Calibri"/>
      <family val="2"/>
      <scheme val="minor"/>
    </font>
    <font>
      <sz val="11"/>
      <color rgb="FF002E5F"/>
      <name val="Calibri"/>
      <family val="2"/>
      <scheme val="minor"/>
    </font>
    <font>
      <sz val="11"/>
      <color rgb="FF041E42"/>
      <name val="Calibri"/>
      <family val="2"/>
      <scheme val="minor"/>
    </font>
    <font>
      <sz val="11"/>
      <color rgb="FF192168"/>
      <name val="Calibri"/>
      <family val="2"/>
      <scheme val="minor"/>
    </font>
    <font>
      <sz val="11"/>
      <color rgb="FF236192"/>
      <name val="Calibri"/>
      <family val="2"/>
      <scheme val="minor"/>
    </font>
    <font>
      <sz val="11"/>
      <color rgb="FF004C9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C758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</font>
    <font>
      <sz val="11"/>
      <color rgb="FFFEFEFE"/>
      <name val="Calibri"/>
      <family val="2"/>
      <scheme val="minor"/>
    </font>
    <font>
      <sz val="11"/>
      <color rgb="FF231F20"/>
      <name val="Calibri"/>
      <family val="2"/>
      <scheme val="minor"/>
    </font>
    <font>
      <sz val="11"/>
      <color indexed="8"/>
      <name val="Tw Cen MT"/>
      <family val="2"/>
    </font>
    <font>
      <sz val="11"/>
      <color theme="0"/>
      <name val="Tw Cen MT"/>
      <family val="2"/>
    </font>
    <font>
      <sz val="11"/>
      <color rgb="FF00843D"/>
      <name val="Calibri"/>
      <family val="2"/>
      <scheme val="minor"/>
    </font>
    <font>
      <sz val="11"/>
      <color rgb="FFAFB7BA"/>
      <name val="Calibri"/>
      <family val="2"/>
      <scheme val="minor"/>
    </font>
    <font>
      <sz val="11"/>
      <color rgb="FFCE1126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B5985A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57D31"/>
      <name val="Calibri"/>
      <family val="2"/>
      <scheme val="minor"/>
    </font>
    <font>
      <sz val="11"/>
      <color rgb="FF32CCD6"/>
      <name val="Calibri"/>
      <family val="2"/>
      <scheme val="minor"/>
    </font>
    <font>
      <sz val="11"/>
      <color rgb="FFFFC72C"/>
      <name val="Calibri"/>
      <family val="2"/>
      <scheme val="minor"/>
    </font>
    <font>
      <sz val="11"/>
      <color rgb="FFB8204F"/>
      <name val="Calibri"/>
      <family val="2"/>
      <scheme val="minor"/>
    </font>
    <font>
      <sz val="11"/>
      <color rgb="FFEA7200"/>
      <name val="Calibri"/>
      <family val="2"/>
      <scheme val="minor"/>
    </font>
    <font>
      <sz val="11"/>
      <color rgb="FFC09867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8102E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3E7E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001F5B"/>
        <bgColor indexed="64"/>
      </patternFill>
    </fill>
    <fill>
      <patternFill patternType="solid">
        <fgColor rgb="FFB5985A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C2633"/>
        <bgColor indexed="64"/>
      </patternFill>
    </fill>
    <fill>
      <patternFill patternType="solid">
        <fgColor rgb="FFC09867"/>
        <bgColor indexed="64"/>
      </patternFill>
    </fill>
    <fill>
      <patternFill patternType="solid">
        <fgColor rgb="FFFCB514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FFC758"/>
        <bgColor indexed="64"/>
      </patternFill>
    </fill>
    <fill>
      <patternFill patternType="solid">
        <fgColor rgb="FFB2B7BB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236192"/>
        <bgColor indexed="64"/>
      </patternFill>
    </fill>
    <fill>
      <patternFill patternType="solid">
        <fgColor rgb="FF00285C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2E5F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AFB7BA"/>
        <bgColor indexed="64"/>
      </patternFill>
    </fill>
    <fill>
      <patternFill patternType="solid">
        <fgColor rgb="FF026F5F"/>
        <bgColor indexed="64"/>
      </patternFill>
    </fill>
    <fill>
      <patternFill patternType="solid">
        <fgColor rgb="FFB8204F"/>
        <bgColor indexed="64"/>
      </patternFill>
    </fill>
    <fill>
      <patternFill patternType="solid">
        <fgColor rgb="FF192168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F57D31"/>
        <bgColor indexed="64"/>
      </patternFill>
    </fill>
    <fill>
      <patternFill patternType="solid">
        <fgColor rgb="FF8D9093"/>
        <bgColor indexed="64"/>
      </patternFill>
    </fill>
    <fill>
      <patternFill patternType="solid">
        <fgColor rgb="FF0038A8"/>
        <bgColor indexed="64"/>
      </patternFill>
    </fill>
    <fill>
      <patternFill patternType="solid">
        <fgColor rgb="FFC52032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06D75"/>
        <bgColor indexed="64"/>
      </patternFill>
    </fill>
    <fill>
      <patternFill patternType="solid">
        <fgColor rgb="FFEA7200"/>
        <bgColor indexed="64"/>
      </patternFill>
    </fill>
    <fill>
      <patternFill patternType="solid">
        <fgColor rgb="FF001628"/>
        <bgColor indexed="64"/>
      </patternFill>
    </fill>
    <fill>
      <patternFill patternType="solid">
        <fgColor rgb="FF32CCD6"/>
        <bgColor indexed="64"/>
      </patternFill>
    </fill>
    <fill>
      <patternFill patternType="solid">
        <fgColor rgb="FF75D6FF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8E9090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B01C2C"/>
        <bgColor indexed="64"/>
      </patternFill>
    </fill>
    <fill>
      <patternFill patternType="solid">
        <fgColor rgb="FFD12030"/>
        <bgColor indexed="64"/>
      </patternFill>
    </fill>
    <fill>
      <patternFill patternType="solid">
        <fgColor rgb="FF00A668"/>
        <bgColor indexed="64"/>
      </patternFill>
    </fill>
    <fill>
      <patternFill patternType="solid">
        <fgColor rgb="FFFDB825"/>
        <bgColor indexed="64"/>
      </patternFill>
    </fill>
    <fill>
      <patternFill patternType="solid">
        <fgColor rgb="FF0071B9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79858B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21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0" fontId="3" fillId="2" borderId="1" xfId="2" applyFont="1" applyFill="1" applyBorder="1" applyAlignment="1">
      <alignment horizontal="center"/>
    </xf>
    <xf numFmtId="0" fontId="3" fillId="0" borderId="2" xfId="2" applyFont="1" applyBorder="1" applyAlignment="1">
      <alignment horizontal="right" wrapText="1"/>
    </xf>
    <xf numFmtId="0" fontId="3" fillId="0" borderId="2" xfId="2" applyFont="1" applyBorder="1" applyAlignment="1">
      <alignment wrapText="1"/>
    </xf>
    <xf numFmtId="0" fontId="3" fillId="2" borderId="1" xfId="3" applyFont="1" applyFill="1" applyBorder="1" applyAlignment="1">
      <alignment horizontal="center"/>
    </xf>
    <xf numFmtId="0" fontId="3" fillId="0" borderId="2" xfId="3" applyFont="1" applyBorder="1" applyAlignment="1">
      <alignment horizontal="right" wrapText="1"/>
    </xf>
    <xf numFmtId="0" fontId="3" fillId="0" borderId="2" xfId="3" applyFont="1" applyBorder="1" applyAlignment="1">
      <alignment wrapText="1"/>
    </xf>
    <xf numFmtId="0" fontId="5" fillId="3" borderId="0" xfId="0" applyFont="1" applyFill="1"/>
    <xf numFmtId="0" fontId="6" fillId="5" borderId="0" xfId="0" applyFont="1" applyFill="1"/>
    <xf numFmtId="0" fontId="7" fillId="7" borderId="0" xfId="0" applyFont="1" applyFill="1"/>
    <xf numFmtId="0" fontId="8" fillId="8" borderId="0" xfId="0" applyFont="1" applyFill="1"/>
    <xf numFmtId="0" fontId="9" fillId="4" borderId="0" xfId="0" applyFont="1" applyFill="1"/>
    <xf numFmtId="0" fontId="4" fillId="9" borderId="0" xfId="0" applyFont="1" applyFill="1"/>
    <xf numFmtId="0" fontId="10" fillId="10" borderId="0" xfId="0" applyFont="1" applyFill="1"/>
    <xf numFmtId="0" fontId="11" fillId="3" borderId="0" xfId="0" applyFont="1" applyFill="1"/>
    <xf numFmtId="0" fontId="6" fillId="3" borderId="0" xfId="0" applyFont="1" applyFill="1"/>
    <xf numFmtId="0" fontId="1" fillId="11" borderId="2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2" fillId="14" borderId="2" xfId="1" applyFont="1" applyFill="1" applyBorder="1" applyAlignment="1">
      <alignment wrapText="1"/>
    </xf>
    <xf numFmtId="0" fontId="1" fillId="15" borderId="2" xfId="1" applyFont="1" applyFill="1" applyBorder="1" applyAlignment="1">
      <alignment wrapText="1"/>
    </xf>
    <xf numFmtId="0" fontId="12" fillId="16" borderId="2" xfId="1" applyFont="1" applyFill="1" applyBorder="1" applyAlignment="1">
      <alignment wrapText="1"/>
    </xf>
    <xf numFmtId="0" fontId="13" fillId="18" borderId="2" xfId="1" applyFont="1" applyFill="1" applyBorder="1" applyAlignment="1">
      <alignment wrapText="1"/>
    </xf>
    <xf numFmtId="0" fontId="13" fillId="9" borderId="2" xfId="1" applyFont="1" applyFill="1" applyBorder="1" applyAlignment="1">
      <alignment wrapText="1"/>
    </xf>
    <xf numFmtId="0" fontId="12" fillId="4" borderId="2" xfId="1" applyFont="1" applyFill="1" applyBorder="1" applyAlignment="1">
      <alignment wrapText="1"/>
    </xf>
    <xf numFmtId="0" fontId="13" fillId="19" borderId="2" xfId="1" applyFont="1" applyFill="1" applyBorder="1" applyAlignment="1">
      <alignment wrapText="1"/>
    </xf>
    <xf numFmtId="0" fontId="13" fillId="20" borderId="2" xfId="1" applyFont="1" applyFill="1" applyBorder="1" applyAlignment="1">
      <alignment wrapText="1"/>
    </xf>
    <xf numFmtId="0" fontId="13" fillId="3" borderId="2" xfId="1" applyFont="1" applyFill="1" applyBorder="1" applyAlignment="1">
      <alignment wrapText="1"/>
    </xf>
    <xf numFmtId="0" fontId="13" fillId="21" borderId="2" xfId="1" applyFont="1" applyFill="1" applyBorder="1" applyAlignment="1">
      <alignment wrapText="1"/>
    </xf>
    <xf numFmtId="0" fontId="13" fillId="22" borderId="2" xfId="1" applyFont="1" applyFill="1" applyBorder="1" applyAlignment="1">
      <alignment wrapText="1"/>
    </xf>
    <xf numFmtId="0" fontId="13" fillId="23" borderId="2" xfId="1" applyFont="1" applyFill="1" applyBorder="1" applyAlignment="1">
      <alignment wrapText="1"/>
    </xf>
    <xf numFmtId="0" fontId="13" fillId="24" borderId="2" xfId="1" applyFont="1" applyFill="1" applyBorder="1" applyAlignment="1">
      <alignment wrapText="1"/>
    </xf>
    <xf numFmtId="0" fontId="13" fillId="25" borderId="2" xfId="1" applyFont="1" applyFill="1" applyBorder="1" applyAlignment="1">
      <alignment wrapText="1"/>
    </xf>
    <xf numFmtId="0" fontId="13" fillId="28" borderId="2" xfId="1" applyFont="1" applyFill="1" applyBorder="1" applyAlignment="1">
      <alignment wrapText="1"/>
    </xf>
    <xf numFmtId="0" fontId="13" fillId="29" borderId="2" xfId="1" applyFont="1" applyFill="1" applyBorder="1" applyAlignment="1">
      <alignment wrapText="1"/>
    </xf>
    <xf numFmtId="0" fontId="13" fillId="30" borderId="2" xfId="1" applyFont="1" applyFill="1" applyBorder="1" applyAlignment="1">
      <alignment wrapText="1"/>
    </xf>
    <xf numFmtId="0" fontId="13" fillId="31" borderId="2" xfId="1" applyFont="1" applyFill="1" applyBorder="1" applyAlignment="1">
      <alignment wrapText="1"/>
    </xf>
    <xf numFmtId="0" fontId="13" fillId="5" borderId="2" xfId="1" applyFont="1" applyFill="1" applyBorder="1" applyAlignment="1">
      <alignment wrapText="1"/>
    </xf>
    <xf numFmtId="0" fontId="13" fillId="32" borderId="2" xfId="1" applyFont="1" applyFill="1" applyBorder="1" applyAlignment="1">
      <alignment wrapText="1"/>
    </xf>
    <xf numFmtId="0" fontId="13" fillId="33" borderId="2" xfId="1" applyFont="1" applyFill="1" applyBorder="1" applyAlignment="1">
      <alignment wrapText="1"/>
    </xf>
    <xf numFmtId="0" fontId="13" fillId="34" borderId="2" xfId="1" applyFont="1" applyFill="1" applyBorder="1" applyAlignment="1">
      <alignment wrapText="1"/>
    </xf>
    <xf numFmtId="0" fontId="13" fillId="36" borderId="2" xfId="1" applyFont="1" applyFill="1" applyBorder="1" applyAlignment="1">
      <alignment wrapText="1"/>
    </xf>
    <xf numFmtId="0" fontId="13" fillId="39" borderId="2" xfId="1" applyFont="1" applyFill="1" applyBorder="1" applyAlignment="1">
      <alignment wrapText="1"/>
    </xf>
    <xf numFmtId="0" fontId="13" fillId="40" borderId="2" xfId="1" applyFont="1" applyFill="1" applyBorder="1" applyAlignment="1">
      <alignment wrapText="1"/>
    </xf>
    <xf numFmtId="0" fontId="13" fillId="43" borderId="2" xfId="1" applyFont="1" applyFill="1" applyBorder="1" applyAlignment="1">
      <alignment wrapText="1"/>
    </xf>
    <xf numFmtId="0" fontId="13" fillId="44" borderId="2" xfId="1" applyFont="1" applyFill="1" applyBorder="1" applyAlignment="1">
      <alignment wrapText="1"/>
    </xf>
    <xf numFmtId="0" fontId="13" fillId="46" borderId="2" xfId="1" applyFont="1" applyFill="1" applyBorder="1" applyAlignment="1">
      <alignment wrapText="1"/>
    </xf>
    <xf numFmtId="0" fontId="13" fillId="48" borderId="2" xfId="1" applyFont="1" applyFill="1" applyBorder="1" applyAlignment="1">
      <alignment wrapText="1"/>
    </xf>
    <xf numFmtId="0" fontId="13" fillId="49" borderId="2" xfId="1" applyFont="1" applyFill="1" applyBorder="1" applyAlignment="1">
      <alignment wrapText="1"/>
    </xf>
    <xf numFmtId="0" fontId="13" fillId="50" borderId="2" xfId="1" applyFont="1" applyFill="1" applyBorder="1" applyAlignment="1">
      <alignment wrapText="1"/>
    </xf>
    <xf numFmtId="0" fontId="13" fillId="51" borderId="2" xfId="1" applyFont="1" applyFill="1" applyBorder="1" applyAlignment="1">
      <alignment wrapText="1"/>
    </xf>
    <xf numFmtId="0" fontId="13" fillId="55" borderId="2" xfId="1" applyFont="1" applyFill="1" applyBorder="1" applyAlignment="1">
      <alignment wrapText="1"/>
    </xf>
    <xf numFmtId="0" fontId="13" fillId="56" borderId="2" xfId="1" applyFont="1" applyFill="1" applyBorder="1" applyAlignment="1">
      <alignment wrapText="1"/>
    </xf>
    <xf numFmtId="0" fontId="13" fillId="6" borderId="2" xfId="1" applyFont="1" applyFill="1" applyBorder="1" applyAlignment="1">
      <alignment wrapText="1"/>
    </xf>
    <xf numFmtId="0" fontId="13" fillId="57" borderId="2" xfId="1" applyFont="1" applyFill="1" applyBorder="1" applyAlignment="1">
      <alignment wrapText="1"/>
    </xf>
    <xf numFmtId="0" fontId="13" fillId="59" borderId="2" xfId="1" applyFont="1" applyFill="1" applyBorder="1" applyAlignment="1">
      <alignment wrapText="1"/>
    </xf>
    <xf numFmtId="0" fontId="12" fillId="45" borderId="2" xfId="1" applyFont="1" applyFill="1" applyBorder="1" applyAlignment="1">
      <alignment wrapText="1"/>
    </xf>
    <xf numFmtId="0" fontId="12" fillId="47" borderId="2" xfId="1" applyFont="1" applyFill="1" applyBorder="1" applyAlignment="1">
      <alignment wrapText="1"/>
    </xf>
    <xf numFmtId="0" fontId="12" fillId="52" borderId="2" xfId="1" applyFont="1" applyFill="1" applyBorder="1" applyAlignment="1">
      <alignment wrapText="1"/>
    </xf>
    <xf numFmtId="0" fontId="12" fillId="53" borderId="2" xfId="1" applyFont="1" applyFill="1" applyBorder="1" applyAlignment="1">
      <alignment wrapText="1"/>
    </xf>
    <xf numFmtId="0" fontId="12" fillId="10" borderId="2" xfId="1" applyFont="1" applyFill="1" applyBorder="1" applyAlignment="1">
      <alignment wrapText="1"/>
    </xf>
    <xf numFmtId="0" fontId="12" fillId="12" borderId="2" xfId="1" applyFont="1" applyFill="1" applyBorder="1" applyAlignment="1">
      <alignment wrapText="1"/>
    </xf>
    <xf numFmtId="0" fontId="12" fillId="54" borderId="2" xfId="1" applyFont="1" applyFill="1" applyBorder="1" applyAlignment="1">
      <alignment wrapText="1"/>
    </xf>
    <xf numFmtId="0" fontId="12" fillId="42" borderId="2" xfId="1" applyFont="1" applyFill="1" applyBorder="1" applyAlignment="1">
      <alignment wrapText="1"/>
    </xf>
    <xf numFmtId="0" fontId="12" fillId="41" borderId="2" xfId="1" applyFont="1" applyFill="1" applyBorder="1" applyAlignment="1">
      <alignment wrapText="1"/>
    </xf>
    <xf numFmtId="0" fontId="12" fillId="38" borderId="2" xfId="1" applyFont="1" applyFill="1" applyBorder="1" applyAlignment="1">
      <alignment wrapText="1"/>
    </xf>
    <xf numFmtId="0" fontId="12" fillId="28" borderId="2" xfId="1" applyFont="1" applyFill="1" applyBorder="1" applyAlignment="1">
      <alignment wrapText="1"/>
    </xf>
    <xf numFmtId="0" fontId="12" fillId="7" borderId="2" xfId="1" applyFont="1" applyFill="1" applyBorder="1" applyAlignment="1">
      <alignment wrapText="1"/>
    </xf>
    <xf numFmtId="0" fontId="12" fillId="37" borderId="2" xfId="1" applyFont="1" applyFill="1" applyBorder="1" applyAlignment="1">
      <alignment wrapText="1"/>
    </xf>
    <xf numFmtId="0" fontId="12" fillId="35" borderId="2" xfId="1" applyFont="1" applyFill="1" applyBorder="1" applyAlignment="1">
      <alignment wrapText="1"/>
    </xf>
    <xf numFmtId="0" fontId="12" fillId="3" borderId="2" xfId="1" applyFont="1" applyFill="1" applyBorder="1" applyAlignment="1">
      <alignment wrapText="1"/>
    </xf>
    <xf numFmtId="0" fontId="12" fillId="27" borderId="2" xfId="1" applyFont="1" applyFill="1" applyBorder="1" applyAlignment="1">
      <alignment wrapText="1"/>
    </xf>
    <xf numFmtId="0" fontId="12" fillId="8" borderId="2" xfId="1" applyFont="1" applyFill="1" applyBorder="1" applyAlignment="1">
      <alignment wrapText="1"/>
    </xf>
    <xf numFmtId="0" fontId="12" fillId="26" borderId="2" xfId="1" applyFont="1" applyFill="1" applyBorder="1" applyAlignment="1">
      <alignment wrapText="1"/>
    </xf>
    <xf numFmtId="0" fontId="12" fillId="17" borderId="2" xfId="1" applyFont="1" applyFill="1" applyBorder="1" applyAlignment="1">
      <alignment wrapText="1"/>
    </xf>
    <xf numFmtId="0" fontId="12" fillId="58" borderId="2" xfId="1" applyFont="1" applyFill="1" applyBorder="1" applyAlignment="1">
      <alignment wrapText="1"/>
    </xf>
    <xf numFmtId="0" fontId="4" fillId="15" borderId="0" xfId="0" applyFont="1" applyFill="1"/>
    <xf numFmtId="0" fontId="14" fillId="60" borderId="0" xfId="0" applyFont="1" applyFill="1"/>
    <xf numFmtId="0" fontId="15" fillId="61" borderId="0" xfId="0" applyFont="1" applyFill="1"/>
    <xf numFmtId="0" fontId="14" fillId="10" borderId="0" xfId="0" applyFont="1" applyFill="1"/>
    <xf numFmtId="0" fontId="15" fillId="62" borderId="0" xfId="0" applyFont="1" applyFill="1"/>
    <xf numFmtId="0" fontId="15" fillId="63" borderId="0" xfId="0" applyFont="1" applyFill="1"/>
    <xf numFmtId="0" fontId="16" fillId="0" borderId="2" xfId="2" applyFont="1" applyBorder="1" applyAlignment="1">
      <alignment wrapText="1"/>
    </xf>
    <xf numFmtId="0" fontId="16" fillId="61" borderId="2" xfId="2" applyFont="1" applyFill="1" applyBorder="1" applyAlignment="1">
      <alignment wrapText="1"/>
    </xf>
    <xf numFmtId="0" fontId="16" fillId="63" borderId="2" xfId="2" applyFont="1" applyFill="1" applyBorder="1" applyAlignment="1">
      <alignment wrapText="1"/>
    </xf>
    <xf numFmtId="0" fontId="16" fillId="64" borderId="2" xfId="2" applyFont="1" applyFill="1" applyBorder="1" applyAlignment="1">
      <alignment wrapText="1"/>
    </xf>
    <xf numFmtId="0" fontId="16" fillId="62" borderId="2" xfId="2" applyFont="1" applyFill="1" applyBorder="1" applyAlignment="1">
      <alignment wrapText="1"/>
    </xf>
    <xf numFmtId="0" fontId="16" fillId="66" borderId="2" xfId="2" applyFont="1" applyFill="1" applyBorder="1" applyAlignment="1">
      <alignment wrapText="1"/>
    </xf>
    <xf numFmtId="0" fontId="17" fillId="65" borderId="2" xfId="2" applyFont="1" applyFill="1" applyBorder="1" applyAlignment="1">
      <alignment wrapText="1"/>
    </xf>
    <xf numFmtId="0" fontId="15" fillId="64" borderId="0" xfId="0" applyFont="1" applyFill="1"/>
    <xf numFmtId="0" fontId="18" fillId="12" borderId="0" xfId="0" applyFont="1" applyFill="1"/>
    <xf numFmtId="0" fontId="19" fillId="10" borderId="0" xfId="0" applyFont="1" applyFill="1"/>
    <xf numFmtId="0" fontId="20" fillId="41" borderId="0" xfId="0" applyFont="1" applyFill="1"/>
    <xf numFmtId="0" fontId="21" fillId="4" borderId="0" xfId="0" applyFont="1" applyFill="1"/>
    <xf numFmtId="0" fontId="22" fillId="11" borderId="0" xfId="0" applyFont="1" applyFill="1"/>
    <xf numFmtId="0" fontId="4" fillId="25" borderId="0" xfId="0" applyFont="1" applyFill="1"/>
    <xf numFmtId="0" fontId="0" fillId="0" borderId="3" xfId="0" applyBorder="1"/>
    <xf numFmtId="0" fontId="6" fillId="9" borderId="0" xfId="0" applyFont="1" applyFill="1"/>
    <xf numFmtId="0" fontId="23" fillId="28" borderId="0" xfId="0" applyFont="1" applyFill="1"/>
    <xf numFmtId="0" fontId="24" fillId="38" borderId="0" xfId="0" applyFont="1" applyFill="1"/>
    <xf numFmtId="0" fontId="25" fillId="47" borderId="0" xfId="0" applyFont="1" applyFill="1"/>
    <xf numFmtId="0" fontId="23" fillId="23" borderId="0" xfId="0" applyFont="1" applyFill="1"/>
    <xf numFmtId="0" fontId="26" fillId="6" borderId="0" xfId="0" applyFont="1" applyFill="1"/>
    <xf numFmtId="0" fontId="27" fillId="35" borderId="0" xfId="0" applyFont="1" applyFill="1"/>
    <xf numFmtId="0" fontId="28" fillId="45" borderId="0" xfId="0" applyFont="1" applyFill="1"/>
    <xf numFmtId="49" fontId="0" fillId="0" borderId="0" xfId="0" applyNumberFormat="1"/>
    <xf numFmtId="0" fontId="23" fillId="53" borderId="0" xfId="0" applyFont="1" applyFill="1"/>
    <xf numFmtId="0" fontId="23" fillId="30" borderId="0" xfId="0" applyFont="1" applyFill="1"/>
    <xf numFmtId="0" fontId="20" fillId="27" borderId="0" xfId="0" applyFont="1" applyFill="1"/>
    <xf numFmtId="0" fontId="0" fillId="44" borderId="0" xfId="0" applyFill="1"/>
    <xf numFmtId="0" fontId="0" fillId="28" borderId="0" xfId="0" applyFill="1"/>
    <xf numFmtId="0" fontId="21" fillId="52" borderId="0" xfId="0" applyFont="1" applyFill="1"/>
    <xf numFmtId="0" fontId="29" fillId="17" borderId="0" xfId="0" applyFont="1" applyFill="1"/>
    <xf numFmtId="0" fontId="4" fillId="42" borderId="0" xfId="0" applyFont="1" applyFill="1"/>
    <xf numFmtId="0" fontId="0" fillId="0" borderId="0" xfId="0" applyAlignment="1">
      <alignment horizontal="center"/>
    </xf>
    <xf numFmtId="0" fontId="0" fillId="67" borderId="0" xfId="0" applyFill="1"/>
    <xf numFmtId="1" fontId="0" fillId="0" borderId="0" xfId="0" applyNumberFormat="1"/>
  </cellXfs>
  <cellStyles count="4">
    <cellStyle name="Normal" xfId="0" builtinId="0"/>
    <cellStyle name="Normal_Conferences" xfId="3" xr:uid="{59816597-ABCF-4B82-A286-4C88DBD8B621}"/>
    <cellStyle name="Normal_Sheet2" xfId="1" xr:uid="{69FADD1F-7B81-45C8-97A5-762E6B51E817}"/>
    <cellStyle name="Normal_Sheet3" xfId="2" xr:uid="{5C6960C6-969E-48F5-B971-0349F7B119B9}"/>
  </cellStyles>
  <dxfs count="6"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9" tint="-0.499984740745262"/>
      </font>
      <fill>
        <patternFill>
          <bgColor rgb="FF92D05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C52032"/>
      <color rgb="FFC09867"/>
      <color rgb="FF8C2633"/>
      <color rgb="FFFCB514"/>
      <color rgb="FF002F87"/>
      <color rgb="FFCE1126"/>
      <color rgb="FFF74902"/>
      <color rgb="FF00285C"/>
      <color rgb="FF006847"/>
      <color rgb="FF0028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9B2D-C512-45BC-B3FC-D11B0E955F0A}">
  <sheetPr codeName="Sheet1"/>
  <dimension ref="A1:AS104"/>
  <sheetViews>
    <sheetView tabSelected="1" topLeftCell="A22" workbookViewId="0">
      <pane xSplit="11" topLeftCell="L1" activePane="topRight" state="frozen"/>
      <selection pane="topRight" activeCell="P69" sqref="P69"/>
    </sheetView>
  </sheetViews>
  <sheetFormatPr defaultRowHeight="15" x14ac:dyDescent="0.25"/>
  <cols>
    <col min="1" max="1" width="10.42578125" bestFit="1" customWidth="1"/>
    <col min="2" max="2" width="12.140625" bestFit="1" customWidth="1"/>
    <col min="3" max="4" width="12.140625" customWidth="1"/>
    <col min="5" max="5" width="16.42578125" customWidth="1"/>
    <col min="6" max="6" width="21.42578125" bestFit="1" customWidth="1"/>
    <col min="7" max="7" width="11.28515625" bestFit="1" customWidth="1"/>
    <col min="8" max="8" width="12.7109375" bestFit="1" customWidth="1"/>
    <col min="9" max="9" width="7.85546875" customWidth="1"/>
    <col min="10" max="10" width="11.42578125" bestFit="1" customWidth="1"/>
    <col min="11" max="11" width="12.7109375" bestFit="1" customWidth="1"/>
    <col min="12" max="14" width="10.85546875" customWidth="1"/>
    <col min="15" max="15" width="13.5703125" bestFit="1" customWidth="1"/>
    <col min="16" max="16" width="29" bestFit="1" customWidth="1"/>
    <col min="17" max="17" width="11.7109375" bestFit="1" customWidth="1"/>
    <col min="18" max="18" width="13.42578125" bestFit="1" customWidth="1"/>
    <col min="19" max="19" width="13.42578125" customWidth="1"/>
    <col min="20" max="20" width="13.42578125" style="118" customWidth="1"/>
    <col min="21" max="21" width="15" bestFit="1" customWidth="1"/>
    <col min="22" max="22" width="13.42578125" customWidth="1"/>
    <col min="23" max="23" width="26.85546875" bestFit="1" customWidth="1"/>
    <col min="24" max="24" width="13.42578125" style="109" customWidth="1"/>
    <col min="25" max="32" width="13.42578125" customWidth="1"/>
    <col min="33" max="33" width="7" bestFit="1" customWidth="1"/>
    <col min="34" max="34" width="7" customWidth="1"/>
    <col min="36" max="36" width="13.42578125" bestFit="1" customWidth="1"/>
    <col min="37" max="37" width="10.42578125" bestFit="1" customWidth="1"/>
    <col min="39" max="39" width="11.140625" bestFit="1" customWidth="1"/>
    <col min="40" max="40" width="10.7109375" bestFit="1" customWidth="1"/>
    <col min="41" max="41" width="12.85546875" customWidth="1"/>
    <col min="42" max="42" width="12.42578125" customWidth="1"/>
    <col min="43" max="43" width="10.42578125" style="120" bestFit="1" customWidth="1"/>
    <col min="44" max="44" width="12.42578125" style="120" bestFit="1" customWidth="1"/>
    <col min="45" max="45" width="15.140625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s="80" t="s">
        <v>13</v>
      </c>
      <c r="G1" s="80" t="s">
        <v>33</v>
      </c>
      <c r="H1" s="80" t="s">
        <v>34</v>
      </c>
      <c r="I1" t="s">
        <v>52</v>
      </c>
      <c r="J1" t="s">
        <v>14</v>
      </c>
      <c r="K1" t="s">
        <v>15</v>
      </c>
      <c r="L1" t="s">
        <v>23</v>
      </c>
      <c r="M1" t="s">
        <v>359</v>
      </c>
      <c r="N1" t="s">
        <v>360</v>
      </c>
      <c r="O1" t="s">
        <v>74</v>
      </c>
      <c r="P1" t="s">
        <v>16</v>
      </c>
      <c r="Q1" t="s">
        <v>18</v>
      </c>
      <c r="R1" t="s">
        <v>19</v>
      </c>
      <c r="S1" t="s">
        <v>299</v>
      </c>
      <c r="T1" s="118" t="s">
        <v>45</v>
      </c>
      <c r="U1" t="s">
        <v>300</v>
      </c>
      <c r="V1" t="s">
        <v>301</v>
      </c>
      <c r="W1" t="s">
        <v>363</v>
      </c>
      <c r="X1" s="109" t="s">
        <v>364</v>
      </c>
      <c r="Y1" t="s">
        <v>296</v>
      </c>
      <c r="Z1" t="s">
        <v>39</v>
      </c>
      <c r="AA1" t="s">
        <v>40</v>
      </c>
      <c r="AB1" t="s">
        <v>41</v>
      </c>
      <c r="AC1" t="s">
        <v>42</v>
      </c>
      <c r="AD1" t="s">
        <v>49</v>
      </c>
      <c r="AE1" t="s">
        <v>43</v>
      </c>
      <c r="AF1" t="s">
        <v>44</v>
      </c>
      <c r="AG1" t="s">
        <v>17</v>
      </c>
      <c r="AH1" t="s">
        <v>46</v>
      </c>
      <c r="AI1" t="s">
        <v>47</v>
      </c>
      <c r="AJ1" t="s">
        <v>48</v>
      </c>
      <c r="AK1" t="s">
        <v>54</v>
      </c>
      <c r="AL1" t="s">
        <v>55</v>
      </c>
      <c r="AM1" t="s">
        <v>56</v>
      </c>
      <c r="AN1" t="s">
        <v>57</v>
      </c>
      <c r="AO1" t="s">
        <v>335</v>
      </c>
      <c r="AP1" t="s">
        <v>336</v>
      </c>
      <c r="AQ1" s="120" t="s">
        <v>367</v>
      </c>
      <c r="AR1" s="120" t="s">
        <v>448</v>
      </c>
      <c r="AS1" t="s">
        <v>483</v>
      </c>
    </row>
    <row r="2" spans="1:45" x14ac:dyDescent="0.25">
      <c r="A2" s="1">
        <v>45071</v>
      </c>
      <c r="B2" s="1">
        <v>45091</v>
      </c>
      <c r="C2" s="1">
        <v>45091</v>
      </c>
      <c r="D2" s="2">
        <f t="shared" ref="D2:D10" ca="1" si="0">IF(ISBLANK(B2), (NOW()-A2), (B2-A2))</f>
        <v>20</v>
      </c>
      <c r="E2" s="2">
        <f t="shared" ref="E2:E10" ca="1" si="1">IF(ISBLANK(B2), 0, NOW()-B2)</f>
        <v>422.06617453703802</v>
      </c>
      <c r="F2" s="12" t="s">
        <v>0</v>
      </c>
      <c r="G2" s="81" t="str">
        <f>IF(ISBLANK(F2), "", VLOOKUP(VLOOKUP(F2, NHLTeams!$B$2:$F$33, 4,FALSE), Conferences!$A$2:$B$3, 2,FALSE))</f>
        <v>Eastern</v>
      </c>
      <c r="H2" s="82" t="str">
        <f>IF(ISBLANK(F2), "", VLOOKUP(VLOOKUP(F2, NHLTeams!$B$2:$F$33, 5, FALSE), Divisions!$A$2:$B$5, 2, FALSE))</f>
        <v>Atlantic</v>
      </c>
      <c r="I2" t="s">
        <v>53</v>
      </c>
      <c r="J2" t="s">
        <v>1</v>
      </c>
      <c r="K2" t="s">
        <v>2</v>
      </c>
      <c r="L2">
        <v>19</v>
      </c>
      <c r="M2">
        <v>0</v>
      </c>
      <c r="N2">
        <v>0</v>
      </c>
      <c r="O2" t="s">
        <v>75</v>
      </c>
      <c r="P2" t="s">
        <v>4</v>
      </c>
      <c r="Q2" t="s">
        <v>3</v>
      </c>
      <c r="R2" t="s">
        <v>20</v>
      </c>
      <c r="S2" t="s">
        <v>286</v>
      </c>
      <c r="T2" s="118">
        <v>56</v>
      </c>
      <c r="U2" t="s">
        <v>302</v>
      </c>
      <c r="V2" t="s">
        <v>303</v>
      </c>
      <c r="W2" t="s">
        <v>374</v>
      </c>
      <c r="X2" s="109" t="s">
        <v>378</v>
      </c>
      <c r="Y2">
        <v>284.99</v>
      </c>
      <c r="Z2">
        <v>392.8245</v>
      </c>
      <c r="AA2">
        <v>58.486956499999998</v>
      </c>
      <c r="AB2">
        <v>54.484999999999999</v>
      </c>
      <c r="AC2">
        <v>0</v>
      </c>
      <c r="AE2">
        <v>0</v>
      </c>
      <c r="AF2">
        <f t="shared" ref="AF2:AF65" si="2">(SUM(Z2:AB2)-AC2)+AE2</f>
        <v>505.79645650000003</v>
      </c>
      <c r="AG2">
        <v>447.31</v>
      </c>
      <c r="AH2">
        <v>1</v>
      </c>
      <c r="AI2">
        <v>0</v>
      </c>
      <c r="AJ2">
        <v>1.3783317399999999</v>
      </c>
      <c r="AK2" s="1">
        <v>35775</v>
      </c>
      <c r="AM2" t="s">
        <v>64</v>
      </c>
      <c r="AO2" t="s">
        <v>347</v>
      </c>
      <c r="AP2" t="s">
        <v>377</v>
      </c>
      <c r="AQ2" s="120">
        <f ca="1">DATE(YEAR(NOW()),MONTH(NOW()), DAY(NOW())) - DATE(YEAR($AK2),MONTH($AK2), DAY($AK2))</f>
        <v>9738</v>
      </c>
      <c r="AR2" s="120">
        <f t="shared" ref="AR2:AR33" si="3">IF(ISBLANK($AK2), 0, DATE(YEAR("1995-08-3"),MONTH("1995-08-3"), DAY("1995-08-3")) - DATE(YEAR($AK2),MONTH($AK2), DAY($AK2)))</f>
        <v>-861</v>
      </c>
      <c r="AS2">
        <v>0</v>
      </c>
    </row>
    <row r="3" spans="1:45" x14ac:dyDescent="0.25">
      <c r="A3" s="1">
        <v>45193</v>
      </c>
      <c r="B3" s="1">
        <v>45205</v>
      </c>
      <c r="C3" s="1">
        <v>45205</v>
      </c>
      <c r="D3" s="2">
        <f t="shared" ca="1" si="0"/>
        <v>12</v>
      </c>
      <c r="E3" s="2">
        <f t="shared" ca="1" si="1"/>
        <v>308.06617453703802</v>
      </c>
      <c r="F3" s="19" t="s">
        <v>5</v>
      </c>
      <c r="G3" s="83" t="str">
        <f>IF(ISBLANK(F3), "", VLOOKUP(VLOOKUP(F3, NHLTeams!$B$2:$F$33, 4,FALSE), Conferences!$A$2:$B$3, 2,FALSE))</f>
        <v>Western</v>
      </c>
      <c r="H3" s="84" t="str">
        <f>IF(ISBLANK(F3), "", VLOOKUP(VLOOKUP(F3, NHLTeams!$B$2:$F$33, 5, FALSE), Divisions!$A$2:$B$5, 2, FALSE))</f>
        <v>Pacific</v>
      </c>
      <c r="I3" t="s">
        <v>53</v>
      </c>
      <c r="J3" t="s">
        <v>7</v>
      </c>
      <c r="K3" t="s">
        <v>8</v>
      </c>
      <c r="L3">
        <v>10</v>
      </c>
      <c r="M3">
        <v>0</v>
      </c>
      <c r="N3">
        <v>0</v>
      </c>
      <c r="O3" t="s">
        <v>293</v>
      </c>
      <c r="P3" t="s">
        <v>4</v>
      </c>
      <c r="Q3" t="s">
        <v>3</v>
      </c>
      <c r="R3" t="s">
        <v>22</v>
      </c>
      <c r="T3" s="118">
        <v>56</v>
      </c>
      <c r="U3" t="s">
        <v>302</v>
      </c>
      <c r="V3" t="s">
        <v>303</v>
      </c>
      <c r="W3" t="s">
        <v>372</v>
      </c>
      <c r="X3" s="109" t="s">
        <v>380</v>
      </c>
      <c r="Z3">
        <v>249.99</v>
      </c>
      <c r="AA3">
        <v>0</v>
      </c>
      <c r="AB3">
        <f>15.99/4</f>
        <v>3.9975000000000001</v>
      </c>
      <c r="AC3">
        <v>0</v>
      </c>
      <c r="AE3">
        <f t="shared" ref="AE3:AE62" si="4">(SUM(Z3:AB3)-AC3)*0.15</f>
        <v>38.098125000000003</v>
      </c>
      <c r="AF3">
        <f t="shared" si="2"/>
        <v>292.08562499999999</v>
      </c>
      <c r="AG3">
        <v>305.87</v>
      </c>
      <c r="AH3">
        <v>0</v>
      </c>
      <c r="AI3">
        <v>0</v>
      </c>
      <c r="AK3" s="1">
        <v>34124</v>
      </c>
      <c r="AM3" t="s">
        <v>63</v>
      </c>
      <c r="AO3" t="s">
        <v>333</v>
      </c>
      <c r="AP3" t="s">
        <v>338</v>
      </c>
      <c r="AQ3" s="120">
        <f ca="1">DATE(YEAR(NOW()),MONTH(NOW()), DAY(NOW())) - DATE(YEAR($AK3),MONTH($AK3), DAY($AK3))</f>
        <v>11389</v>
      </c>
      <c r="AR3" s="120">
        <f t="shared" si="3"/>
        <v>790</v>
      </c>
      <c r="AS3">
        <v>0</v>
      </c>
    </row>
    <row r="4" spans="1:45" x14ac:dyDescent="0.25">
      <c r="A4" s="1">
        <v>45194</v>
      </c>
      <c r="B4" s="1">
        <v>45202</v>
      </c>
      <c r="C4" s="1">
        <v>45202</v>
      </c>
      <c r="D4" s="2">
        <f t="shared" ca="1" si="0"/>
        <v>8</v>
      </c>
      <c r="E4" s="2">
        <f t="shared" ca="1" si="1"/>
        <v>311.06617453703802</v>
      </c>
      <c r="F4" s="13" t="s">
        <v>6</v>
      </c>
      <c r="G4" s="83" t="str">
        <f>IF(ISBLANK(F4), "", VLOOKUP(VLOOKUP(F4, NHLTeams!$B$2:$F$33, 4,FALSE), Conferences!$A$2:$B$3, 2,FALSE))</f>
        <v>Western</v>
      </c>
      <c r="H4" s="84" t="str">
        <f>IF(ISBLANK(F4), "", VLOOKUP(VLOOKUP(F4, NHLTeams!$B$2:$F$33, 5, FALSE), Divisions!$A$2:$B$5, 2, FALSE))</f>
        <v>Pacific</v>
      </c>
      <c r="I4" t="s">
        <v>53</v>
      </c>
      <c r="J4" t="s">
        <v>9</v>
      </c>
      <c r="K4" t="s">
        <v>455</v>
      </c>
      <c r="L4">
        <v>97</v>
      </c>
      <c r="M4">
        <v>1</v>
      </c>
      <c r="N4">
        <v>0</v>
      </c>
      <c r="O4" t="s">
        <v>293</v>
      </c>
      <c r="P4" t="s">
        <v>4</v>
      </c>
      <c r="Q4" t="s">
        <v>10</v>
      </c>
      <c r="R4" t="s">
        <v>21</v>
      </c>
      <c r="T4" s="118">
        <v>56</v>
      </c>
      <c r="U4" t="s">
        <v>302</v>
      </c>
      <c r="V4" t="s">
        <v>303</v>
      </c>
      <c r="W4" t="s">
        <v>372</v>
      </c>
      <c r="X4" s="109" t="s">
        <v>420</v>
      </c>
      <c r="Z4">
        <v>249.99</v>
      </c>
      <c r="AA4">
        <v>0</v>
      </c>
      <c r="AB4">
        <v>11.99</v>
      </c>
      <c r="AC4">
        <v>75</v>
      </c>
      <c r="AD4" t="s">
        <v>50</v>
      </c>
      <c r="AE4">
        <f t="shared" si="4"/>
        <v>28.047000000000001</v>
      </c>
      <c r="AF4">
        <f t="shared" si="2"/>
        <v>215.02700000000002</v>
      </c>
      <c r="AG4">
        <v>215.03</v>
      </c>
      <c r="AH4">
        <v>0</v>
      </c>
      <c r="AI4">
        <v>0</v>
      </c>
      <c r="AK4" s="1">
        <v>35443</v>
      </c>
      <c r="AM4" t="s">
        <v>59</v>
      </c>
      <c r="AO4" t="s">
        <v>348</v>
      </c>
      <c r="AP4" t="s">
        <v>349</v>
      </c>
      <c r="AQ4" s="120">
        <f ca="1">DATE(YEAR(NOW()),MONTH(NOW()), DAY(NOW())) - DATE(YEAR($AK4),MONTH($AK4), DAY($AK4))</f>
        <v>10070</v>
      </c>
      <c r="AR4" s="120">
        <f t="shared" si="3"/>
        <v>-529</v>
      </c>
      <c r="AS4">
        <v>0</v>
      </c>
    </row>
    <row r="5" spans="1:45" x14ac:dyDescent="0.25">
      <c r="A5" s="1">
        <v>45199</v>
      </c>
      <c r="B5" s="1">
        <v>45209</v>
      </c>
      <c r="C5" s="1">
        <v>45209</v>
      </c>
      <c r="D5" s="2">
        <f t="shared" ca="1" si="0"/>
        <v>10</v>
      </c>
      <c r="E5" s="2">
        <f t="shared" ca="1" si="1"/>
        <v>304.06617453703802</v>
      </c>
      <c r="F5" s="20" t="s">
        <v>24</v>
      </c>
      <c r="G5" s="81" t="str">
        <f>IF(ISBLANK(F5), "", VLOOKUP(VLOOKUP(F5, NHLTeams!$B$2:$F$33, 4,FALSE), Conferences!$A$2:$B$3, 2,FALSE))</f>
        <v>Eastern</v>
      </c>
      <c r="H5" s="85" t="str">
        <f>IF(ISBLANK(F5), "", VLOOKUP(VLOOKUP(F5, NHLTeams!$B$2:$F$33, 5, FALSE), Divisions!$A$2:$B$5, 2, FALSE))</f>
        <v>Metropolitan</v>
      </c>
      <c r="I5" t="s">
        <v>53</v>
      </c>
      <c r="J5" t="s">
        <v>27</v>
      </c>
      <c r="K5" t="s">
        <v>31</v>
      </c>
      <c r="L5">
        <v>8</v>
      </c>
      <c r="M5">
        <v>1</v>
      </c>
      <c r="N5">
        <v>0</v>
      </c>
      <c r="O5" t="s">
        <v>297</v>
      </c>
      <c r="P5" t="s">
        <v>4</v>
      </c>
      <c r="Q5" t="s">
        <v>3</v>
      </c>
      <c r="R5" t="s">
        <v>20</v>
      </c>
      <c r="T5" s="118">
        <v>56</v>
      </c>
      <c r="U5" t="s">
        <v>302</v>
      </c>
      <c r="V5" t="s">
        <v>303</v>
      </c>
      <c r="W5" t="s">
        <v>372</v>
      </c>
      <c r="Z5">
        <v>249.99</v>
      </c>
      <c r="AB5">
        <f>15.99/12</f>
        <v>1.3325</v>
      </c>
      <c r="AC5">
        <f>249.99/4</f>
        <v>62.497500000000002</v>
      </c>
      <c r="AD5" t="s">
        <v>51</v>
      </c>
      <c r="AE5">
        <f t="shared" si="4"/>
        <v>28.32375</v>
      </c>
      <c r="AF5">
        <f t="shared" si="2"/>
        <v>217.14875000000001</v>
      </c>
      <c r="AH5">
        <v>0</v>
      </c>
      <c r="AI5">
        <v>0</v>
      </c>
      <c r="AK5" s="1">
        <v>31307</v>
      </c>
      <c r="AM5" t="s">
        <v>58</v>
      </c>
      <c r="AO5" t="s">
        <v>341</v>
      </c>
      <c r="AP5" t="s">
        <v>342</v>
      </c>
      <c r="AQ5" s="120">
        <f ca="1">DATE(YEAR(NOW()),MONTH(NOW()), DAY(NOW())) - DATE(YEAR($AK5),MONTH($AK5), DAY($AK5))</f>
        <v>14206</v>
      </c>
      <c r="AR5" s="120">
        <f t="shared" si="3"/>
        <v>3607</v>
      </c>
      <c r="AS5">
        <v>0</v>
      </c>
    </row>
    <row r="6" spans="1:45" x14ac:dyDescent="0.25">
      <c r="A6" s="1">
        <v>45199</v>
      </c>
      <c r="B6" s="1">
        <v>45209</v>
      </c>
      <c r="C6" s="1">
        <v>45209</v>
      </c>
      <c r="D6" s="2">
        <f t="shared" ca="1" si="0"/>
        <v>10</v>
      </c>
      <c r="E6" s="2">
        <f t="shared" ca="1" si="1"/>
        <v>304.06617453703802</v>
      </c>
      <c r="F6" s="14" t="s">
        <v>25</v>
      </c>
      <c r="G6" s="81" t="str">
        <f>IF(ISBLANK(F6), "", VLOOKUP(VLOOKUP(F6, NHLTeams!$B$2:$F$33, 4,FALSE), Conferences!$A$2:$B$3, 2,FALSE))</f>
        <v>Eastern</v>
      </c>
      <c r="H6" s="82" t="str">
        <f>IF(ISBLANK(F6), "", VLOOKUP(VLOOKUP(F6, NHLTeams!$B$2:$F$33, 5, FALSE), Divisions!$A$2:$B$5, 2, FALSE))</f>
        <v>Atlantic</v>
      </c>
      <c r="I6" t="s">
        <v>259</v>
      </c>
      <c r="J6" t="s">
        <v>28</v>
      </c>
      <c r="K6" t="s">
        <v>17</v>
      </c>
      <c r="L6">
        <v>31</v>
      </c>
      <c r="M6">
        <v>0</v>
      </c>
      <c r="N6">
        <v>0</v>
      </c>
      <c r="O6" t="s">
        <v>293</v>
      </c>
      <c r="P6" t="s">
        <v>4</v>
      </c>
      <c r="Q6" t="s">
        <v>3</v>
      </c>
      <c r="R6" t="s">
        <v>10</v>
      </c>
      <c r="T6" s="118">
        <v>56</v>
      </c>
      <c r="U6" t="s">
        <v>302</v>
      </c>
      <c r="V6" t="s">
        <v>303</v>
      </c>
      <c r="W6" t="s">
        <v>372</v>
      </c>
      <c r="Z6">
        <v>249.99</v>
      </c>
      <c r="AB6">
        <f>15.99/12</f>
        <v>1.3325</v>
      </c>
      <c r="AC6">
        <f>249.99/4</f>
        <v>62.497500000000002</v>
      </c>
      <c r="AD6" t="s">
        <v>51</v>
      </c>
      <c r="AE6">
        <f t="shared" si="4"/>
        <v>28.32375</v>
      </c>
      <c r="AF6">
        <f t="shared" si="2"/>
        <v>217.14875000000001</v>
      </c>
      <c r="AH6">
        <v>0</v>
      </c>
      <c r="AI6">
        <v>0</v>
      </c>
      <c r="AK6" s="1">
        <v>32005</v>
      </c>
      <c r="AL6">
        <v>2023</v>
      </c>
      <c r="AM6" t="s">
        <v>61</v>
      </c>
      <c r="AN6" t="s">
        <v>62</v>
      </c>
      <c r="AO6" t="s">
        <v>343</v>
      </c>
      <c r="AP6" t="s">
        <v>344</v>
      </c>
      <c r="AQ6" s="120">
        <f ca="1">DATE(YEAR(NOW()),MONTH(NOW()), DAY(NOW())) - DATE(YEAR($AK6),MONTH($AK6), DAY($AK6))</f>
        <v>13508</v>
      </c>
      <c r="AR6" s="120">
        <f t="shared" si="3"/>
        <v>2909</v>
      </c>
      <c r="AS6">
        <v>0</v>
      </c>
    </row>
    <row r="7" spans="1:45" x14ac:dyDescent="0.25">
      <c r="A7" s="1">
        <v>45199</v>
      </c>
      <c r="B7" s="1">
        <v>45209</v>
      </c>
      <c r="C7" s="1">
        <v>45209</v>
      </c>
      <c r="D7" s="2">
        <f t="shared" ca="1" si="0"/>
        <v>10</v>
      </c>
      <c r="E7" s="2">
        <f t="shared" ca="1" si="1"/>
        <v>304.06617453703802</v>
      </c>
      <c r="F7" s="15" t="s">
        <v>26</v>
      </c>
      <c r="G7" s="83" t="str">
        <f>IF(ISBLANK(F7), "", VLOOKUP(VLOOKUP(F7, NHLTeams!$B$2:$F$33, 4,FALSE), Conferences!$A$2:$B$3, 2,FALSE))</f>
        <v>Western</v>
      </c>
      <c r="H7" s="93" t="str">
        <f>IF(ISBLANK(F7), "", VLOOKUP(VLOOKUP(F7, NHLTeams!$B$2:$F$33, 5, FALSE), Divisions!$A$2:$B$5, 2, FALSE))</f>
        <v>Central</v>
      </c>
      <c r="I7" t="s">
        <v>53</v>
      </c>
      <c r="J7" t="s">
        <v>29</v>
      </c>
      <c r="K7" t="s">
        <v>30</v>
      </c>
      <c r="L7">
        <v>29</v>
      </c>
      <c r="M7">
        <v>0</v>
      </c>
      <c r="N7">
        <v>0</v>
      </c>
      <c r="O7" t="s">
        <v>293</v>
      </c>
      <c r="P7" t="s">
        <v>4</v>
      </c>
      <c r="Q7" t="s">
        <v>32</v>
      </c>
      <c r="R7" t="s">
        <v>10</v>
      </c>
      <c r="T7" s="118">
        <v>56</v>
      </c>
      <c r="U7" t="s">
        <v>302</v>
      </c>
      <c r="V7" t="s">
        <v>303</v>
      </c>
      <c r="W7" t="s">
        <v>372</v>
      </c>
      <c r="Z7">
        <v>249.99</v>
      </c>
      <c r="AB7">
        <f>15.99/12</f>
        <v>1.3325</v>
      </c>
      <c r="AC7">
        <f>249.99/4</f>
        <v>62.497500000000002</v>
      </c>
      <c r="AD7" t="s">
        <v>51</v>
      </c>
      <c r="AE7">
        <f t="shared" si="4"/>
        <v>28.32375</v>
      </c>
      <c r="AF7">
        <f t="shared" si="2"/>
        <v>217.14875000000001</v>
      </c>
      <c r="AH7">
        <v>0</v>
      </c>
      <c r="AI7">
        <v>0</v>
      </c>
      <c r="AK7" s="1">
        <v>34943</v>
      </c>
      <c r="AM7" t="s">
        <v>60</v>
      </c>
      <c r="AO7" t="s">
        <v>345</v>
      </c>
      <c r="AP7" t="s">
        <v>346</v>
      </c>
      <c r="AQ7" s="120">
        <f t="shared" ref="AQ7:AQ70" ca="1" si="5">NOW()-AK7</f>
        <v>10570.066174537038</v>
      </c>
      <c r="AR7" s="120">
        <f t="shared" si="3"/>
        <v>-29</v>
      </c>
      <c r="AS7">
        <v>0</v>
      </c>
    </row>
    <row r="8" spans="1:45" x14ac:dyDescent="0.25">
      <c r="A8" s="1">
        <v>45201</v>
      </c>
      <c r="B8" s="1">
        <v>45205</v>
      </c>
      <c r="C8" s="1">
        <v>45205</v>
      </c>
      <c r="D8" s="2">
        <f t="shared" ca="1" si="0"/>
        <v>4</v>
      </c>
      <c r="E8" s="2">
        <f t="shared" ca="1" si="1"/>
        <v>308.06617453703802</v>
      </c>
      <c r="F8" s="16" t="s">
        <v>65</v>
      </c>
      <c r="G8" s="83" t="str">
        <f>IF(ISBLANK(F8), "", VLOOKUP(VLOOKUP(F8, NHLTeams!$B$2:$F$33, 4,FALSE), Conferences!$A$2:$B$3, 2,FALSE))</f>
        <v>Western</v>
      </c>
      <c r="H8" s="93" t="str">
        <f>IF(ISBLANK(F8), "", VLOOKUP(VLOOKUP(F8, NHLTeams!$B$2:$F$33, 5, FALSE), Divisions!$A$2:$B$5, 2, FALSE))</f>
        <v>Central</v>
      </c>
      <c r="I8" t="s">
        <v>53</v>
      </c>
      <c r="J8" t="s">
        <v>68</v>
      </c>
      <c r="K8" t="s">
        <v>69</v>
      </c>
      <c r="L8">
        <v>26</v>
      </c>
      <c r="M8">
        <v>1</v>
      </c>
      <c r="N8">
        <v>0</v>
      </c>
      <c r="O8" t="s">
        <v>75</v>
      </c>
      <c r="P8" t="s">
        <v>4</v>
      </c>
      <c r="Q8" t="s">
        <v>287</v>
      </c>
      <c r="R8" t="s">
        <v>20</v>
      </c>
      <c r="T8" s="118">
        <v>56</v>
      </c>
      <c r="U8" t="s">
        <v>302</v>
      </c>
      <c r="V8" t="s">
        <v>303</v>
      </c>
      <c r="W8" t="s">
        <v>372</v>
      </c>
      <c r="X8" s="109" t="s">
        <v>379</v>
      </c>
      <c r="Z8">
        <v>249.99</v>
      </c>
      <c r="AB8">
        <f>15.99/3</f>
        <v>5.33</v>
      </c>
      <c r="AD8">
        <v>75.989999999999995</v>
      </c>
      <c r="AE8">
        <f t="shared" si="4"/>
        <v>38.298000000000002</v>
      </c>
      <c r="AF8">
        <f t="shared" si="2"/>
        <v>293.61800000000005</v>
      </c>
      <c r="AH8">
        <v>0</v>
      </c>
      <c r="AI8">
        <v>0</v>
      </c>
      <c r="AK8" s="1">
        <v>31655</v>
      </c>
      <c r="AM8" t="s">
        <v>260</v>
      </c>
      <c r="AO8" t="s">
        <v>350</v>
      </c>
      <c r="AP8" t="s">
        <v>351</v>
      </c>
      <c r="AQ8" s="120">
        <f t="shared" ca="1" si="5"/>
        <v>13858.066174537038</v>
      </c>
      <c r="AR8" s="120">
        <f t="shared" si="3"/>
        <v>3259</v>
      </c>
      <c r="AS8">
        <v>0</v>
      </c>
    </row>
    <row r="9" spans="1:45" x14ac:dyDescent="0.25">
      <c r="A9" s="1">
        <v>45201</v>
      </c>
      <c r="B9" s="1">
        <v>45211</v>
      </c>
      <c r="C9" s="1">
        <v>45211</v>
      </c>
      <c r="D9" s="2">
        <f t="shared" ca="1" si="0"/>
        <v>10</v>
      </c>
      <c r="E9" s="2">
        <f t="shared" ca="1" si="1"/>
        <v>302.06617453703802</v>
      </c>
      <c r="F9" s="17" t="s">
        <v>66</v>
      </c>
      <c r="G9" s="81" t="str">
        <f>IF(ISBLANK(F9), "", VLOOKUP(VLOOKUP(F9, NHLTeams!$B$2:$F$33, 4,FALSE), Conferences!$A$2:$B$3, 2,FALSE))</f>
        <v>Eastern</v>
      </c>
      <c r="H9" s="85" t="str">
        <f>IF(ISBLANK(F9), "", VLOOKUP(VLOOKUP(F9, NHLTeams!$B$2:$F$33, 5, FALSE), Divisions!$A$2:$B$5, 2, FALSE))</f>
        <v>Metropolitan</v>
      </c>
      <c r="I9" t="s">
        <v>53</v>
      </c>
      <c r="J9" t="s">
        <v>70</v>
      </c>
      <c r="K9" t="s">
        <v>71</v>
      </c>
      <c r="L9">
        <v>87</v>
      </c>
      <c r="M9">
        <v>1</v>
      </c>
      <c r="N9">
        <v>0</v>
      </c>
      <c r="O9" t="s">
        <v>293</v>
      </c>
      <c r="P9" t="s">
        <v>4</v>
      </c>
      <c r="Q9" t="s">
        <v>73</v>
      </c>
      <c r="R9" t="s">
        <v>22</v>
      </c>
      <c r="T9" s="118">
        <v>56</v>
      </c>
      <c r="U9" t="s">
        <v>302</v>
      </c>
      <c r="V9" t="s">
        <v>303</v>
      </c>
      <c r="W9" t="s">
        <v>372</v>
      </c>
      <c r="Z9">
        <v>367.99</v>
      </c>
      <c r="AB9">
        <f>15.99/3</f>
        <v>5.33</v>
      </c>
      <c r="AE9">
        <f t="shared" si="4"/>
        <v>55.997999999999998</v>
      </c>
      <c r="AF9">
        <f t="shared" si="2"/>
        <v>429.31799999999998</v>
      </c>
      <c r="AH9">
        <v>0</v>
      </c>
      <c r="AI9">
        <v>0</v>
      </c>
      <c r="AK9" s="1">
        <v>31996</v>
      </c>
      <c r="AM9" t="s">
        <v>58</v>
      </c>
      <c r="AQ9" s="120">
        <f t="shared" ca="1" si="5"/>
        <v>13517.066174537038</v>
      </c>
      <c r="AR9" s="120">
        <f t="shared" si="3"/>
        <v>2918</v>
      </c>
      <c r="AS9">
        <v>0</v>
      </c>
    </row>
    <row r="10" spans="1:45" x14ac:dyDescent="0.25">
      <c r="A10" s="1">
        <v>45201</v>
      </c>
      <c r="B10" s="1">
        <v>45205</v>
      </c>
      <c r="C10" s="1">
        <v>45205</v>
      </c>
      <c r="D10" s="2">
        <f t="shared" ca="1" si="0"/>
        <v>4</v>
      </c>
      <c r="E10" s="2">
        <f t="shared" ca="1" si="1"/>
        <v>308.06617453703802</v>
      </c>
      <c r="F10" s="18" t="s">
        <v>67</v>
      </c>
      <c r="G10" s="81" t="str">
        <f>IF(ISBLANK(F10), "", VLOOKUP(VLOOKUP(F10, NHLTeams!$B$2:$F$33, 4,FALSE), Conferences!$A$2:$B$3, 2,FALSE))</f>
        <v>Eastern</v>
      </c>
      <c r="H10" s="82" t="str">
        <f>IF(ISBLANK(F10), "", VLOOKUP(VLOOKUP(F10, NHLTeams!$B$2:$F$33, 5, FALSE), Divisions!$A$2:$B$5, 2, FALSE))</f>
        <v>Atlantic</v>
      </c>
      <c r="I10" t="s">
        <v>53</v>
      </c>
      <c r="J10" t="s">
        <v>447</v>
      </c>
      <c r="K10" t="s">
        <v>72</v>
      </c>
      <c r="L10">
        <v>34</v>
      </c>
      <c r="M10">
        <v>0</v>
      </c>
      <c r="N10">
        <v>0</v>
      </c>
      <c r="O10" t="s">
        <v>75</v>
      </c>
      <c r="P10" t="s">
        <v>4</v>
      </c>
      <c r="Q10" t="s">
        <v>10</v>
      </c>
      <c r="R10" t="s">
        <v>20</v>
      </c>
      <c r="T10" s="118">
        <v>56</v>
      </c>
      <c r="U10" t="s">
        <v>302</v>
      </c>
      <c r="V10" t="s">
        <v>303</v>
      </c>
      <c r="W10" t="s">
        <v>372</v>
      </c>
      <c r="Z10">
        <v>249.99</v>
      </c>
      <c r="AB10">
        <f>15.99/3</f>
        <v>5.33</v>
      </c>
      <c r="AE10">
        <f t="shared" si="4"/>
        <v>38.298000000000002</v>
      </c>
      <c r="AF10">
        <f t="shared" si="2"/>
        <v>293.61800000000005</v>
      </c>
      <c r="AH10">
        <v>0</v>
      </c>
      <c r="AI10">
        <v>0</v>
      </c>
      <c r="AK10" s="1">
        <v>35690</v>
      </c>
      <c r="AM10" t="s">
        <v>64</v>
      </c>
      <c r="AO10" t="s">
        <v>339</v>
      </c>
      <c r="AP10" t="s">
        <v>340</v>
      </c>
      <c r="AQ10" s="120">
        <f t="shared" ca="1" si="5"/>
        <v>9823.066174537038</v>
      </c>
      <c r="AR10" s="120">
        <f t="shared" si="3"/>
        <v>-776</v>
      </c>
      <c r="AS10">
        <v>0</v>
      </c>
    </row>
    <row r="11" spans="1:45" x14ac:dyDescent="0.25">
      <c r="A11" s="1">
        <v>45205</v>
      </c>
      <c r="B11" s="1">
        <v>45219</v>
      </c>
      <c r="C11" s="1"/>
      <c r="D11" s="2">
        <f t="shared" ref="D11:D74" ca="1" si="6">IF(ISBLANK(B11), (NOW()-A11), (B11-A11))</f>
        <v>14</v>
      </c>
      <c r="E11" s="2">
        <f t="shared" ref="E11:E74" ca="1" si="7">IF(ISBLANK(B11), 0, NOW()-B11)</f>
        <v>294.06617453703802</v>
      </c>
      <c r="F11" s="17" t="s">
        <v>66</v>
      </c>
      <c r="G11" s="81" t="str">
        <f>IF(ISBLANK(F11), "", VLOOKUP(VLOOKUP(F11, NHLTeams!$B$2:$F$33, 4,FALSE), Conferences!$A$2:$B$3, 2,FALSE))</f>
        <v>Eastern</v>
      </c>
      <c r="H11" s="85" t="str">
        <f>IF(ISBLANK(F11), "", VLOOKUP(VLOOKUP(F11, NHLTeams!$B$2:$F$33, 5, FALSE), Divisions!$A$2:$B$5, 2, FALSE))</f>
        <v>Metropolitan</v>
      </c>
      <c r="I11" t="s">
        <v>53</v>
      </c>
      <c r="J11" t="s">
        <v>70</v>
      </c>
      <c r="K11" t="s">
        <v>71</v>
      </c>
      <c r="L11">
        <v>87</v>
      </c>
      <c r="M11">
        <v>1</v>
      </c>
      <c r="N11">
        <v>0</v>
      </c>
      <c r="O11" t="s">
        <v>293</v>
      </c>
      <c r="P11" t="s">
        <v>4</v>
      </c>
      <c r="Q11" t="s">
        <v>73</v>
      </c>
      <c r="R11" t="s">
        <v>22</v>
      </c>
      <c r="T11" s="118">
        <v>56</v>
      </c>
      <c r="U11" t="s">
        <v>302</v>
      </c>
      <c r="V11" t="s">
        <v>310</v>
      </c>
      <c r="W11" t="s">
        <v>372</v>
      </c>
      <c r="Z11">
        <v>369.99</v>
      </c>
      <c r="AD11">
        <v>110.99</v>
      </c>
      <c r="AE11">
        <f t="shared" si="4"/>
        <v>55.4985</v>
      </c>
      <c r="AF11">
        <f t="shared" si="2"/>
        <v>425.48849999999999</v>
      </c>
      <c r="AG11">
        <v>135.05000000000001</v>
      </c>
      <c r="AH11">
        <v>0</v>
      </c>
      <c r="AI11">
        <v>0</v>
      </c>
      <c r="AK11" s="1">
        <v>31996</v>
      </c>
      <c r="AM11" t="s">
        <v>58</v>
      </c>
      <c r="AO11" t="s">
        <v>353</v>
      </c>
      <c r="AP11" t="s">
        <v>352</v>
      </c>
      <c r="AQ11" s="120">
        <f t="shared" ca="1" si="5"/>
        <v>13517.066174537038</v>
      </c>
      <c r="AR11" s="120">
        <f t="shared" si="3"/>
        <v>2918</v>
      </c>
      <c r="AS11">
        <v>0</v>
      </c>
    </row>
    <row r="12" spans="1:45" x14ac:dyDescent="0.25">
      <c r="A12" s="1">
        <v>45209</v>
      </c>
      <c r="B12" s="1">
        <v>45222</v>
      </c>
      <c r="C12" s="1">
        <v>45222</v>
      </c>
      <c r="D12" s="2">
        <f t="shared" ca="1" si="6"/>
        <v>13</v>
      </c>
      <c r="E12" s="2">
        <f t="shared" ca="1" si="7"/>
        <v>291.06617453703802</v>
      </c>
      <c r="F12" s="19" t="s">
        <v>5</v>
      </c>
      <c r="G12" s="83" t="str">
        <f>IF(ISBLANK(F12), "", VLOOKUP(VLOOKUP(F12, NHLTeams!$B$2:$F$33, 4,FALSE), Conferences!$A$2:$B$3, 2,FALSE))</f>
        <v>Western</v>
      </c>
      <c r="H12" s="84" t="str">
        <f>IF(ISBLANK(F12), "", VLOOKUP(VLOOKUP(F12, NHLTeams!$B$2:$F$33, 5, FALSE), Divisions!$A$2:$B$5, 2, FALSE))</f>
        <v>Pacific</v>
      </c>
      <c r="I12" t="s">
        <v>259</v>
      </c>
      <c r="J12" t="s">
        <v>263</v>
      </c>
      <c r="K12" t="s">
        <v>261</v>
      </c>
      <c r="L12">
        <v>34</v>
      </c>
      <c r="M12">
        <v>0</v>
      </c>
      <c r="N12">
        <v>0</v>
      </c>
      <c r="O12" t="s">
        <v>298</v>
      </c>
      <c r="P12" t="s">
        <v>262</v>
      </c>
      <c r="Q12" t="s">
        <v>73</v>
      </c>
      <c r="R12" t="s">
        <v>3</v>
      </c>
      <c r="T12" s="118">
        <v>56</v>
      </c>
      <c r="U12" t="s">
        <v>302</v>
      </c>
      <c r="V12" t="s">
        <v>303</v>
      </c>
      <c r="W12" t="s">
        <v>372</v>
      </c>
      <c r="Z12">
        <v>279.99</v>
      </c>
      <c r="AE12">
        <f t="shared" si="4"/>
        <v>41.9985</v>
      </c>
      <c r="AF12">
        <f t="shared" si="2"/>
        <v>321.98849999999999</v>
      </c>
      <c r="AH12">
        <v>0</v>
      </c>
      <c r="AI12">
        <v>0</v>
      </c>
      <c r="AK12" s="1">
        <v>28059</v>
      </c>
      <c r="AL12">
        <v>2013</v>
      </c>
      <c r="AM12" t="s">
        <v>264</v>
      </c>
      <c r="AN12" t="s">
        <v>63</v>
      </c>
      <c r="AO12" t="s">
        <v>334</v>
      </c>
      <c r="AP12" t="s">
        <v>337</v>
      </c>
      <c r="AQ12" s="120">
        <f t="shared" ca="1" si="5"/>
        <v>17454.066174537038</v>
      </c>
      <c r="AR12" s="120">
        <f t="shared" si="3"/>
        <v>6855</v>
      </c>
      <c r="AS12">
        <v>0</v>
      </c>
    </row>
    <row r="13" spans="1:45" x14ac:dyDescent="0.25">
      <c r="A13" s="1">
        <v>45247</v>
      </c>
      <c r="B13" s="1">
        <v>45257</v>
      </c>
      <c r="C13" s="1">
        <v>45285</v>
      </c>
      <c r="D13" s="2">
        <f t="shared" ca="1" si="6"/>
        <v>10</v>
      </c>
      <c r="E13" s="2">
        <f t="shared" ca="1" si="7"/>
        <v>256.06617453703802</v>
      </c>
      <c r="F13" s="19" t="s">
        <v>5</v>
      </c>
      <c r="G13" s="83" t="str">
        <f>IF(ISBLANK(F13), "", VLOOKUP(VLOOKUP(F13, NHLTeams!$B$2:$F$33, 4,FALSE), Conferences!$A$2:$B$3, 2,FALSE))</f>
        <v>Western</v>
      </c>
      <c r="H13" s="84" t="str">
        <f>IF(ISBLANK(F13), "", VLOOKUP(VLOOKUP(F13, NHLTeams!$B$2:$F$33, 5, FALSE), Divisions!$A$2:$B$5, 2, FALSE))</f>
        <v>Pacific</v>
      </c>
      <c r="I13" t="s">
        <v>53</v>
      </c>
      <c r="J13" t="s">
        <v>265</v>
      </c>
      <c r="K13" t="s">
        <v>266</v>
      </c>
      <c r="L13">
        <v>23</v>
      </c>
      <c r="M13">
        <v>0</v>
      </c>
      <c r="N13">
        <v>0</v>
      </c>
      <c r="O13" t="s">
        <v>293</v>
      </c>
      <c r="P13" t="s">
        <v>4</v>
      </c>
      <c r="Q13" t="s">
        <v>3</v>
      </c>
      <c r="R13" t="s">
        <v>73</v>
      </c>
      <c r="T13" s="118">
        <v>56</v>
      </c>
      <c r="U13" t="s">
        <v>302</v>
      </c>
      <c r="V13" t="s">
        <v>310</v>
      </c>
      <c r="W13" t="s">
        <v>372</v>
      </c>
      <c r="Z13">
        <v>249.99</v>
      </c>
      <c r="AC13">
        <v>170</v>
      </c>
      <c r="AE13">
        <f t="shared" si="4"/>
        <v>11.998500000000002</v>
      </c>
      <c r="AF13">
        <f t="shared" si="2"/>
        <v>91.988500000000016</v>
      </c>
      <c r="AG13">
        <v>91.99</v>
      </c>
      <c r="AH13">
        <v>0</v>
      </c>
      <c r="AI13">
        <v>0</v>
      </c>
      <c r="AK13" s="1">
        <v>34611</v>
      </c>
      <c r="AM13" t="s">
        <v>60</v>
      </c>
      <c r="AQ13" s="120">
        <f t="shared" ca="1" si="5"/>
        <v>10902.066174537038</v>
      </c>
      <c r="AR13" s="120">
        <f t="shared" si="3"/>
        <v>303</v>
      </c>
      <c r="AS13">
        <v>0</v>
      </c>
    </row>
    <row r="14" spans="1:45" x14ac:dyDescent="0.25">
      <c r="A14" s="1">
        <v>45247</v>
      </c>
      <c r="B14" s="1">
        <v>45257</v>
      </c>
      <c r="C14" s="1">
        <v>45285</v>
      </c>
      <c r="D14" s="2">
        <f t="shared" ca="1" si="6"/>
        <v>10</v>
      </c>
      <c r="E14" s="2">
        <f t="shared" ca="1" si="7"/>
        <v>256.06617453703802</v>
      </c>
      <c r="F14" s="94" t="s">
        <v>216</v>
      </c>
      <c r="G14" s="83" t="str">
        <f>IF(ISBLANK(F14), "", VLOOKUP(VLOOKUP(F14, NHLTeams!$B$2:$F$33, 4,FALSE), Conferences!$A$2:$B$3, 2,FALSE))</f>
        <v>Western</v>
      </c>
      <c r="H14" s="84" t="str">
        <f>IF(ISBLANK(F14), "", VLOOKUP(VLOOKUP(F14, NHLTeams!$B$2:$F$33, 5, FALSE), Divisions!$A$2:$B$5, 2, FALSE))</f>
        <v>Pacific</v>
      </c>
      <c r="I14" t="s">
        <v>53</v>
      </c>
      <c r="J14" t="s">
        <v>267</v>
      </c>
      <c r="K14" t="s">
        <v>268</v>
      </c>
      <c r="L14">
        <v>53</v>
      </c>
      <c r="M14">
        <v>1</v>
      </c>
      <c r="N14">
        <v>0</v>
      </c>
      <c r="O14" t="s">
        <v>293</v>
      </c>
      <c r="P14" t="s">
        <v>4</v>
      </c>
      <c r="Q14" t="s">
        <v>10</v>
      </c>
      <c r="R14" t="s">
        <v>270</v>
      </c>
      <c r="T14" s="118">
        <v>56</v>
      </c>
      <c r="U14" t="s">
        <v>302</v>
      </c>
      <c r="V14" t="s">
        <v>310</v>
      </c>
      <c r="W14" t="s">
        <v>372</v>
      </c>
      <c r="Z14">
        <v>249.99</v>
      </c>
      <c r="AC14">
        <v>170</v>
      </c>
      <c r="AE14">
        <f t="shared" si="4"/>
        <v>11.998500000000002</v>
      </c>
      <c r="AF14">
        <f t="shared" si="2"/>
        <v>91.988500000000016</v>
      </c>
      <c r="AG14">
        <v>91.99</v>
      </c>
      <c r="AH14">
        <v>0</v>
      </c>
      <c r="AI14">
        <v>0</v>
      </c>
      <c r="AK14" s="1">
        <v>34794</v>
      </c>
      <c r="AM14" t="s">
        <v>269</v>
      </c>
      <c r="AQ14" s="120">
        <f t="shared" ca="1" si="5"/>
        <v>10719.066174537038</v>
      </c>
      <c r="AR14" s="120">
        <f t="shared" si="3"/>
        <v>120</v>
      </c>
      <c r="AS14">
        <v>0</v>
      </c>
    </row>
    <row r="15" spans="1:45" x14ac:dyDescent="0.25">
      <c r="A15" s="1">
        <v>45267</v>
      </c>
      <c r="B15" s="1">
        <v>45294</v>
      </c>
      <c r="C15" s="1">
        <v>45397</v>
      </c>
      <c r="D15" s="2">
        <f t="shared" ca="1" si="6"/>
        <v>27</v>
      </c>
      <c r="E15" s="2">
        <f t="shared" ca="1" si="7"/>
        <v>219.06617453703802</v>
      </c>
      <c r="F15" s="95" t="s">
        <v>151</v>
      </c>
      <c r="G15" s="83" t="str">
        <f>IF(ISBLANK(F15), "", VLOOKUP(VLOOKUP(F15, NHLTeams!$B$2:$F$33, 4,FALSE), Conferences!$A$2:$B$3, 2,FALSE))</f>
        <v>Western</v>
      </c>
      <c r="H15" s="84" t="str">
        <f>IF(ISBLANK(F15), "", VLOOKUP(VLOOKUP(F15, NHLTeams!$B$2:$F$33, 5, FALSE), Divisions!$A$2:$B$5, 2, FALSE))</f>
        <v>Pacific</v>
      </c>
      <c r="I15" t="s">
        <v>53</v>
      </c>
      <c r="J15" t="s">
        <v>274</v>
      </c>
      <c r="K15" t="s">
        <v>275</v>
      </c>
      <c r="L15">
        <v>11</v>
      </c>
      <c r="M15">
        <v>1</v>
      </c>
      <c r="N15">
        <v>0</v>
      </c>
      <c r="O15" t="s">
        <v>292</v>
      </c>
      <c r="P15" t="s">
        <v>4</v>
      </c>
      <c r="Q15" t="s">
        <v>73</v>
      </c>
      <c r="R15" t="s">
        <v>20</v>
      </c>
      <c r="T15" s="118" t="s">
        <v>288</v>
      </c>
      <c r="U15" t="s">
        <v>311</v>
      </c>
      <c r="Y15">
        <v>69.989999999999995</v>
      </c>
      <c r="Z15">
        <v>95.046419999999998</v>
      </c>
      <c r="AB15">
        <f t="shared" ref="AB15:AB21" si="8">83/7</f>
        <v>11.857142857142858</v>
      </c>
      <c r="AE15">
        <f t="shared" si="4"/>
        <v>16.035534428571427</v>
      </c>
      <c r="AF15">
        <f t="shared" si="2"/>
        <v>122.93909728571428</v>
      </c>
      <c r="AH15">
        <v>1</v>
      </c>
      <c r="AI15">
        <v>0</v>
      </c>
      <c r="AJ15">
        <v>1.3580000000000001</v>
      </c>
      <c r="AK15" s="1">
        <v>32013</v>
      </c>
      <c r="AM15" t="s">
        <v>291</v>
      </c>
      <c r="AQ15" s="120">
        <f t="shared" ca="1" si="5"/>
        <v>13500.066174537038</v>
      </c>
      <c r="AR15" s="120">
        <f t="shared" si="3"/>
        <v>2901</v>
      </c>
      <c r="AS15">
        <v>0</v>
      </c>
    </row>
    <row r="16" spans="1:45" x14ac:dyDescent="0.25">
      <c r="A16" s="1">
        <v>45267</v>
      </c>
      <c r="B16" s="1">
        <v>45294</v>
      </c>
      <c r="C16" s="1">
        <v>45349</v>
      </c>
      <c r="D16" s="2">
        <f t="shared" ca="1" si="6"/>
        <v>27</v>
      </c>
      <c r="E16" s="2">
        <f t="shared" ca="1" si="7"/>
        <v>219.06617453703802</v>
      </c>
      <c r="F16" s="95" t="s">
        <v>151</v>
      </c>
      <c r="G16" s="83" t="str">
        <f>IF(ISBLANK(F16), "", VLOOKUP(VLOOKUP(F16, NHLTeams!$B$2:$F$33, 4,FALSE), Conferences!$A$2:$B$3, 2,FALSE))</f>
        <v>Western</v>
      </c>
      <c r="H16" s="84" t="str">
        <f>IF(ISBLANK(F16), "", VLOOKUP(VLOOKUP(F16, NHLTeams!$B$2:$F$33, 5, FALSE), Divisions!$A$2:$B$5, 2, FALSE))</f>
        <v>Pacific</v>
      </c>
      <c r="I16" t="s">
        <v>259</v>
      </c>
      <c r="J16" t="s">
        <v>7</v>
      </c>
      <c r="K16" t="s">
        <v>276</v>
      </c>
      <c r="L16">
        <v>32</v>
      </c>
      <c r="M16">
        <v>0</v>
      </c>
      <c r="N16">
        <v>0</v>
      </c>
      <c r="O16" t="s">
        <v>75</v>
      </c>
      <c r="P16" t="s">
        <v>4</v>
      </c>
      <c r="Q16" t="s">
        <v>73</v>
      </c>
      <c r="R16" t="s">
        <v>20</v>
      </c>
      <c r="T16" s="118" t="s">
        <v>288</v>
      </c>
      <c r="U16" t="s">
        <v>311</v>
      </c>
      <c r="Y16">
        <v>69.989999999999995</v>
      </c>
      <c r="Z16">
        <v>95.046419999999998</v>
      </c>
      <c r="AB16">
        <f t="shared" si="8"/>
        <v>11.857142857142858</v>
      </c>
      <c r="AE16">
        <f t="shared" si="4"/>
        <v>16.035534428571427</v>
      </c>
      <c r="AF16">
        <f t="shared" si="2"/>
        <v>122.93909728571428</v>
      </c>
      <c r="AH16">
        <v>1</v>
      </c>
      <c r="AI16">
        <v>0</v>
      </c>
      <c r="AJ16">
        <v>1.3580000000000001</v>
      </c>
      <c r="AK16" s="1">
        <v>31433</v>
      </c>
      <c r="AM16" t="s">
        <v>61</v>
      </c>
      <c r="AQ16" s="120">
        <f t="shared" ca="1" si="5"/>
        <v>14080.066174537038</v>
      </c>
      <c r="AR16" s="120">
        <f t="shared" si="3"/>
        <v>3481</v>
      </c>
      <c r="AS16">
        <v>0</v>
      </c>
    </row>
    <row r="17" spans="1:45" x14ac:dyDescent="0.25">
      <c r="A17" s="1">
        <v>45267</v>
      </c>
      <c r="B17" s="1">
        <v>45294</v>
      </c>
      <c r="C17" s="1">
        <v>45347</v>
      </c>
      <c r="D17" s="2">
        <f t="shared" ca="1" si="6"/>
        <v>27</v>
      </c>
      <c r="E17" s="2">
        <f t="shared" ca="1" si="7"/>
        <v>219.06617453703802</v>
      </c>
      <c r="F17" s="96" t="s">
        <v>177</v>
      </c>
      <c r="G17" s="81" t="str">
        <f>IF(ISBLANK(F17), "", VLOOKUP(VLOOKUP(F17, NHLTeams!$B$2:$F$33, 4,FALSE), Conferences!$A$2:$B$3, 2,FALSE))</f>
        <v>Eastern</v>
      </c>
      <c r="H17" s="85" t="str">
        <f>IF(ISBLANK(F17), "", VLOOKUP(VLOOKUP(F17, NHLTeams!$B$2:$F$33, 5, FALSE), Divisions!$A$2:$B$5, 2, FALSE))</f>
        <v>Metropolitan</v>
      </c>
      <c r="I17" t="s">
        <v>273</v>
      </c>
      <c r="J17" t="s">
        <v>277</v>
      </c>
      <c r="K17" t="s">
        <v>289</v>
      </c>
      <c r="L17">
        <v>27</v>
      </c>
      <c r="M17">
        <v>1</v>
      </c>
      <c r="N17">
        <v>0</v>
      </c>
      <c r="O17" t="s">
        <v>75</v>
      </c>
      <c r="P17" t="s">
        <v>4</v>
      </c>
      <c r="Q17" t="s">
        <v>10</v>
      </c>
      <c r="R17" t="s">
        <v>3</v>
      </c>
      <c r="T17" s="118">
        <v>56</v>
      </c>
      <c r="U17" t="s">
        <v>302</v>
      </c>
      <c r="V17" t="s">
        <v>310</v>
      </c>
      <c r="Y17">
        <v>59.99</v>
      </c>
      <c r="Z17">
        <v>81.466419999999999</v>
      </c>
      <c r="AB17">
        <f t="shared" si="8"/>
        <v>11.857142857142858</v>
      </c>
      <c r="AE17">
        <f t="shared" si="4"/>
        <v>13.998534428571428</v>
      </c>
      <c r="AF17">
        <f t="shared" si="2"/>
        <v>107.32209728571429</v>
      </c>
      <c r="AH17">
        <v>1</v>
      </c>
      <c r="AI17">
        <v>0</v>
      </c>
      <c r="AJ17">
        <v>1.3580000000000001</v>
      </c>
      <c r="AK17" s="1">
        <v>32672</v>
      </c>
      <c r="AM17" t="s">
        <v>290</v>
      </c>
      <c r="AQ17" s="120">
        <f t="shared" ca="1" si="5"/>
        <v>12841.066174537038</v>
      </c>
      <c r="AR17" s="120">
        <f t="shared" si="3"/>
        <v>2242</v>
      </c>
      <c r="AS17">
        <v>0</v>
      </c>
    </row>
    <row r="18" spans="1:45" x14ac:dyDescent="0.25">
      <c r="A18" s="1">
        <v>45267</v>
      </c>
      <c r="B18" s="1">
        <v>45294</v>
      </c>
      <c r="C18" s="1">
        <v>45375</v>
      </c>
      <c r="D18" s="2">
        <f t="shared" ca="1" si="6"/>
        <v>27</v>
      </c>
      <c r="E18" s="2">
        <f t="shared" ca="1" si="7"/>
        <v>219.06617453703802</v>
      </c>
      <c r="F18" s="97" t="s">
        <v>106</v>
      </c>
      <c r="G18" s="81" t="str">
        <f>IF(ISBLANK(F18), "", VLOOKUP(VLOOKUP(F18, NHLTeams!$B$2:$F$33, 4,FALSE), Conferences!$A$2:$B$3, 2,FALSE))</f>
        <v>Eastern</v>
      </c>
      <c r="H18" s="82" t="str">
        <f>IF(ISBLANK(F18), "", VLOOKUP(VLOOKUP(F18, NHLTeams!$B$2:$F$33, 5, FALSE), Divisions!$A$2:$B$5, 2, FALSE))</f>
        <v>Atlantic</v>
      </c>
      <c r="I18" t="s">
        <v>53</v>
      </c>
      <c r="J18" t="s">
        <v>278</v>
      </c>
      <c r="K18" t="s">
        <v>279</v>
      </c>
      <c r="L18">
        <v>15</v>
      </c>
      <c r="M18">
        <v>0</v>
      </c>
      <c r="N18">
        <v>0</v>
      </c>
      <c r="O18" t="s">
        <v>75</v>
      </c>
      <c r="P18" t="s">
        <v>4</v>
      </c>
      <c r="Q18" t="s">
        <v>287</v>
      </c>
      <c r="R18" t="s">
        <v>286</v>
      </c>
      <c r="T18" s="118">
        <v>56</v>
      </c>
      <c r="U18" t="s">
        <v>302</v>
      </c>
      <c r="V18" t="s">
        <v>310</v>
      </c>
      <c r="Y18">
        <v>59.99</v>
      </c>
      <c r="Z18">
        <v>81.466419999999999</v>
      </c>
      <c r="AB18">
        <f t="shared" si="8"/>
        <v>11.857142857142858</v>
      </c>
      <c r="AE18">
        <f t="shared" si="4"/>
        <v>13.998534428571428</v>
      </c>
      <c r="AF18">
        <f t="shared" si="2"/>
        <v>107.32209728571429</v>
      </c>
      <c r="AH18">
        <v>1</v>
      </c>
      <c r="AI18">
        <v>0</v>
      </c>
      <c r="AJ18">
        <v>1.3580000000000001</v>
      </c>
      <c r="AK18" s="1">
        <v>35366</v>
      </c>
      <c r="AM18" t="s">
        <v>59</v>
      </c>
      <c r="AQ18" s="120">
        <f t="shared" ca="1" si="5"/>
        <v>10147.066174537038</v>
      </c>
      <c r="AR18" s="120">
        <f t="shared" si="3"/>
        <v>-452</v>
      </c>
      <c r="AS18">
        <v>0</v>
      </c>
    </row>
    <row r="19" spans="1:45" x14ac:dyDescent="0.25">
      <c r="A19" s="1">
        <v>45267</v>
      </c>
      <c r="B19" s="1">
        <v>45294</v>
      </c>
      <c r="C19" s="1">
        <v>45373</v>
      </c>
      <c r="D19" s="2">
        <f t="shared" ca="1" si="6"/>
        <v>27</v>
      </c>
      <c r="E19" s="2">
        <f t="shared" ca="1" si="7"/>
        <v>219.06617453703802</v>
      </c>
      <c r="F19" s="17" t="s">
        <v>101</v>
      </c>
      <c r="G19" s="81" t="str">
        <f>IF(ISBLANK(F19), "", VLOOKUP(VLOOKUP(F19, NHLTeams!$B$2:$F$33, 4,FALSE), Conferences!$A$2:$B$3, 2,FALSE))</f>
        <v>Eastern</v>
      </c>
      <c r="H19" s="82" t="str">
        <f>IF(ISBLANK(F19), "", VLOOKUP(VLOOKUP(F19, NHLTeams!$B$2:$F$33, 5, FALSE), Divisions!$A$2:$B$5, 2, FALSE))</f>
        <v>Atlantic</v>
      </c>
      <c r="I19" t="s">
        <v>53</v>
      </c>
      <c r="J19" t="s">
        <v>280</v>
      </c>
      <c r="K19" t="s">
        <v>281</v>
      </c>
      <c r="L19">
        <v>37</v>
      </c>
      <c r="M19">
        <v>1</v>
      </c>
      <c r="N19">
        <v>0</v>
      </c>
      <c r="O19" t="s">
        <v>293</v>
      </c>
      <c r="P19" t="s">
        <v>4</v>
      </c>
      <c r="Q19" t="s">
        <v>73</v>
      </c>
      <c r="R19" t="s">
        <v>286</v>
      </c>
      <c r="T19" s="118" t="s">
        <v>288</v>
      </c>
      <c r="U19" t="s">
        <v>311</v>
      </c>
      <c r="Y19">
        <v>89.99</v>
      </c>
      <c r="Z19">
        <v>122.20641999999999</v>
      </c>
      <c r="AB19">
        <f t="shared" si="8"/>
        <v>11.857142857142858</v>
      </c>
      <c r="AE19">
        <f t="shared" si="4"/>
        <v>20.109534428571425</v>
      </c>
      <c r="AF19">
        <f t="shared" si="2"/>
        <v>154.17309728571428</v>
      </c>
      <c r="AH19">
        <v>1</v>
      </c>
      <c r="AI19">
        <v>0</v>
      </c>
      <c r="AJ19">
        <v>1.3580000000000001</v>
      </c>
      <c r="AK19" s="1">
        <v>31222</v>
      </c>
      <c r="AL19">
        <v>2023</v>
      </c>
      <c r="AM19" t="s">
        <v>294</v>
      </c>
      <c r="AN19" t="s">
        <v>295</v>
      </c>
      <c r="AQ19" s="120">
        <f t="shared" ca="1" si="5"/>
        <v>14291.066174537038</v>
      </c>
      <c r="AR19" s="120">
        <f t="shared" si="3"/>
        <v>3692</v>
      </c>
      <c r="AS19">
        <v>0</v>
      </c>
    </row>
    <row r="20" spans="1:45" x14ac:dyDescent="0.25">
      <c r="A20" s="1">
        <v>45267</v>
      </c>
      <c r="B20" s="1">
        <v>45294</v>
      </c>
      <c r="C20" s="1">
        <v>45382</v>
      </c>
      <c r="D20" s="2">
        <f t="shared" ca="1" si="6"/>
        <v>27</v>
      </c>
      <c r="E20" s="2">
        <f t="shared" ca="1" si="7"/>
        <v>219.06617453703802</v>
      </c>
      <c r="F20" s="98" t="s">
        <v>88</v>
      </c>
      <c r="G20" s="83" t="str">
        <f>IF(ISBLANK(F20), "", VLOOKUP(VLOOKUP(F20, NHLTeams!$B$2:$F$33, 4,FALSE), Conferences!$A$2:$B$3, 2,FALSE))</f>
        <v>Western</v>
      </c>
      <c r="H20" s="84" t="str">
        <f>IF(ISBLANK(F20), "", VLOOKUP(VLOOKUP(F20, NHLTeams!$B$2:$F$33, 5, FALSE), Divisions!$A$2:$B$5, 2, FALSE))</f>
        <v>Pacific</v>
      </c>
      <c r="I20" t="s">
        <v>53</v>
      </c>
      <c r="J20" t="s">
        <v>282</v>
      </c>
      <c r="K20" t="s">
        <v>283</v>
      </c>
      <c r="L20">
        <v>10</v>
      </c>
      <c r="M20">
        <v>0</v>
      </c>
      <c r="N20">
        <v>0</v>
      </c>
      <c r="O20" t="s">
        <v>293</v>
      </c>
      <c r="P20" t="s">
        <v>285</v>
      </c>
      <c r="Q20" t="s">
        <v>20</v>
      </c>
      <c r="R20" t="s">
        <v>21</v>
      </c>
      <c r="T20" s="118" t="s">
        <v>288</v>
      </c>
      <c r="U20" t="s">
        <v>311</v>
      </c>
      <c r="Y20">
        <v>59.99</v>
      </c>
      <c r="Z20">
        <v>81.466419999999999</v>
      </c>
      <c r="AB20">
        <f t="shared" si="8"/>
        <v>11.857142857142858</v>
      </c>
      <c r="AE20">
        <f t="shared" si="4"/>
        <v>13.998534428571428</v>
      </c>
      <c r="AF20">
        <f t="shared" si="2"/>
        <v>107.32209728571429</v>
      </c>
      <c r="AH20">
        <v>1</v>
      </c>
      <c r="AI20">
        <v>0</v>
      </c>
      <c r="AJ20">
        <v>1.1240000000000001</v>
      </c>
      <c r="AK20" s="1">
        <v>31183</v>
      </c>
      <c r="AM20" t="s">
        <v>58</v>
      </c>
      <c r="AQ20" s="120">
        <f t="shared" ca="1" si="5"/>
        <v>14330.066174537038</v>
      </c>
      <c r="AR20" s="120">
        <f t="shared" si="3"/>
        <v>3731</v>
      </c>
      <c r="AS20">
        <v>0</v>
      </c>
    </row>
    <row r="21" spans="1:45" x14ac:dyDescent="0.25">
      <c r="A21" s="1">
        <v>45267</v>
      </c>
      <c r="B21" s="1">
        <v>45294</v>
      </c>
      <c r="C21" s="1">
        <v>45377</v>
      </c>
      <c r="D21" s="2">
        <f t="shared" ca="1" si="6"/>
        <v>27</v>
      </c>
      <c r="E21" s="2">
        <f t="shared" ca="1" si="7"/>
        <v>219.06617453703802</v>
      </c>
      <c r="F21" s="99" t="s">
        <v>128</v>
      </c>
      <c r="G21" s="83" t="str">
        <f>IF(ISBLANK(F21), "", VLOOKUP(VLOOKUP(F21, NHLTeams!$B$2:$F$33, 4,FALSE), Conferences!$A$2:$B$3, 2,FALSE))</f>
        <v>Western</v>
      </c>
      <c r="H21" s="93" t="str">
        <f>IF(ISBLANK(F21), "", VLOOKUP(VLOOKUP(F21, NHLTeams!$B$2:$F$33, 5, FALSE), Divisions!$A$2:$B$5, 2, FALSE))</f>
        <v>Central</v>
      </c>
      <c r="I21" t="s">
        <v>53</v>
      </c>
      <c r="J21" t="s">
        <v>7</v>
      </c>
      <c r="K21" t="s">
        <v>284</v>
      </c>
      <c r="L21">
        <v>19</v>
      </c>
      <c r="M21">
        <v>1</v>
      </c>
      <c r="N21">
        <v>0</v>
      </c>
      <c r="O21" t="s">
        <v>293</v>
      </c>
      <c r="P21" t="s">
        <v>285</v>
      </c>
      <c r="Q21" t="s">
        <v>20</v>
      </c>
      <c r="R21" t="s">
        <v>73</v>
      </c>
      <c r="T21" s="118">
        <v>56</v>
      </c>
      <c r="U21" t="s">
        <v>302</v>
      </c>
      <c r="V21" t="s">
        <v>310</v>
      </c>
      <c r="X21" s="109" t="s">
        <v>376</v>
      </c>
      <c r="Y21">
        <v>79.989999999999995</v>
      </c>
      <c r="Z21">
        <v>108.62642</v>
      </c>
      <c r="AB21">
        <f t="shared" si="8"/>
        <v>11.857142857142858</v>
      </c>
      <c r="AE21">
        <f t="shared" si="4"/>
        <v>18.072534428571426</v>
      </c>
      <c r="AF21">
        <f t="shared" si="2"/>
        <v>138.55609728571429</v>
      </c>
      <c r="AH21">
        <v>1</v>
      </c>
      <c r="AI21">
        <v>0</v>
      </c>
      <c r="AJ21">
        <v>1.3580000000000001</v>
      </c>
      <c r="AK21" s="1">
        <v>32262</v>
      </c>
      <c r="AM21" t="s">
        <v>61</v>
      </c>
      <c r="AN21" t="s">
        <v>295</v>
      </c>
      <c r="AQ21" s="120">
        <f t="shared" ca="1" si="5"/>
        <v>13251.066174537038</v>
      </c>
      <c r="AR21" s="120">
        <f t="shared" si="3"/>
        <v>2652</v>
      </c>
      <c r="AS21">
        <v>0</v>
      </c>
    </row>
    <row r="22" spans="1:45" x14ac:dyDescent="0.25">
      <c r="A22" s="1">
        <v>45276</v>
      </c>
      <c r="B22" s="1">
        <v>45289</v>
      </c>
      <c r="C22" s="1">
        <v>45364</v>
      </c>
      <c r="D22" s="2">
        <f t="shared" ca="1" si="6"/>
        <v>13</v>
      </c>
      <c r="E22" s="2">
        <f t="shared" ca="1" si="7"/>
        <v>224.06617453703802</v>
      </c>
      <c r="F22" s="101" t="s">
        <v>168</v>
      </c>
      <c r="G22" s="83" t="str">
        <f>IF(ISBLANK(F22), "", VLOOKUP(VLOOKUP(F22, NHLTeams!$B$2:$F$33, 4,FALSE), Conferences!$A$2:$B$3, 2,FALSE))</f>
        <v>Western</v>
      </c>
      <c r="H22" s="93" t="str">
        <f>IF(ISBLANK(F22), "", VLOOKUP(VLOOKUP(F22, NHLTeams!$B$2:$F$33, 5, FALSE), Divisions!$A$2:$B$5, 2, FALSE))</f>
        <v>Central</v>
      </c>
      <c r="I22" t="s">
        <v>53</v>
      </c>
      <c r="J22" t="s">
        <v>307</v>
      </c>
      <c r="K22" s="80" t="s">
        <v>308</v>
      </c>
      <c r="L22">
        <v>9</v>
      </c>
      <c r="N22">
        <v>0</v>
      </c>
      <c r="O22" t="s">
        <v>309</v>
      </c>
      <c r="P22" t="s">
        <v>4</v>
      </c>
      <c r="Q22" t="s">
        <v>22</v>
      </c>
      <c r="R22" t="s">
        <v>10</v>
      </c>
      <c r="S22" t="s">
        <v>20</v>
      </c>
      <c r="T22" s="118">
        <v>56</v>
      </c>
      <c r="U22" t="s">
        <v>302</v>
      </c>
      <c r="V22" t="s">
        <v>310</v>
      </c>
      <c r="Y22">
        <v>109.12</v>
      </c>
      <c r="AA22">
        <v>31.81</v>
      </c>
      <c r="AB22">
        <v>31.324780000000001</v>
      </c>
      <c r="AE22">
        <f t="shared" si="4"/>
        <v>9.4702169999999999</v>
      </c>
      <c r="AF22">
        <f t="shared" si="2"/>
        <v>72.604996999999997</v>
      </c>
      <c r="AH22">
        <v>1</v>
      </c>
      <c r="AI22">
        <v>0</v>
      </c>
      <c r="AJ22">
        <v>1.33866586175</v>
      </c>
      <c r="AK22" s="1">
        <v>34559</v>
      </c>
      <c r="AM22" t="s">
        <v>63</v>
      </c>
      <c r="AQ22" s="120">
        <f t="shared" ca="1" si="5"/>
        <v>10954.066174537038</v>
      </c>
      <c r="AR22" s="120">
        <f t="shared" si="3"/>
        <v>355</v>
      </c>
      <c r="AS22">
        <v>0</v>
      </c>
    </row>
    <row r="23" spans="1:45" x14ac:dyDescent="0.25">
      <c r="A23" s="1">
        <v>45276</v>
      </c>
      <c r="B23" s="1">
        <v>45299</v>
      </c>
      <c r="C23" s="1">
        <v>45339</v>
      </c>
      <c r="D23" s="2">
        <f t="shared" ca="1" si="6"/>
        <v>23</v>
      </c>
      <c r="E23" s="2">
        <f t="shared" ca="1" si="7"/>
        <v>214.06617453703802</v>
      </c>
      <c r="F23" s="102" t="s">
        <v>141</v>
      </c>
      <c r="G23" s="81" t="str">
        <f>IF(ISBLANK(F23), "", VLOOKUP(VLOOKUP(F23, NHLTeams!$B$2:$F$33, 4,FALSE), Conferences!$A$2:$B$3, 2,FALSE))</f>
        <v>Eastern</v>
      </c>
      <c r="H23" s="82" t="str">
        <f>IF(ISBLANK(F23), "", VLOOKUP(VLOOKUP(F23, NHLTeams!$B$2:$F$33, 5, FALSE), Divisions!$A$2:$B$5, 2, FALSE))</f>
        <v>Atlantic</v>
      </c>
      <c r="I23" t="s">
        <v>53</v>
      </c>
      <c r="J23" t="s">
        <v>312</v>
      </c>
      <c r="K23" t="s">
        <v>313</v>
      </c>
      <c r="L23">
        <v>40</v>
      </c>
      <c r="M23">
        <v>1</v>
      </c>
      <c r="N23">
        <v>0</v>
      </c>
      <c r="O23" t="s">
        <v>309</v>
      </c>
      <c r="P23" t="s">
        <v>4</v>
      </c>
      <c r="Q23" t="s">
        <v>3</v>
      </c>
      <c r="R23" t="s">
        <v>20</v>
      </c>
      <c r="T23" s="118">
        <v>56</v>
      </c>
      <c r="U23" t="s">
        <v>302</v>
      </c>
      <c r="V23" t="s">
        <v>310</v>
      </c>
      <c r="X23" s="109" t="s">
        <v>381</v>
      </c>
      <c r="AE23">
        <f t="shared" si="4"/>
        <v>0</v>
      </c>
      <c r="AF23">
        <f t="shared" si="2"/>
        <v>0</v>
      </c>
      <c r="AH23">
        <v>1</v>
      </c>
      <c r="AI23">
        <v>0</v>
      </c>
      <c r="AK23" s="1">
        <v>29503</v>
      </c>
      <c r="AL23">
        <v>2018</v>
      </c>
      <c r="AM23" t="s">
        <v>321</v>
      </c>
      <c r="AN23" t="s">
        <v>322</v>
      </c>
      <c r="AQ23" s="120">
        <f t="shared" ca="1" si="5"/>
        <v>16010.066174537038</v>
      </c>
      <c r="AR23" s="120">
        <f t="shared" si="3"/>
        <v>5411</v>
      </c>
      <c r="AS23">
        <v>0</v>
      </c>
    </row>
    <row r="24" spans="1:45" x14ac:dyDescent="0.25">
      <c r="A24" s="1">
        <v>45276</v>
      </c>
      <c r="B24" s="1">
        <v>45299</v>
      </c>
      <c r="C24" s="1">
        <v>45368</v>
      </c>
      <c r="D24" s="2">
        <f t="shared" ca="1" si="6"/>
        <v>23</v>
      </c>
      <c r="E24" s="2">
        <f t="shared" ca="1" si="7"/>
        <v>214.06617453703802</v>
      </c>
      <c r="F24" s="103" t="s">
        <v>171</v>
      </c>
      <c r="G24" s="81" t="str">
        <f>IF(ISBLANK(F24), "", VLOOKUP(VLOOKUP(F24, NHLTeams!$B$2:$F$33, 4,FALSE), Conferences!$A$2:$B$3, 2,FALSE))</f>
        <v>Eastern</v>
      </c>
      <c r="H24" s="85" t="str">
        <f>IF(ISBLANK(F24), "", VLOOKUP(VLOOKUP(F24, NHLTeams!$B$2:$F$33, 5, FALSE), Divisions!$A$2:$B$5, 2, FALSE))</f>
        <v>Metropolitan</v>
      </c>
      <c r="I24" t="s">
        <v>53</v>
      </c>
      <c r="J24" t="s">
        <v>314</v>
      </c>
      <c r="K24" t="s">
        <v>315</v>
      </c>
      <c r="L24">
        <v>91</v>
      </c>
      <c r="N24">
        <v>0</v>
      </c>
      <c r="O24" t="s">
        <v>293</v>
      </c>
      <c r="P24" t="s">
        <v>262</v>
      </c>
      <c r="Q24" t="s">
        <v>10</v>
      </c>
      <c r="R24" t="s">
        <v>20</v>
      </c>
      <c r="S24" t="s">
        <v>21</v>
      </c>
      <c r="T24" s="118">
        <v>56</v>
      </c>
      <c r="U24" t="s">
        <v>302</v>
      </c>
      <c r="V24" t="s">
        <v>310</v>
      </c>
      <c r="X24" s="109" t="s">
        <v>389</v>
      </c>
      <c r="AE24">
        <f t="shared" si="4"/>
        <v>0</v>
      </c>
      <c r="AF24">
        <f t="shared" si="2"/>
        <v>0</v>
      </c>
      <c r="AH24">
        <v>1</v>
      </c>
      <c r="AI24">
        <v>0</v>
      </c>
      <c r="AK24" s="1">
        <v>33136</v>
      </c>
      <c r="AM24" t="s">
        <v>323</v>
      </c>
      <c r="AQ24" s="120">
        <f t="shared" ca="1" si="5"/>
        <v>12377.066174537038</v>
      </c>
      <c r="AR24" s="120">
        <f t="shared" si="3"/>
        <v>1778</v>
      </c>
      <c r="AS24">
        <v>0</v>
      </c>
    </row>
    <row r="25" spans="1:45" x14ac:dyDescent="0.25">
      <c r="A25" s="1">
        <v>45277</v>
      </c>
      <c r="B25" s="1">
        <v>45296</v>
      </c>
      <c r="C25" s="1">
        <v>45381</v>
      </c>
      <c r="D25" s="2">
        <f t="shared" ca="1" si="6"/>
        <v>19</v>
      </c>
      <c r="E25" s="2">
        <f t="shared" ca="1" si="7"/>
        <v>217.06617453703802</v>
      </c>
      <c r="F25" s="19" t="s">
        <v>5</v>
      </c>
      <c r="G25" s="83" t="str">
        <f>IF(ISBLANK(F25), "", VLOOKUP(VLOOKUP(F25, NHLTeams!$B$2:$F$33, 4,FALSE), Conferences!$A$2:$B$3, 2,FALSE))</f>
        <v>Western</v>
      </c>
      <c r="H25" s="84" t="str">
        <f>IF(ISBLANK(F25), "", VLOOKUP(VLOOKUP(F25, NHLTeams!$B$2:$F$33, 5, FALSE), Divisions!$A$2:$B$5, 2, FALSE))</f>
        <v>Pacific</v>
      </c>
      <c r="I25" t="s">
        <v>259</v>
      </c>
      <c r="J25" t="s">
        <v>316</v>
      </c>
      <c r="K25" t="s">
        <v>317</v>
      </c>
      <c r="L25">
        <v>32</v>
      </c>
      <c r="M25">
        <v>0</v>
      </c>
      <c r="N25">
        <v>0</v>
      </c>
      <c r="O25" t="s">
        <v>75</v>
      </c>
      <c r="P25" t="s">
        <v>318</v>
      </c>
      <c r="Q25" t="s">
        <v>20</v>
      </c>
      <c r="R25" t="s">
        <v>319</v>
      </c>
      <c r="S25" t="s">
        <v>320</v>
      </c>
      <c r="T25" s="118">
        <v>56</v>
      </c>
      <c r="U25" t="s">
        <v>302</v>
      </c>
      <c r="V25" t="s">
        <v>303</v>
      </c>
      <c r="W25" t="s">
        <v>372</v>
      </c>
      <c r="X25" s="109" t="s">
        <v>371</v>
      </c>
      <c r="Z25">
        <v>199.99</v>
      </c>
      <c r="AE25">
        <f t="shared" si="4"/>
        <v>29.9985</v>
      </c>
      <c r="AF25">
        <f t="shared" si="2"/>
        <v>229.98850000000002</v>
      </c>
      <c r="AH25">
        <v>0</v>
      </c>
      <c r="AI25">
        <v>0</v>
      </c>
      <c r="AK25" s="1">
        <v>36997</v>
      </c>
      <c r="AM25" t="s">
        <v>295</v>
      </c>
      <c r="AQ25" s="120">
        <f t="shared" ca="1" si="5"/>
        <v>8516.066174537038</v>
      </c>
      <c r="AR25" s="120">
        <f t="shared" si="3"/>
        <v>-2083</v>
      </c>
      <c r="AS25">
        <v>0</v>
      </c>
    </row>
    <row r="26" spans="1:45" x14ac:dyDescent="0.25">
      <c r="A26" s="1">
        <v>45283</v>
      </c>
      <c r="B26" s="1">
        <v>45294</v>
      </c>
      <c r="C26" s="1">
        <v>45345</v>
      </c>
      <c r="D26" s="2">
        <f t="shared" ca="1" si="6"/>
        <v>11</v>
      </c>
      <c r="E26" s="2">
        <f t="shared" ca="1" si="7"/>
        <v>219.06617453703802</v>
      </c>
      <c r="F26" s="17" t="s">
        <v>101</v>
      </c>
      <c r="G26" s="81" t="str">
        <f>IF(ISBLANK(F26), "", VLOOKUP(VLOOKUP(F26, NHLTeams!$B$2:$F$33, 4,FALSE), Conferences!$A$2:$B$3, 2,FALSE))</f>
        <v>Eastern</v>
      </c>
      <c r="H26" s="82" t="str">
        <f>IF(ISBLANK(F26), "", VLOOKUP(VLOOKUP(F26, NHLTeams!$B$2:$F$33, 5, FALSE), Divisions!$A$2:$B$5, 2, FALSE))</f>
        <v>Atlantic</v>
      </c>
      <c r="I26" t="s">
        <v>53</v>
      </c>
      <c r="J26" t="s">
        <v>280</v>
      </c>
      <c r="K26" t="s">
        <v>281</v>
      </c>
      <c r="L26">
        <v>37</v>
      </c>
      <c r="M26">
        <v>1</v>
      </c>
      <c r="N26">
        <v>0</v>
      </c>
      <c r="O26" t="s">
        <v>293</v>
      </c>
      <c r="P26" t="s">
        <v>285</v>
      </c>
      <c r="Q26" t="s">
        <v>20</v>
      </c>
      <c r="R26" t="s">
        <v>286</v>
      </c>
      <c r="S26" t="s">
        <v>73</v>
      </c>
      <c r="T26" s="118">
        <v>56</v>
      </c>
      <c r="U26" t="s">
        <v>302</v>
      </c>
      <c r="V26" t="s">
        <v>303</v>
      </c>
      <c r="W26" t="s">
        <v>373</v>
      </c>
      <c r="X26" s="109" t="s">
        <v>375</v>
      </c>
      <c r="AA26">
        <f>102.34/3</f>
        <v>34.113333333333337</v>
      </c>
      <c r="AE26">
        <f t="shared" si="4"/>
        <v>5.117</v>
      </c>
      <c r="AF26">
        <f t="shared" si="2"/>
        <v>39.230333333333334</v>
      </c>
      <c r="AH26">
        <v>1</v>
      </c>
      <c r="AI26">
        <v>0</v>
      </c>
      <c r="AK26" s="1">
        <v>31222</v>
      </c>
      <c r="AL26">
        <v>2023</v>
      </c>
      <c r="AM26" t="s">
        <v>294</v>
      </c>
      <c r="AN26" t="s">
        <v>295</v>
      </c>
      <c r="AQ26" s="120">
        <f t="shared" ca="1" si="5"/>
        <v>14291.066174537038</v>
      </c>
      <c r="AR26" s="120">
        <f t="shared" si="3"/>
        <v>3692</v>
      </c>
      <c r="AS26">
        <v>0</v>
      </c>
    </row>
    <row r="27" spans="1:45" x14ac:dyDescent="0.25">
      <c r="A27" s="1">
        <v>45283</v>
      </c>
      <c r="B27" s="1">
        <v>45294</v>
      </c>
      <c r="C27" s="1">
        <v>45355</v>
      </c>
      <c r="D27" s="2">
        <f t="shared" ca="1" si="6"/>
        <v>11</v>
      </c>
      <c r="E27" s="2">
        <f t="shared" ca="1" si="7"/>
        <v>219.06617453703802</v>
      </c>
      <c r="F27" s="104" t="s">
        <v>192</v>
      </c>
      <c r="G27" s="83" t="str">
        <f>IF(ISBLANK(F27), "", VLOOKUP(VLOOKUP(F27, NHLTeams!$B$2:$F$33, 4,FALSE), Conferences!$A$2:$B$3, 2,FALSE))</f>
        <v>Western</v>
      </c>
      <c r="H27" s="84" t="str">
        <f>IF(ISBLANK(F27), "", VLOOKUP(VLOOKUP(F27, NHLTeams!$B$2:$F$33, 5, FALSE), Divisions!$A$2:$B$5, 2, FALSE))</f>
        <v>Pacific</v>
      </c>
      <c r="I27" t="s">
        <v>53</v>
      </c>
      <c r="J27" t="s">
        <v>328</v>
      </c>
      <c r="K27" s="80" t="s">
        <v>329</v>
      </c>
      <c r="L27">
        <v>7</v>
      </c>
      <c r="N27">
        <v>0</v>
      </c>
      <c r="O27" t="s">
        <v>293</v>
      </c>
      <c r="P27" t="s">
        <v>330</v>
      </c>
      <c r="Q27" t="s">
        <v>10</v>
      </c>
      <c r="R27" t="s">
        <v>331</v>
      </c>
      <c r="S27" t="s">
        <v>3</v>
      </c>
      <c r="T27" s="118">
        <v>56</v>
      </c>
      <c r="U27" t="s">
        <v>302</v>
      </c>
      <c r="V27" t="s">
        <v>303</v>
      </c>
      <c r="W27" t="s">
        <v>373</v>
      </c>
      <c r="AA27">
        <f>102.34/3</f>
        <v>34.113333333333337</v>
      </c>
      <c r="AE27">
        <f t="shared" si="4"/>
        <v>5.117</v>
      </c>
      <c r="AF27">
        <f t="shared" si="2"/>
        <v>39.230333333333334</v>
      </c>
      <c r="AH27">
        <v>1</v>
      </c>
      <c r="AI27">
        <v>0</v>
      </c>
      <c r="AK27" s="1">
        <v>33008</v>
      </c>
      <c r="AM27" t="s">
        <v>290</v>
      </c>
      <c r="AQ27" s="120">
        <f t="shared" ca="1" si="5"/>
        <v>12505.066174537038</v>
      </c>
      <c r="AR27" s="120">
        <f t="shared" si="3"/>
        <v>1906</v>
      </c>
      <c r="AS27">
        <v>0</v>
      </c>
    </row>
    <row r="28" spans="1:45" x14ac:dyDescent="0.25">
      <c r="A28" s="1">
        <v>45283</v>
      </c>
      <c r="B28" s="1">
        <v>45294</v>
      </c>
      <c r="C28" s="1">
        <v>45361</v>
      </c>
      <c r="D28" s="2">
        <f t="shared" ca="1" si="6"/>
        <v>11</v>
      </c>
      <c r="E28" s="2">
        <f t="shared" ca="1" si="7"/>
        <v>219.06617453703802</v>
      </c>
      <c r="F28" s="105" t="s">
        <v>112</v>
      </c>
      <c r="G28" s="81" t="str">
        <f>IF(ISBLANK(F28), "", VLOOKUP(VLOOKUP(F28, NHLTeams!$B$2:$F$33, 4,FALSE), Conferences!$A$2:$B$3, 2,FALSE))</f>
        <v>Eastern</v>
      </c>
      <c r="H28" s="85" t="str">
        <f>IF(ISBLANK(F28), "", VLOOKUP(VLOOKUP(F28, NHLTeams!$B$2:$F$33, 5, FALSE), Divisions!$A$2:$B$5, 2, FALSE))</f>
        <v>Metropolitan</v>
      </c>
      <c r="I28" t="s">
        <v>53</v>
      </c>
      <c r="J28" t="s">
        <v>324</v>
      </c>
      <c r="K28" s="80" t="s">
        <v>325</v>
      </c>
      <c r="L28">
        <v>20</v>
      </c>
      <c r="M28">
        <v>0</v>
      </c>
      <c r="N28">
        <v>0</v>
      </c>
      <c r="O28" t="s">
        <v>298</v>
      </c>
      <c r="P28" t="s">
        <v>4</v>
      </c>
      <c r="Q28" t="s">
        <v>3</v>
      </c>
      <c r="R28" t="s">
        <v>73</v>
      </c>
      <c r="S28" t="s">
        <v>20</v>
      </c>
      <c r="T28" s="118">
        <v>56</v>
      </c>
      <c r="U28" t="s">
        <v>302</v>
      </c>
      <c r="V28" t="s">
        <v>303</v>
      </c>
      <c r="W28" t="s">
        <v>373</v>
      </c>
      <c r="AA28">
        <f>102.34/3</f>
        <v>34.113333333333337</v>
      </c>
      <c r="AE28">
        <f t="shared" si="4"/>
        <v>5.117</v>
      </c>
      <c r="AF28">
        <f t="shared" si="2"/>
        <v>39.230333333333334</v>
      </c>
      <c r="AH28">
        <v>1</v>
      </c>
      <c r="AI28">
        <v>0</v>
      </c>
      <c r="AK28" s="1">
        <v>35607</v>
      </c>
      <c r="AM28" t="s">
        <v>64</v>
      </c>
      <c r="AQ28" s="120">
        <f t="shared" ca="1" si="5"/>
        <v>9906.066174537038</v>
      </c>
      <c r="AR28" s="120">
        <f t="shared" si="3"/>
        <v>-693</v>
      </c>
      <c r="AS28">
        <v>0</v>
      </c>
    </row>
    <row r="29" spans="1:45" x14ac:dyDescent="0.25">
      <c r="A29" s="1">
        <v>45283</v>
      </c>
      <c r="B29" s="1">
        <v>45299</v>
      </c>
      <c r="C29" s="1">
        <v>45394</v>
      </c>
      <c r="D29" s="2">
        <f t="shared" ca="1" si="6"/>
        <v>16</v>
      </c>
      <c r="E29" s="2">
        <f t="shared" ca="1" si="7"/>
        <v>214.06617453703802</v>
      </c>
      <c r="F29" s="99" t="s">
        <v>128</v>
      </c>
      <c r="G29" s="83" t="str">
        <f>IF(ISBLANK(F29), "", VLOOKUP(VLOOKUP(F29, NHLTeams!$B$2:$F$33, 4,FALSE), Conferences!$A$2:$B$3, 2,FALSE))</f>
        <v>Western</v>
      </c>
      <c r="H29" s="93" t="str">
        <f>IF(ISBLANK(F29), "", VLOOKUP(VLOOKUP(F29, NHLTeams!$B$2:$F$33, 5, FALSE), Divisions!$A$2:$B$5, 2, FALSE))</f>
        <v>Central</v>
      </c>
      <c r="I29" t="s">
        <v>53</v>
      </c>
      <c r="J29" t="s">
        <v>327</v>
      </c>
      <c r="K29" t="s">
        <v>326</v>
      </c>
      <c r="L29">
        <v>88</v>
      </c>
      <c r="M29">
        <v>0</v>
      </c>
      <c r="N29">
        <v>0</v>
      </c>
      <c r="O29" t="s">
        <v>75</v>
      </c>
      <c r="P29" t="s">
        <v>4</v>
      </c>
      <c r="Q29" t="s">
        <v>3</v>
      </c>
      <c r="R29" t="s">
        <v>73</v>
      </c>
      <c r="S29" t="s">
        <v>20</v>
      </c>
      <c r="T29" s="118" t="s">
        <v>288</v>
      </c>
      <c r="U29" t="s">
        <v>311</v>
      </c>
      <c r="V29" t="s">
        <v>332</v>
      </c>
      <c r="AE29">
        <f t="shared" si="4"/>
        <v>0</v>
      </c>
      <c r="AF29">
        <f t="shared" si="2"/>
        <v>0</v>
      </c>
      <c r="AI29">
        <v>0</v>
      </c>
      <c r="AK29" s="1">
        <v>32466</v>
      </c>
      <c r="AM29" t="s">
        <v>61</v>
      </c>
      <c r="AQ29" s="120">
        <f t="shared" ca="1" si="5"/>
        <v>13047.066174537038</v>
      </c>
      <c r="AR29" s="120">
        <f t="shared" si="3"/>
        <v>2448</v>
      </c>
      <c r="AS29">
        <v>0</v>
      </c>
    </row>
    <row r="30" spans="1:45" x14ac:dyDescent="0.25">
      <c r="A30" s="1">
        <v>45291</v>
      </c>
      <c r="B30" s="1">
        <v>45306</v>
      </c>
      <c r="C30" s="1">
        <v>45365</v>
      </c>
      <c r="D30" s="2">
        <f t="shared" ca="1" si="6"/>
        <v>15</v>
      </c>
      <c r="E30" s="2">
        <f t="shared" ca="1" si="7"/>
        <v>207.06617453703802</v>
      </c>
      <c r="F30" s="106" t="s">
        <v>222</v>
      </c>
      <c r="G30" s="83" t="str">
        <f>IF(ISBLANK(F30), "", VLOOKUP(VLOOKUP(F30, NHLTeams!$B$2:$F$33, 4,FALSE), Conferences!$A$2:$B$3, 2,FALSE))</f>
        <v>Western</v>
      </c>
      <c r="H30" s="84" t="str">
        <f>IF(ISBLANK(F30), "", VLOOKUP(VLOOKUP(F30, NHLTeams!$B$2:$F$33, 5, FALSE), Divisions!$A$2:$B$5, 2, FALSE))</f>
        <v>Pacific</v>
      </c>
      <c r="I30" t="s">
        <v>53</v>
      </c>
      <c r="J30" t="s">
        <v>7</v>
      </c>
      <c r="K30" s="80" t="s">
        <v>354</v>
      </c>
      <c r="L30">
        <v>81</v>
      </c>
      <c r="M30">
        <v>0</v>
      </c>
      <c r="N30">
        <v>0</v>
      </c>
      <c r="O30" t="s">
        <v>293</v>
      </c>
      <c r="P30" t="s">
        <v>4</v>
      </c>
      <c r="Q30" t="s">
        <v>361</v>
      </c>
      <c r="R30" t="s">
        <v>73</v>
      </c>
      <c r="S30" t="s">
        <v>286</v>
      </c>
      <c r="T30" s="118">
        <v>56</v>
      </c>
      <c r="U30" t="s">
        <v>302</v>
      </c>
      <c r="V30" t="s">
        <v>303</v>
      </c>
      <c r="W30" t="s">
        <v>372</v>
      </c>
      <c r="X30" s="109" t="s">
        <v>382</v>
      </c>
      <c r="Z30">
        <v>279.99</v>
      </c>
      <c r="AB30">
        <v>0</v>
      </c>
      <c r="AE30">
        <f t="shared" si="4"/>
        <v>41.9985</v>
      </c>
      <c r="AF30">
        <f t="shared" si="2"/>
        <v>321.98849999999999</v>
      </c>
      <c r="AH30">
        <v>0</v>
      </c>
      <c r="AI30">
        <v>0</v>
      </c>
      <c r="AK30" s="1">
        <v>33234</v>
      </c>
      <c r="AM30" t="s">
        <v>63</v>
      </c>
      <c r="AQ30" s="120">
        <f t="shared" ca="1" si="5"/>
        <v>12279.066174537038</v>
      </c>
      <c r="AR30" s="120">
        <f t="shared" si="3"/>
        <v>1680</v>
      </c>
      <c r="AS30">
        <v>0</v>
      </c>
    </row>
    <row r="31" spans="1:45" x14ac:dyDescent="0.25">
      <c r="A31" s="1">
        <v>45291</v>
      </c>
      <c r="B31" s="1">
        <v>45306</v>
      </c>
      <c r="C31" s="1">
        <v>45354</v>
      </c>
      <c r="D31" s="2">
        <f t="shared" ca="1" si="6"/>
        <v>15</v>
      </c>
      <c r="E31" s="2">
        <f t="shared" ca="1" si="7"/>
        <v>207.06617453703802</v>
      </c>
      <c r="F31" s="107" t="s">
        <v>156</v>
      </c>
      <c r="G31" s="83" t="str">
        <f>IF(ISBLANK(F31), "", VLOOKUP(VLOOKUP(F31, NHLTeams!$B$2:$F$33, 4,FALSE), Conferences!$A$2:$B$3, 2,FALSE))</f>
        <v>Western</v>
      </c>
      <c r="H31" s="93" t="str">
        <f>IF(ISBLANK(F31), "", VLOOKUP(VLOOKUP(F31, NHLTeams!$B$2:$F$33, 5, FALSE), Divisions!$A$2:$B$5, 2, FALSE))</f>
        <v>Central</v>
      </c>
      <c r="I31" t="s">
        <v>259</v>
      </c>
      <c r="J31" t="s">
        <v>355</v>
      </c>
      <c r="K31" s="80" t="s">
        <v>356</v>
      </c>
      <c r="L31">
        <v>29</v>
      </c>
      <c r="M31">
        <v>0</v>
      </c>
      <c r="N31">
        <v>0</v>
      </c>
      <c r="O31" t="s">
        <v>293</v>
      </c>
      <c r="P31" t="s">
        <v>4</v>
      </c>
      <c r="Q31" t="s">
        <v>270</v>
      </c>
      <c r="R31" t="s">
        <v>20</v>
      </c>
      <c r="S31" t="s">
        <v>3</v>
      </c>
      <c r="T31" s="118">
        <v>56</v>
      </c>
      <c r="U31" t="s">
        <v>302</v>
      </c>
      <c r="V31" t="s">
        <v>303</v>
      </c>
      <c r="W31" t="s">
        <v>372</v>
      </c>
      <c r="X31" s="109" t="s">
        <v>380</v>
      </c>
      <c r="Z31">
        <v>279.99</v>
      </c>
      <c r="AB31">
        <v>0</v>
      </c>
      <c r="AE31">
        <f t="shared" si="4"/>
        <v>41.9985</v>
      </c>
      <c r="AF31">
        <f t="shared" si="2"/>
        <v>321.98849999999999</v>
      </c>
      <c r="AH31">
        <v>0</v>
      </c>
      <c r="AI31">
        <v>0</v>
      </c>
      <c r="AK31" s="1">
        <v>31014</v>
      </c>
      <c r="AM31" t="s">
        <v>294</v>
      </c>
      <c r="AQ31" s="120">
        <f t="shared" ca="1" si="5"/>
        <v>14499.066174537038</v>
      </c>
      <c r="AR31" s="120">
        <f t="shared" si="3"/>
        <v>3900</v>
      </c>
      <c r="AS31">
        <v>0</v>
      </c>
    </row>
    <row r="32" spans="1:45" x14ac:dyDescent="0.25">
      <c r="A32" s="1">
        <v>45291</v>
      </c>
      <c r="B32" s="1">
        <v>45306</v>
      </c>
      <c r="C32" s="1">
        <v>45391</v>
      </c>
      <c r="D32" s="2">
        <f t="shared" ca="1" si="6"/>
        <v>15</v>
      </c>
      <c r="E32" s="2">
        <f t="shared" ca="1" si="7"/>
        <v>207.06617453703802</v>
      </c>
      <c r="F32" s="108" t="s">
        <v>200</v>
      </c>
      <c r="G32" s="83" t="str">
        <f>IF(ISBLANK(F32), "", VLOOKUP(VLOOKUP(F32, NHLTeams!$B$2:$F$33, 4,FALSE), Conferences!$A$2:$B$3, 2,FALSE))</f>
        <v>Western</v>
      </c>
      <c r="H32" s="84" t="str">
        <f>IF(ISBLANK(F32), "", VLOOKUP(VLOOKUP(F32, NHLTeams!$B$2:$F$33, 5, FALSE), Divisions!$A$2:$B$5, 2, FALSE))</f>
        <v>Pacific</v>
      </c>
      <c r="I32" t="s">
        <v>53</v>
      </c>
      <c r="J32" t="s">
        <v>357</v>
      </c>
      <c r="K32" s="80" t="s">
        <v>358</v>
      </c>
      <c r="L32">
        <v>39</v>
      </c>
      <c r="M32">
        <v>1</v>
      </c>
      <c r="N32">
        <v>0</v>
      </c>
      <c r="O32" t="s">
        <v>293</v>
      </c>
      <c r="P32" t="s">
        <v>4</v>
      </c>
      <c r="Q32" t="s">
        <v>331</v>
      </c>
      <c r="R32" t="s">
        <v>73</v>
      </c>
      <c r="S32" t="s">
        <v>20</v>
      </c>
      <c r="T32" s="118">
        <v>56</v>
      </c>
      <c r="U32" t="s">
        <v>302</v>
      </c>
      <c r="V32" t="s">
        <v>303</v>
      </c>
      <c r="W32" t="s">
        <v>372</v>
      </c>
      <c r="X32" s="109" t="s">
        <v>378</v>
      </c>
      <c r="Z32">
        <v>279.99</v>
      </c>
      <c r="AB32">
        <v>0</v>
      </c>
      <c r="AE32">
        <f t="shared" si="4"/>
        <v>41.9985</v>
      </c>
      <c r="AF32">
        <f t="shared" si="2"/>
        <v>321.98849999999999</v>
      </c>
      <c r="AH32">
        <v>0</v>
      </c>
      <c r="AI32">
        <v>0</v>
      </c>
      <c r="AK32" s="1">
        <v>32595</v>
      </c>
      <c r="AM32" t="s">
        <v>323</v>
      </c>
      <c r="AQ32" s="120">
        <f t="shared" ca="1" si="5"/>
        <v>12918.066174537038</v>
      </c>
      <c r="AR32" s="120">
        <f t="shared" si="3"/>
        <v>2319</v>
      </c>
      <c r="AS32">
        <v>0</v>
      </c>
    </row>
    <row r="33" spans="1:45" x14ac:dyDescent="0.25">
      <c r="A33" s="1">
        <v>45328</v>
      </c>
      <c r="B33" s="1">
        <v>45334</v>
      </c>
      <c r="C33" s="1">
        <v>45339</v>
      </c>
      <c r="D33" s="2">
        <f t="shared" ca="1" si="6"/>
        <v>6</v>
      </c>
      <c r="E33" s="2">
        <f t="shared" ca="1" si="7"/>
        <v>179.06617453703802</v>
      </c>
      <c r="F33" s="19" t="s">
        <v>5</v>
      </c>
      <c r="G33" s="83" t="str">
        <f>IF(ISBLANK(F33), "", VLOOKUP(VLOOKUP(F33, NHLTeams!$B$2:$F$33, 4,FALSE), Conferences!$A$2:$B$3, 2,FALSE))</f>
        <v>Western</v>
      </c>
      <c r="H33" s="84" t="str">
        <f>IF(ISBLANK(F33), "", VLOOKUP(VLOOKUP(F33, NHLTeams!$B$2:$F$33, 5, FALSE), Divisions!$A$2:$B$5, 2, FALSE))</f>
        <v>Pacific</v>
      </c>
      <c r="I33" t="s">
        <v>53</v>
      </c>
      <c r="J33" t="s">
        <v>7</v>
      </c>
      <c r="K33" t="s">
        <v>8</v>
      </c>
      <c r="L33">
        <v>10</v>
      </c>
      <c r="M33">
        <v>0</v>
      </c>
      <c r="N33">
        <v>0</v>
      </c>
      <c r="O33" t="s">
        <v>293</v>
      </c>
      <c r="T33" s="118">
        <v>56</v>
      </c>
      <c r="U33" t="s">
        <v>302</v>
      </c>
      <c r="V33" t="s">
        <v>303</v>
      </c>
      <c r="W33" t="s">
        <v>372</v>
      </c>
      <c r="Z33">
        <v>259.99</v>
      </c>
      <c r="AA33">
        <v>0</v>
      </c>
      <c r="AB33">
        <v>11.99</v>
      </c>
      <c r="AC33">
        <v>168.8</v>
      </c>
      <c r="AE33">
        <f t="shared" si="4"/>
        <v>15.477</v>
      </c>
      <c r="AF33">
        <f t="shared" si="2"/>
        <v>118.65700000000001</v>
      </c>
      <c r="AG33">
        <v>118.66</v>
      </c>
      <c r="AH33">
        <v>0</v>
      </c>
      <c r="AI33">
        <v>0</v>
      </c>
      <c r="AK33" s="1">
        <v>34124</v>
      </c>
      <c r="AM33" t="s">
        <v>63</v>
      </c>
      <c r="AQ33" s="120">
        <f t="shared" ca="1" si="5"/>
        <v>11389.066174537038</v>
      </c>
      <c r="AR33" s="120">
        <f t="shared" si="3"/>
        <v>790</v>
      </c>
      <c r="AS33">
        <v>0</v>
      </c>
    </row>
    <row r="34" spans="1:45" x14ac:dyDescent="0.25">
      <c r="A34" s="1">
        <v>45329</v>
      </c>
      <c r="B34" s="1">
        <v>45334</v>
      </c>
      <c r="C34" s="1">
        <v>45386</v>
      </c>
      <c r="D34" s="2">
        <f t="shared" ca="1" si="6"/>
        <v>5</v>
      </c>
      <c r="E34" s="2">
        <f t="shared" ca="1" si="7"/>
        <v>179.06617453703802</v>
      </c>
      <c r="F34" s="16" t="s">
        <v>65</v>
      </c>
      <c r="G34" s="83" t="str">
        <f>IF(ISBLANK(F34), "", VLOOKUP(VLOOKUP(F34, NHLTeams!$B$2:$F$33, 4,FALSE), Conferences!$A$2:$B$3, 2,FALSE))</f>
        <v>Western</v>
      </c>
      <c r="H34" s="93" t="str">
        <f>IF(ISBLANK(F34), "", VLOOKUP(VLOOKUP(F34, NHLTeams!$B$2:$F$33, 5, FALSE), Divisions!$A$2:$B$5, 2, FALSE))</f>
        <v>Central</v>
      </c>
      <c r="I34" t="s">
        <v>53</v>
      </c>
      <c r="J34" t="s">
        <v>383</v>
      </c>
      <c r="K34" s="80" t="s">
        <v>384</v>
      </c>
      <c r="L34">
        <v>55</v>
      </c>
      <c r="M34">
        <v>0</v>
      </c>
      <c r="N34">
        <v>0</v>
      </c>
      <c r="O34" t="s">
        <v>293</v>
      </c>
      <c r="P34" t="s">
        <v>285</v>
      </c>
      <c r="Q34" t="s">
        <v>20</v>
      </c>
      <c r="R34" t="s">
        <v>287</v>
      </c>
      <c r="S34" t="s">
        <v>385</v>
      </c>
      <c r="T34" s="118">
        <v>56</v>
      </c>
      <c r="U34" t="s">
        <v>302</v>
      </c>
      <c r="V34" t="s">
        <v>310</v>
      </c>
      <c r="W34" t="s">
        <v>386</v>
      </c>
      <c r="X34" s="109" t="s">
        <v>388</v>
      </c>
      <c r="Z34">
        <v>149.97</v>
      </c>
      <c r="AA34">
        <v>0</v>
      </c>
      <c r="AB34">
        <v>0</v>
      </c>
      <c r="AC34">
        <v>25</v>
      </c>
      <c r="AE34">
        <f t="shared" si="4"/>
        <v>18.7455</v>
      </c>
      <c r="AF34">
        <f t="shared" si="2"/>
        <v>143.71549999999999</v>
      </c>
      <c r="AG34">
        <v>143.72</v>
      </c>
      <c r="AH34">
        <v>0</v>
      </c>
      <c r="AK34" s="1">
        <v>34043</v>
      </c>
      <c r="AM34" t="s">
        <v>387</v>
      </c>
      <c r="AQ34" s="120">
        <f t="shared" ca="1" si="5"/>
        <v>11470.066174537038</v>
      </c>
      <c r="AR34" s="120">
        <f t="shared" ref="AR34:AR65" si="9">IF(ISBLANK($AK34), 0, DATE(YEAR("1995-08-3"),MONTH("1995-08-3"), DAY("1995-08-3")) - DATE(YEAR($AK34),MONTH($AK34), DAY($AK34)))</f>
        <v>871</v>
      </c>
      <c r="AS34">
        <v>0</v>
      </c>
    </row>
    <row r="35" spans="1:45" x14ac:dyDescent="0.25">
      <c r="A35" s="1">
        <v>45351</v>
      </c>
      <c r="B35" s="1">
        <v>45369</v>
      </c>
      <c r="C35" s="1">
        <v>45374</v>
      </c>
      <c r="D35" s="2">
        <f t="shared" ca="1" si="6"/>
        <v>18</v>
      </c>
      <c r="E35" s="2">
        <f t="shared" ca="1" si="7"/>
        <v>144.06617453703802</v>
      </c>
      <c r="F35" s="111" t="s">
        <v>136</v>
      </c>
      <c r="G35" s="83" t="str">
        <f>IF(ISBLANK(F35), "", VLOOKUP(VLOOKUP(F35, NHLTeams!$B$2:$F$33, 4,FALSE), Conferences!$A$2:$B$3, 2,FALSE))</f>
        <v>Western</v>
      </c>
      <c r="H35" s="93" t="str">
        <f>IF(ISBLANK(F35), "", VLOOKUP(VLOOKUP(F35, NHLTeams!$B$2:$F$33, 5, FALSE), Divisions!$A$2:$B$5, 2, FALSE))</f>
        <v>Central</v>
      </c>
      <c r="I35" t="s">
        <v>53</v>
      </c>
      <c r="J35" t="s">
        <v>390</v>
      </c>
      <c r="K35" s="80" t="s">
        <v>391</v>
      </c>
      <c r="L35">
        <v>14</v>
      </c>
      <c r="M35">
        <v>1</v>
      </c>
      <c r="N35">
        <v>0</v>
      </c>
      <c r="O35" t="s">
        <v>293</v>
      </c>
      <c r="P35" t="s">
        <v>262</v>
      </c>
      <c r="Q35" t="s">
        <v>73</v>
      </c>
      <c r="R35" t="s">
        <v>270</v>
      </c>
      <c r="T35" s="118">
        <v>56</v>
      </c>
      <c r="U35" t="s">
        <v>302</v>
      </c>
      <c r="V35" t="s">
        <v>303</v>
      </c>
      <c r="W35" t="s">
        <v>373</v>
      </c>
      <c r="Y35">
        <v>230</v>
      </c>
      <c r="Z35">
        <f>230*(676.14/485)/1.15</f>
        <v>278.82061855670105</v>
      </c>
      <c r="AA35">
        <v>25.3</v>
      </c>
      <c r="AB35">
        <v>12.1226</v>
      </c>
      <c r="AC35">
        <v>80.5</v>
      </c>
      <c r="AE35">
        <f t="shared" si="4"/>
        <v>35.361482783505153</v>
      </c>
      <c r="AF35">
        <f t="shared" si="2"/>
        <v>271.10470134020619</v>
      </c>
      <c r="AH35">
        <v>1</v>
      </c>
      <c r="AJ35">
        <v>1.3941030000000001</v>
      </c>
      <c r="AK35" s="1">
        <v>32707</v>
      </c>
      <c r="AM35" t="s">
        <v>323</v>
      </c>
      <c r="AQ35" s="120">
        <f t="shared" ca="1" si="5"/>
        <v>12806.066174537038</v>
      </c>
      <c r="AR35" s="120">
        <f t="shared" si="9"/>
        <v>2207</v>
      </c>
      <c r="AS35">
        <v>0</v>
      </c>
    </row>
    <row r="36" spans="1:45" x14ac:dyDescent="0.25">
      <c r="A36" s="1">
        <v>45351</v>
      </c>
      <c r="B36" s="1">
        <v>45369</v>
      </c>
      <c r="C36" s="1">
        <v>45370</v>
      </c>
      <c r="D36" s="2">
        <f t="shared" ca="1" si="6"/>
        <v>18</v>
      </c>
      <c r="E36" s="2">
        <f t="shared" ca="1" si="7"/>
        <v>144.06617453703802</v>
      </c>
      <c r="F36" s="110" t="s">
        <v>209</v>
      </c>
      <c r="G36" s="81" t="str">
        <f>IF(ISBLANK(F36), "", VLOOKUP(VLOOKUP(F36, NHLTeams!$B$2:$F$33, 4,FALSE), Conferences!$A$2:$B$3, 2,FALSE))</f>
        <v>Eastern</v>
      </c>
      <c r="H36" s="82" t="str">
        <f>IF(ISBLANK(F36), "", VLOOKUP(VLOOKUP(F36, NHLTeams!$B$2:$F$33, 5, FALSE), Divisions!$A$2:$B$5, 2, FALSE))</f>
        <v>Atlantic</v>
      </c>
      <c r="I36" t="s">
        <v>53</v>
      </c>
      <c r="J36" t="s">
        <v>392</v>
      </c>
      <c r="K36" s="80" t="s">
        <v>393</v>
      </c>
      <c r="L36">
        <v>26</v>
      </c>
      <c r="M36">
        <v>0</v>
      </c>
      <c r="N36">
        <v>0</v>
      </c>
      <c r="O36" t="s">
        <v>293</v>
      </c>
      <c r="P36" t="s">
        <v>4</v>
      </c>
      <c r="Q36" t="s">
        <v>73</v>
      </c>
      <c r="R36" t="s">
        <v>10</v>
      </c>
      <c r="S36" t="s">
        <v>20</v>
      </c>
      <c r="T36" s="118" t="s">
        <v>288</v>
      </c>
      <c r="U36" t="s">
        <v>394</v>
      </c>
      <c r="W36" t="s">
        <v>373</v>
      </c>
      <c r="Y36">
        <v>200</v>
      </c>
      <c r="Z36">
        <f>200*(676.14/485)/1.15</f>
        <v>242.45271178843572</v>
      </c>
      <c r="AA36">
        <v>25.3</v>
      </c>
      <c r="AB36">
        <v>12.1226</v>
      </c>
      <c r="AC36">
        <v>85.25</v>
      </c>
      <c r="AE36">
        <f t="shared" si="4"/>
        <v>29.193796768265351</v>
      </c>
      <c r="AF36">
        <f t="shared" si="2"/>
        <v>223.81910855670102</v>
      </c>
      <c r="AH36">
        <v>1</v>
      </c>
      <c r="AJ36">
        <v>1.3941030000000001</v>
      </c>
      <c r="AK36" s="1">
        <v>27563</v>
      </c>
      <c r="AM36" t="s">
        <v>395</v>
      </c>
      <c r="AQ36" s="120">
        <f t="shared" ca="1" si="5"/>
        <v>17950.066174537038</v>
      </c>
      <c r="AR36" s="120">
        <f t="shared" si="9"/>
        <v>7351</v>
      </c>
      <c r="AS36">
        <v>0</v>
      </c>
    </row>
    <row r="37" spans="1:45" x14ac:dyDescent="0.25">
      <c r="A37" s="1">
        <v>45351</v>
      </c>
      <c r="B37" s="1">
        <v>45369</v>
      </c>
      <c r="C37" s="1">
        <v>45379</v>
      </c>
      <c r="D37" s="2">
        <f t="shared" ca="1" si="6"/>
        <v>18</v>
      </c>
      <c r="E37" s="2">
        <f t="shared" ca="1" si="7"/>
        <v>144.06617453703802</v>
      </c>
      <c r="F37" s="12" t="s">
        <v>0</v>
      </c>
      <c r="G37" s="81" t="str">
        <f>IF(ISBLANK(F37), "", VLOOKUP(VLOOKUP(F37, NHLTeams!$B$2:$F$33, 4,FALSE), Conferences!$A$2:$B$3, 2,FALSE))</f>
        <v>Eastern</v>
      </c>
      <c r="H37" s="82" t="str">
        <f>IF(ISBLANK(F37), "", VLOOKUP(VLOOKUP(F37, NHLTeams!$B$2:$F$33, 5, FALSE), Divisions!$A$2:$B$5, 2, FALSE))</f>
        <v>Atlantic</v>
      </c>
      <c r="I37" t="s">
        <v>53</v>
      </c>
      <c r="J37" t="s">
        <v>396</v>
      </c>
      <c r="K37" s="80" t="s">
        <v>397</v>
      </c>
      <c r="L37">
        <v>16</v>
      </c>
      <c r="M37">
        <v>1</v>
      </c>
      <c r="N37">
        <v>0</v>
      </c>
      <c r="O37" t="s">
        <v>298</v>
      </c>
      <c r="P37" t="s">
        <v>4</v>
      </c>
      <c r="Q37" t="s">
        <v>3</v>
      </c>
      <c r="R37" t="s">
        <v>20</v>
      </c>
      <c r="S37" t="s">
        <v>286</v>
      </c>
      <c r="T37" s="118">
        <v>56</v>
      </c>
      <c r="U37" t="s">
        <v>302</v>
      </c>
      <c r="V37" t="s">
        <v>303</v>
      </c>
      <c r="W37" t="s">
        <v>373</v>
      </c>
      <c r="Y37">
        <v>230</v>
      </c>
      <c r="Z37">
        <f>230*(676.14/485)/1.15</f>
        <v>278.82061855670105</v>
      </c>
      <c r="AA37">
        <v>25.3</v>
      </c>
      <c r="AB37">
        <v>12.1226</v>
      </c>
      <c r="AC37">
        <v>80.5</v>
      </c>
      <c r="AE37">
        <f t="shared" si="4"/>
        <v>35.361482783505153</v>
      </c>
      <c r="AF37">
        <f t="shared" si="2"/>
        <v>271.10470134020619</v>
      </c>
      <c r="AH37">
        <v>1</v>
      </c>
      <c r="AJ37">
        <v>1.3941030000000001</v>
      </c>
      <c r="AK37" s="1">
        <v>34944</v>
      </c>
      <c r="AM37" t="s">
        <v>60</v>
      </c>
      <c r="AQ37" s="120">
        <f t="shared" ca="1" si="5"/>
        <v>10569.066174537038</v>
      </c>
      <c r="AR37" s="120">
        <f t="shared" si="9"/>
        <v>-30</v>
      </c>
      <c r="AS37">
        <v>0</v>
      </c>
    </row>
    <row r="38" spans="1:45" x14ac:dyDescent="0.25">
      <c r="A38" s="1">
        <v>45369</v>
      </c>
      <c r="B38" s="1">
        <v>45386</v>
      </c>
      <c r="C38" s="1">
        <v>45389</v>
      </c>
      <c r="D38" s="2">
        <f t="shared" ca="1" si="6"/>
        <v>17</v>
      </c>
      <c r="E38" s="2">
        <f t="shared" ca="1" si="7"/>
        <v>127.06617453703802</v>
      </c>
      <c r="F38" s="112" t="s">
        <v>117</v>
      </c>
      <c r="G38" s="81" t="str">
        <f>IF(ISBLANK(F38), "", VLOOKUP(VLOOKUP(F38, NHLTeams!$B$2:$F$33, 4,FALSE), Conferences!$A$2:$B$3, 2,FALSE))</f>
        <v>Eastern</v>
      </c>
      <c r="H38" s="85" t="str">
        <f>IF(ISBLANK(F38), "", VLOOKUP(VLOOKUP(F38, NHLTeams!$B$2:$F$33, 5, FALSE), Divisions!$A$2:$B$5, 2, FALSE))</f>
        <v>Metropolitan</v>
      </c>
      <c r="I38" t="s">
        <v>53</v>
      </c>
      <c r="J38" t="s">
        <v>404</v>
      </c>
      <c r="K38" s="80" t="s">
        <v>405</v>
      </c>
      <c r="L38">
        <v>8</v>
      </c>
      <c r="M38">
        <v>0</v>
      </c>
      <c r="N38">
        <v>0</v>
      </c>
      <c r="O38" t="s">
        <v>75</v>
      </c>
      <c r="P38" t="s">
        <v>285</v>
      </c>
      <c r="T38" s="118" t="s">
        <v>288</v>
      </c>
      <c r="U38" t="s">
        <v>311</v>
      </c>
      <c r="AE38">
        <f t="shared" si="4"/>
        <v>0</v>
      </c>
      <c r="AF38">
        <f t="shared" si="2"/>
        <v>0</v>
      </c>
      <c r="AH38">
        <v>1</v>
      </c>
      <c r="AK38" s="1">
        <v>35630</v>
      </c>
      <c r="AM38" t="s">
        <v>64</v>
      </c>
      <c r="AQ38" s="120">
        <f t="shared" ca="1" si="5"/>
        <v>9883.066174537038</v>
      </c>
      <c r="AR38" s="120">
        <f t="shared" si="9"/>
        <v>-716</v>
      </c>
      <c r="AS38">
        <v>0</v>
      </c>
    </row>
    <row r="39" spans="1:45" x14ac:dyDescent="0.25">
      <c r="A39" s="1">
        <v>45369</v>
      </c>
      <c r="B39" s="1">
        <v>45386</v>
      </c>
      <c r="C39" s="1">
        <v>45387</v>
      </c>
      <c r="D39" s="2">
        <f t="shared" ca="1" si="6"/>
        <v>17</v>
      </c>
      <c r="E39" s="2">
        <f t="shared" ca="1" si="7"/>
        <v>127.06617453703802</v>
      </c>
      <c r="F39" s="113" t="s">
        <v>186</v>
      </c>
      <c r="G39" s="81" t="str">
        <f>IF(ISBLANK(F39), "", VLOOKUP(VLOOKUP(F39, NHLTeams!$B$2:$F$33, 4,FALSE), Conferences!$A$2:$B$3, 2,FALSE))</f>
        <v>Eastern</v>
      </c>
      <c r="H39" s="85" t="str">
        <f>IF(ISBLANK(F39), "", VLOOKUP(VLOOKUP(F39, NHLTeams!$B$2:$F$33, 5, FALSE), Divisions!$A$2:$B$5, 2, FALSE))</f>
        <v>Metropolitan</v>
      </c>
      <c r="I39" t="s">
        <v>53</v>
      </c>
      <c r="J39" t="s">
        <v>406</v>
      </c>
      <c r="K39" s="80" t="s">
        <v>407</v>
      </c>
      <c r="L39">
        <v>28</v>
      </c>
      <c r="M39">
        <v>0</v>
      </c>
      <c r="N39">
        <v>0</v>
      </c>
      <c r="O39" t="s">
        <v>293</v>
      </c>
      <c r="P39" t="s">
        <v>4</v>
      </c>
      <c r="Q39" t="s">
        <v>21</v>
      </c>
      <c r="R39" t="s">
        <v>73</v>
      </c>
      <c r="S39" t="s">
        <v>20</v>
      </c>
      <c r="T39" s="118" t="s">
        <v>288</v>
      </c>
      <c r="U39" t="s">
        <v>311</v>
      </c>
      <c r="AE39">
        <f t="shared" si="4"/>
        <v>0</v>
      </c>
      <c r="AF39">
        <f t="shared" si="2"/>
        <v>0</v>
      </c>
      <c r="AH39">
        <v>1</v>
      </c>
      <c r="AK39" s="1">
        <v>32154</v>
      </c>
      <c r="AM39" t="s">
        <v>61</v>
      </c>
      <c r="AQ39" s="120">
        <f t="shared" ca="1" si="5"/>
        <v>13359.066174537038</v>
      </c>
      <c r="AR39" s="120">
        <f t="shared" si="9"/>
        <v>2760</v>
      </c>
      <c r="AS39">
        <v>0</v>
      </c>
    </row>
    <row r="40" spans="1:45" x14ac:dyDescent="0.25">
      <c r="A40" s="1">
        <v>45369</v>
      </c>
      <c r="B40" s="1">
        <v>45386</v>
      </c>
      <c r="C40" s="1">
        <v>45395</v>
      </c>
      <c r="D40" s="2">
        <f t="shared" ca="1" si="6"/>
        <v>17</v>
      </c>
      <c r="E40" s="2">
        <f t="shared" ca="1" si="7"/>
        <v>127.06617453703802</v>
      </c>
      <c r="F40" s="114" t="s">
        <v>165</v>
      </c>
      <c r="G40" s="81" t="str">
        <f>IF(ISBLANK(F40), "", VLOOKUP(VLOOKUP(F40, NHLTeams!$B$2:$F$33, 4,FALSE), Conferences!$A$2:$B$3, 2,FALSE))</f>
        <v>Eastern</v>
      </c>
      <c r="H40" s="85" t="str">
        <f>IF(ISBLANK(F40), "", VLOOKUP(VLOOKUP(F40, NHLTeams!$B$2:$F$33, 5, FALSE), Divisions!$A$2:$B$5, 2, FALSE))</f>
        <v>Metropolitan</v>
      </c>
      <c r="I40" t="s">
        <v>53</v>
      </c>
      <c r="J40" t="s">
        <v>404</v>
      </c>
      <c r="K40" s="80" t="s">
        <v>408</v>
      </c>
      <c r="L40">
        <v>9</v>
      </c>
      <c r="M40">
        <v>0</v>
      </c>
      <c r="N40">
        <v>0</v>
      </c>
      <c r="O40" t="s">
        <v>75</v>
      </c>
      <c r="P40" t="s">
        <v>4</v>
      </c>
      <c r="Q40" t="s">
        <v>3</v>
      </c>
      <c r="R40" t="s">
        <v>73</v>
      </c>
      <c r="S40" t="s">
        <v>20</v>
      </c>
      <c r="T40" s="118" t="s">
        <v>288</v>
      </c>
      <c r="U40" t="s">
        <v>311</v>
      </c>
      <c r="AE40">
        <f t="shared" si="4"/>
        <v>0</v>
      </c>
      <c r="AF40">
        <f t="shared" si="2"/>
        <v>0</v>
      </c>
      <c r="AH40">
        <v>1</v>
      </c>
      <c r="AK40" s="1">
        <v>30891</v>
      </c>
      <c r="AM40" t="s">
        <v>58</v>
      </c>
      <c r="AQ40" s="120">
        <f t="shared" ca="1" si="5"/>
        <v>14622.066174537038</v>
      </c>
      <c r="AR40" s="120">
        <f t="shared" si="9"/>
        <v>4023</v>
      </c>
      <c r="AS40">
        <v>0</v>
      </c>
    </row>
    <row r="41" spans="1:45" x14ac:dyDescent="0.25">
      <c r="A41" s="1">
        <v>45369</v>
      </c>
      <c r="B41" s="1">
        <v>45426</v>
      </c>
      <c r="C41" s="1">
        <v>45426</v>
      </c>
      <c r="D41" s="2">
        <f t="shared" ca="1" si="6"/>
        <v>57</v>
      </c>
      <c r="E41" s="2">
        <f t="shared" ca="1" si="7"/>
        <v>87.066174537038023</v>
      </c>
      <c r="F41" s="115" t="s">
        <v>205</v>
      </c>
      <c r="G41" s="83" t="str">
        <f>IF(ISBLANK(F41), "", VLOOKUP(VLOOKUP(F41, NHLTeams!$B$2:$F$33, 4,FALSE), Conferences!$A$2:$B$3, 2,FALSE))</f>
        <v>Western</v>
      </c>
      <c r="H41" s="93" t="str">
        <f>IF(ISBLANK(F41), "", VLOOKUP(VLOOKUP(F41, NHLTeams!$B$2:$F$33, 5, FALSE), Divisions!$A$2:$B$5, 2, FALSE))</f>
        <v>Central</v>
      </c>
      <c r="I41" t="s">
        <v>53</v>
      </c>
      <c r="J41" t="s">
        <v>398</v>
      </c>
      <c r="K41" t="s">
        <v>399</v>
      </c>
      <c r="L41">
        <v>91</v>
      </c>
      <c r="M41">
        <v>0</v>
      </c>
      <c r="N41">
        <v>0</v>
      </c>
      <c r="O41" t="s">
        <v>297</v>
      </c>
      <c r="P41" t="s">
        <v>4</v>
      </c>
      <c r="Q41" t="s">
        <v>10</v>
      </c>
      <c r="R41" t="s">
        <v>286</v>
      </c>
      <c r="S41" t="s">
        <v>20</v>
      </c>
      <c r="T41" s="118" t="s">
        <v>288</v>
      </c>
      <c r="U41" t="s">
        <v>311</v>
      </c>
      <c r="AE41">
        <f t="shared" si="4"/>
        <v>0</v>
      </c>
      <c r="AF41">
        <f t="shared" si="2"/>
        <v>0</v>
      </c>
      <c r="AH41">
        <v>1</v>
      </c>
      <c r="AK41" s="1">
        <v>33585</v>
      </c>
      <c r="AM41" t="s">
        <v>63</v>
      </c>
      <c r="AQ41" s="120">
        <f t="shared" ca="1" si="5"/>
        <v>11928.066174537038</v>
      </c>
      <c r="AR41" s="120">
        <f t="shared" si="9"/>
        <v>1329</v>
      </c>
      <c r="AS41">
        <v>0</v>
      </c>
    </row>
    <row r="42" spans="1:45" x14ac:dyDescent="0.25">
      <c r="A42" s="1">
        <v>45369</v>
      </c>
      <c r="B42" s="1">
        <v>45386</v>
      </c>
      <c r="C42" s="1">
        <v>45396</v>
      </c>
      <c r="D42" s="2">
        <f t="shared" ca="1" si="6"/>
        <v>17</v>
      </c>
      <c r="E42" s="2">
        <f t="shared" ca="1" si="7"/>
        <v>127.06617453703802</v>
      </c>
      <c r="F42" s="116" t="s">
        <v>96</v>
      </c>
      <c r="G42" s="83" t="str">
        <f>IF(ISBLANK(F42), "", VLOOKUP(VLOOKUP(F42, NHLTeams!$B$2:$F$33, 4,FALSE), Conferences!$A$2:$B$3, 2,FALSE))</f>
        <v>Western</v>
      </c>
      <c r="H42" s="93" t="str">
        <f>IF(ISBLANK(F42), "", VLOOKUP(VLOOKUP(F42, NHLTeams!$B$2:$F$33, 5, FALSE), Divisions!$A$2:$B$5, 2, FALSE))</f>
        <v>Central</v>
      </c>
      <c r="I42" t="s">
        <v>53</v>
      </c>
      <c r="J42" t="s">
        <v>400</v>
      </c>
      <c r="K42" t="s">
        <v>401</v>
      </c>
      <c r="L42">
        <v>16</v>
      </c>
      <c r="M42">
        <v>0</v>
      </c>
      <c r="N42">
        <v>0</v>
      </c>
      <c r="O42" t="s">
        <v>293</v>
      </c>
      <c r="P42" t="s">
        <v>4</v>
      </c>
      <c r="Q42" t="s">
        <v>32</v>
      </c>
      <c r="R42" t="s">
        <v>20</v>
      </c>
      <c r="T42" s="118" t="s">
        <v>288</v>
      </c>
      <c r="U42" t="s">
        <v>311</v>
      </c>
      <c r="AE42">
        <f t="shared" si="4"/>
        <v>0</v>
      </c>
      <c r="AF42">
        <f t="shared" si="2"/>
        <v>0</v>
      </c>
      <c r="AH42">
        <v>0</v>
      </c>
      <c r="AK42" s="1">
        <v>34760</v>
      </c>
      <c r="AM42" t="s">
        <v>59</v>
      </c>
      <c r="AQ42" s="120">
        <f t="shared" ca="1" si="5"/>
        <v>10753.066174537038</v>
      </c>
      <c r="AR42" s="120">
        <f t="shared" si="9"/>
        <v>154</v>
      </c>
      <c r="AS42">
        <v>0</v>
      </c>
    </row>
    <row r="43" spans="1:45" x14ac:dyDescent="0.25">
      <c r="A43" s="1">
        <v>45369</v>
      </c>
      <c r="B43" s="1">
        <v>45386</v>
      </c>
      <c r="D43" s="2">
        <f t="shared" ca="1" si="6"/>
        <v>17</v>
      </c>
      <c r="E43" s="2">
        <f t="shared" ca="1" si="7"/>
        <v>127.06617453703802</v>
      </c>
      <c r="F43" s="15" t="s">
        <v>26</v>
      </c>
      <c r="G43" s="83" t="str">
        <f>IF(ISBLANK(F43), "", VLOOKUP(VLOOKUP(F43, NHLTeams!$B$2:$F$33, 4,FALSE), Conferences!$A$2:$B$3, 2,FALSE))</f>
        <v>Western</v>
      </c>
      <c r="H43" s="93" t="str">
        <f>IF(ISBLANK(F43), "", VLOOKUP(VLOOKUP(F43, NHLTeams!$B$2:$F$33, 5, FALSE), Divisions!$A$2:$B$5, 2, FALSE))</f>
        <v>Central</v>
      </c>
      <c r="I43" t="s">
        <v>53</v>
      </c>
      <c r="J43" t="s">
        <v>402</v>
      </c>
      <c r="K43" t="s">
        <v>403</v>
      </c>
      <c r="L43">
        <v>9</v>
      </c>
      <c r="M43">
        <v>0</v>
      </c>
      <c r="N43">
        <v>0</v>
      </c>
      <c r="O43" t="s">
        <v>293</v>
      </c>
      <c r="P43" t="s">
        <v>285</v>
      </c>
      <c r="Q43" t="s">
        <v>20</v>
      </c>
      <c r="R43" t="s">
        <v>32</v>
      </c>
      <c r="S43" t="s">
        <v>10</v>
      </c>
      <c r="T43" s="118" t="s">
        <v>288</v>
      </c>
      <c r="U43" t="s">
        <v>311</v>
      </c>
      <c r="AE43">
        <f t="shared" si="4"/>
        <v>0</v>
      </c>
      <c r="AF43">
        <f t="shared" si="2"/>
        <v>0</v>
      </c>
      <c r="AH43">
        <v>0</v>
      </c>
      <c r="AK43" s="1">
        <v>33254</v>
      </c>
      <c r="AM43" t="s">
        <v>323</v>
      </c>
      <c r="AQ43" s="120">
        <f t="shared" ca="1" si="5"/>
        <v>12259.066174537038</v>
      </c>
      <c r="AR43" s="120">
        <f t="shared" si="9"/>
        <v>1660</v>
      </c>
      <c r="AS43">
        <v>0</v>
      </c>
    </row>
    <row r="44" spans="1:45" x14ac:dyDescent="0.25">
      <c r="A44" s="1">
        <v>45386</v>
      </c>
      <c r="B44" s="1">
        <v>45391</v>
      </c>
      <c r="C44" s="1">
        <v>45393</v>
      </c>
      <c r="D44" s="2">
        <f t="shared" ca="1" si="6"/>
        <v>5</v>
      </c>
      <c r="E44" s="2">
        <f t="shared" ca="1" si="7"/>
        <v>122.06617453703802</v>
      </c>
      <c r="F44" s="117" t="s">
        <v>181</v>
      </c>
      <c r="G44" s="81" t="str">
        <f>IF(ISBLANK(F44), "", VLOOKUP(VLOOKUP(F44, NHLTeams!$B$2:$F$33, 4,FALSE), Conferences!$A$2:$B$3, 2,FALSE))</f>
        <v>Eastern</v>
      </c>
      <c r="H44" s="82" t="str">
        <f>IF(ISBLANK(F44), "", VLOOKUP(VLOOKUP(F44, NHLTeams!$B$2:$F$33, 5, FALSE), Divisions!$A$2:$B$5, 2, FALSE))</f>
        <v>Atlantic</v>
      </c>
      <c r="I44" t="s">
        <v>53</v>
      </c>
      <c r="J44" t="s">
        <v>411</v>
      </c>
      <c r="K44" t="s">
        <v>2</v>
      </c>
      <c r="L44">
        <v>7</v>
      </c>
      <c r="M44">
        <v>1</v>
      </c>
      <c r="N44">
        <v>0</v>
      </c>
      <c r="O44" t="s">
        <v>75</v>
      </c>
      <c r="P44" t="s">
        <v>4</v>
      </c>
      <c r="Q44" t="s">
        <v>73</v>
      </c>
      <c r="R44" t="s">
        <v>3</v>
      </c>
      <c r="S44" t="s">
        <v>20</v>
      </c>
      <c r="T44" s="118">
        <v>56</v>
      </c>
      <c r="U44" t="s">
        <v>302</v>
      </c>
      <c r="V44" t="s">
        <v>303</v>
      </c>
      <c r="W44" t="s">
        <v>372</v>
      </c>
      <c r="AE44">
        <f t="shared" si="4"/>
        <v>0</v>
      </c>
      <c r="AF44">
        <f t="shared" si="2"/>
        <v>0</v>
      </c>
      <c r="AH44">
        <v>0</v>
      </c>
      <c r="AK44" s="1">
        <v>36419</v>
      </c>
      <c r="AM44" t="s">
        <v>412</v>
      </c>
      <c r="AQ44" s="120">
        <f t="shared" ca="1" si="5"/>
        <v>9094.066174537038</v>
      </c>
      <c r="AR44" s="120">
        <f t="shared" si="9"/>
        <v>-1505</v>
      </c>
      <c r="AS44">
        <v>0</v>
      </c>
    </row>
    <row r="45" spans="1:45" x14ac:dyDescent="0.25">
      <c r="A45" s="1">
        <v>45395</v>
      </c>
      <c r="B45" s="1">
        <v>45401</v>
      </c>
      <c r="C45" s="1">
        <v>45464</v>
      </c>
      <c r="D45" s="2">
        <f t="shared" ca="1" si="6"/>
        <v>6</v>
      </c>
      <c r="E45" s="2">
        <f t="shared" ca="1" si="7"/>
        <v>112.06617453703802</v>
      </c>
      <c r="F45" s="95" t="s">
        <v>151</v>
      </c>
      <c r="G45" s="83" t="str">
        <f>IF(ISBLANK(F45), "", VLOOKUP(VLOOKUP(F45, NHLTeams!$B$2:$F$33, 4,FALSE), Conferences!$A$2:$B$3, 2,FALSE))</f>
        <v>Western</v>
      </c>
      <c r="H45" s="84" t="str">
        <f>IF(ISBLANK(F45), "", VLOOKUP(VLOOKUP(F45, NHLTeams!$B$2:$F$33, 5, FALSE), Divisions!$A$2:$B$5, 2, FALSE))</f>
        <v>Pacific</v>
      </c>
      <c r="I45" t="s">
        <v>53</v>
      </c>
      <c r="J45" t="s">
        <v>421</v>
      </c>
      <c r="K45" t="s">
        <v>422</v>
      </c>
      <c r="L45">
        <v>99</v>
      </c>
      <c r="M45">
        <v>1</v>
      </c>
      <c r="N45">
        <v>0</v>
      </c>
      <c r="O45" t="s">
        <v>293</v>
      </c>
      <c r="Q45" t="s">
        <v>73</v>
      </c>
      <c r="R45" t="s">
        <v>444</v>
      </c>
      <c r="S45" t="s">
        <v>20</v>
      </c>
      <c r="T45" s="118" t="s">
        <v>288</v>
      </c>
      <c r="U45" t="s">
        <v>394</v>
      </c>
      <c r="W45" t="s">
        <v>372</v>
      </c>
      <c r="AE45">
        <f t="shared" si="4"/>
        <v>0</v>
      </c>
      <c r="AF45">
        <f t="shared" si="2"/>
        <v>0</v>
      </c>
      <c r="AH45">
        <v>0</v>
      </c>
      <c r="AK45" s="1">
        <v>22307</v>
      </c>
      <c r="AL45">
        <v>1999</v>
      </c>
      <c r="AM45" t="s">
        <v>446</v>
      </c>
      <c r="AN45" t="s">
        <v>395</v>
      </c>
      <c r="AQ45" s="120">
        <f t="shared" ca="1" si="5"/>
        <v>23206.066174537038</v>
      </c>
      <c r="AR45" s="120">
        <f t="shared" si="9"/>
        <v>12607</v>
      </c>
      <c r="AS45">
        <v>0</v>
      </c>
    </row>
    <row r="46" spans="1:45" x14ac:dyDescent="0.25">
      <c r="A46" s="1">
        <v>45399</v>
      </c>
      <c r="B46" s="1">
        <v>45407</v>
      </c>
      <c r="D46" s="2">
        <f t="shared" ca="1" si="6"/>
        <v>8</v>
      </c>
      <c r="E46" s="2">
        <f t="shared" ca="1" si="7"/>
        <v>106.06617453703802</v>
      </c>
      <c r="F46" s="104" t="s">
        <v>192</v>
      </c>
      <c r="G46" s="83" t="str">
        <f>IF(ISBLANK(F46), "", VLOOKUP(VLOOKUP(F46, NHLTeams!$B$2:$F$33, 4,FALSE), Conferences!$A$2:$B$3, 2,FALSE))</f>
        <v>Western</v>
      </c>
      <c r="H46" s="84" t="str">
        <f>IF(ISBLANK(F46), "", VLOOKUP(VLOOKUP(F46, NHLTeams!$B$2:$F$33, 5, FALSE), Divisions!$A$2:$B$5, 2, FALSE))</f>
        <v>Pacific</v>
      </c>
      <c r="I46" t="s">
        <v>273</v>
      </c>
      <c r="J46" t="s">
        <v>383</v>
      </c>
      <c r="K46" t="s">
        <v>423</v>
      </c>
      <c r="L46">
        <v>55</v>
      </c>
      <c r="M46">
        <v>1</v>
      </c>
      <c r="N46">
        <v>0</v>
      </c>
      <c r="O46" t="s">
        <v>293</v>
      </c>
      <c r="P46" t="s">
        <v>4</v>
      </c>
      <c r="Q46" t="s">
        <v>287</v>
      </c>
      <c r="R46" t="s">
        <v>331</v>
      </c>
      <c r="S46" t="s">
        <v>3</v>
      </c>
      <c r="T46" s="118">
        <v>56</v>
      </c>
      <c r="U46" t="s">
        <v>302</v>
      </c>
      <c r="V46" t="s">
        <v>303</v>
      </c>
      <c r="W46" t="s">
        <v>445</v>
      </c>
      <c r="Z46">
        <v>249.99</v>
      </c>
      <c r="AB46">
        <f>9.62/3</f>
        <v>3.2066666666666666</v>
      </c>
      <c r="AC46">
        <v>150</v>
      </c>
      <c r="AE46">
        <f t="shared" si="4"/>
        <v>15.479500000000002</v>
      </c>
      <c r="AF46">
        <f t="shared" si="2"/>
        <v>118.67616666666669</v>
      </c>
      <c r="AH46">
        <v>0</v>
      </c>
      <c r="AK46" s="1">
        <v>30592</v>
      </c>
      <c r="AM46" t="s">
        <v>58</v>
      </c>
      <c r="AQ46" s="120">
        <f t="shared" ca="1" si="5"/>
        <v>14921.066174537038</v>
      </c>
      <c r="AR46" s="120">
        <f t="shared" si="9"/>
        <v>4322</v>
      </c>
      <c r="AS46">
        <v>0</v>
      </c>
    </row>
    <row r="47" spans="1:45" x14ac:dyDescent="0.25">
      <c r="A47" s="1">
        <v>45399</v>
      </c>
      <c r="D47" s="2">
        <f t="shared" ca="1" si="6"/>
        <v>114.06617453703802</v>
      </c>
      <c r="E47" s="2">
        <f t="shared" ca="1" si="7"/>
        <v>0</v>
      </c>
      <c r="F47" s="16" t="s">
        <v>65</v>
      </c>
      <c r="G47" s="83" t="str">
        <f>IF(ISBLANK(F47), "", VLOOKUP(VLOOKUP(F47, NHLTeams!$B$2:$F$33, 4,FALSE), Conferences!$A$2:$B$3, 2,FALSE))</f>
        <v>Western</v>
      </c>
      <c r="H47" s="93" t="str">
        <f>IF(ISBLANK(F47), "", VLOOKUP(VLOOKUP(F47, NHLTeams!$B$2:$F$33, 5, FALSE), Divisions!$A$2:$B$5, 2, FALSE))</f>
        <v>Central</v>
      </c>
      <c r="Z47">
        <v>249.99</v>
      </c>
      <c r="AB47">
        <f>9.62/3</f>
        <v>3.2066666666666666</v>
      </c>
      <c r="AC47">
        <v>100</v>
      </c>
      <c r="AE47">
        <f t="shared" si="4"/>
        <v>22.979500000000002</v>
      </c>
      <c r="AF47">
        <f t="shared" si="2"/>
        <v>176.17616666666669</v>
      </c>
      <c r="AK47" s="1">
        <v>35408</v>
      </c>
      <c r="AQ47" s="120">
        <f t="shared" ca="1" si="5"/>
        <v>10105.066174537038</v>
      </c>
      <c r="AR47" s="120">
        <f t="shared" si="9"/>
        <v>-494</v>
      </c>
      <c r="AS47">
        <v>1</v>
      </c>
    </row>
    <row r="48" spans="1:45" x14ac:dyDescent="0.25">
      <c r="A48" s="1">
        <v>45399</v>
      </c>
      <c r="B48" s="1">
        <v>45407</v>
      </c>
      <c r="D48" s="2">
        <f t="shared" ca="1" si="6"/>
        <v>8</v>
      </c>
      <c r="E48" s="2">
        <f t="shared" ca="1" si="7"/>
        <v>106.06617453703802</v>
      </c>
      <c r="F48" s="117" t="s">
        <v>181</v>
      </c>
      <c r="G48" s="81" t="str">
        <f>IF(ISBLANK(F48), "", VLOOKUP(VLOOKUP(F48, NHLTeams!$B$2:$F$33, 4,FALSE), Conferences!$A$2:$B$3, 2,FALSE))</f>
        <v>Eastern</v>
      </c>
      <c r="H48" s="82" t="str">
        <f>IF(ISBLANK(F48), "", VLOOKUP(VLOOKUP(F48, NHLTeams!$B$2:$F$33, 5, FALSE), Divisions!$A$2:$B$5, 2, FALSE))</f>
        <v>Atlantic</v>
      </c>
      <c r="I48" t="s">
        <v>53</v>
      </c>
      <c r="J48" t="s">
        <v>424</v>
      </c>
      <c r="K48" t="s">
        <v>425</v>
      </c>
      <c r="L48">
        <v>19</v>
      </c>
      <c r="M48">
        <v>0</v>
      </c>
      <c r="N48">
        <v>0</v>
      </c>
      <c r="O48" t="s">
        <v>293</v>
      </c>
      <c r="P48" t="s">
        <v>285</v>
      </c>
      <c r="Q48" t="s">
        <v>20</v>
      </c>
      <c r="R48" t="s">
        <v>3</v>
      </c>
      <c r="S48" t="s">
        <v>73</v>
      </c>
      <c r="T48" s="118">
        <v>56</v>
      </c>
      <c r="U48" t="s">
        <v>302</v>
      </c>
      <c r="V48" t="s">
        <v>303</v>
      </c>
      <c r="W48" t="s">
        <v>445</v>
      </c>
      <c r="Z48">
        <v>249.99</v>
      </c>
      <c r="AB48">
        <f>9.62/3</f>
        <v>3.2066666666666666</v>
      </c>
      <c r="AC48">
        <v>100</v>
      </c>
      <c r="AE48">
        <f t="shared" si="4"/>
        <v>22.979500000000002</v>
      </c>
      <c r="AF48">
        <f t="shared" si="2"/>
        <v>176.17616666666669</v>
      </c>
      <c r="AH48">
        <v>0</v>
      </c>
      <c r="AK48" s="1">
        <v>35912</v>
      </c>
      <c r="AM48" t="s">
        <v>412</v>
      </c>
      <c r="AQ48" s="120">
        <f t="shared" ca="1" si="5"/>
        <v>9601.066174537038</v>
      </c>
      <c r="AR48" s="120">
        <f t="shared" si="9"/>
        <v>-998</v>
      </c>
      <c r="AS48">
        <v>0</v>
      </c>
    </row>
    <row r="49" spans="1:45" x14ac:dyDescent="0.25">
      <c r="A49" s="1">
        <v>45445</v>
      </c>
      <c r="B49" s="1">
        <v>45454</v>
      </c>
      <c r="D49" s="2">
        <f t="shared" ca="1" si="6"/>
        <v>9</v>
      </c>
      <c r="E49" s="2">
        <f t="shared" ca="1" si="7"/>
        <v>59.066174537038023</v>
      </c>
      <c r="F49" s="14" t="s">
        <v>25</v>
      </c>
      <c r="G49" s="81" t="str">
        <f>IF(ISBLANK(F49), "", VLOOKUP(VLOOKUP(F49, NHLTeams!$B$2:$F$33, 4,FALSE), Conferences!$A$2:$B$3, 2,FALSE))</f>
        <v>Eastern</v>
      </c>
      <c r="H49" s="82" t="str">
        <f>IF(ISBLANK(F49), "", VLOOKUP(VLOOKUP(F49, NHLTeams!$B$2:$F$33, 5, FALSE), Divisions!$A$2:$B$5, 2, FALSE))</f>
        <v>Atlantic</v>
      </c>
      <c r="I49" t="s">
        <v>53</v>
      </c>
      <c r="J49" t="s">
        <v>426</v>
      </c>
      <c r="K49" t="s">
        <v>427</v>
      </c>
      <c r="L49">
        <v>14</v>
      </c>
      <c r="M49">
        <v>1</v>
      </c>
      <c r="N49">
        <v>0</v>
      </c>
      <c r="O49" t="s">
        <v>293</v>
      </c>
      <c r="P49" t="s">
        <v>484</v>
      </c>
      <c r="Q49" t="s">
        <v>385</v>
      </c>
      <c r="R49" t="s">
        <v>430</v>
      </c>
      <c r="S49" t="s">
        <v>20</v>
      </c>
      <c r="T49" s="118">
        <v>56</v>
      </c>
      <c r="U49" t="s">
        <v>302</v>
      </c>
      <c r="V49" t="s">
        <v>303</v>
      </c>
      <c r="AE49">
        <f t="shared" si="4"/>
        <v>0</v>
      </c>
      <c r="AF49">
        <f t="shared" si="2"/>
        <v>0</v>
      </c>
      <c r="AH49">
        <v>0</v>
      </c>
      <c r="AK49" s="1">
        <v>36382</v>
      </c>
      <c r="AM49" t="s">
        <v>432</v>
      </c>
      <c r="AQ49" s="120">
        <f t="shared" ca="1" si="5"/>
        <v>9131.066174537038</v>
      </c>
      <c r="AR49" s="120">
        <f t="shared" si="9"/>
        <v>-1468</v>
      </c>
      <c r="AS49">
        <v>0</v>
      </c>
    </row>
    <row r="50" spans="1:45" x14ac:dyDescent="0.25">
      <c r="A50" s="1">
        <v>45449</v>
      </c>
      <c r="B50" s="1">
        <v>45464</v>
      </c>
      <c r="D50" s="2">
        <f t="shared" ca="1" si="6"/>
        <v>15</v>
      </c>
      <c r="E50" s="2">
        <f t="shared" ca="1" si="7"/>
        <v>49.066174537038023</v>
      </c>
      <c r="F50" s="17" t="s">
        <v>66</v>
      </c>
      <c r="G50" s="81" t="str">
        <f>IF(ISBLANK(F50), "", VLOOKUP(VLOOKUP(F50, NHLTeams!$B$2:$F$33, 4,FALSE), Conferences!$A$2:$B$3, 2,FALSE))</f>
        <v>Eastern</v>
      </c>
      <c r="H50" s="85" t="str">
        <f>IF(ISBLANK(F50), "", VLOOKUP(VLOOKUP(F50, NHLTeams!$B$2:$F$33, 5, FALSE), Divisions!$A$2:$B$5, 2, FALSE))</f>
        <v>Metropolitan</v>
      </c>
      <c r="I50" t="s">
        <v>273</v>
      </c>
      <c r="J50" t="s">
        <v>428</v>
      </c>
      <c r="K50" t="s">
        <v>429</v>
      </c>
      <c r="L50">
        <v>58</v>
      </c>
      <c r="M50">
        <v>0</v>
      </c>
      <c r="N50">
        <v>0</v>
      </c>
      <c r="O50" t="s">
        <v>293</v>
      </c>
      <c r="P50" t="s">
        <v>330</v>
      </c>
      <c r="Q50" t="s">
        <v>73</v>
      </c>
      <c r="R50" t="s">
        <v>286</v>
      </c>
      <c r="S50" t="s">
        <v>20</v>
      </c>
      <c r="T50" s="118">
        <v>56</v>
      </c>
      <c r="U50" t="s">
        <v>302</v>
      </c>
      <c r="V50" t="s">
        <v>303</v>
      </c>
      <c r="W50" t="s">
        <v>431</v>
      </c>
      <c r="AE50">
        <f t="shared" si="4"/>
        <v>0</v>
      </c>
      <c r="AF50">
        <f t="shared" si="2"/>
        <v>0</v>
      </c>
      <c r="AH50">
        <v>1</v>
      </c>
      <c r="AK50" s="1">
        <v>31891</v>
      </c>
      <c r="AM50" t="s">
        <v>291</v>
      </c>
      <c r="AQ50" s="120">
        <f t="shared" ca="1" si="5"/>
        <v>13622.066174537038</v>
      </c>
      <c r="AR50" s="120">
        <f t="shared" si="9"/>
        <v>3023</v>
      </c>
      <c r="AS50">
        <v>0</v>
      </c>
    </row>
    <row r="51" spans="1:45" x14ac:dyDescent="0.25">
      <c r="A51" s="1">
        <v>45450</v>
      </c>
      <c r="B51" s="1">
        <v>45456</v>
      </c>
      <c r="D51" s="2">
        <f t="shared" ca="1" si="6"/>
        <v>6</v>
      </c>
      <c r="E51" s="2">
        <f t="shared" ca="1" si="7"/>
        <v>57.066174537038023</v>
      </c>
      <c r="F51" s="96" t="s">
        <v>177</v>
      </c>
      <c r="G51" s="81" t="str">
        <f>IF(ISBLANK(F51), "", VLOOKUP(VLOOKUP(F51, NHLTeams!$B$2:$F$33, 4,FALSE), Conferences!$A$2:$B$3, 2,FALSE))</f>
        <v>Eastern</v>
      </c>
      <c r="H51" s="85" t="str">
        <f>IF(ISBLANK(F51), "", VLOOKUP(VLOOKUP(F51, NHLTeams!$B$2:$F$33, 5, FALSE), Divisions!$A$2:$B$5, 2, FALSE))</f>
        <v>Metropolitan</v>
      </c>
      <c r="I51" t="s">
        <v>53</v>
      </c>
      <c r="J51" t="s">
        <v>433</v>
      </c>
      <c r="K51" t="s">
        <v>434</v>
      </c>
      <c r="L51">
        <v>10</v>
      </c>
      <c r="M51">
        <v>0</v>
      </c>
      <c r="N51">
        <v>0</v>
      </c>
      <c r="O51" t="s">
        <v>297</v>
      </c>
      <c r="P51" t="s">
        <v>330</v>
      </c>
      <c r="Q51" t="s">
        <v>430</v>
      </c>
      <c r="R51" t="s">
        <v>3</v>
      </c>
      <c r="S51" t="s">
        <v>385</v>
      </c>
      <c r="T51" s="118">
        <v>56</v>
      </c>
      <c r="U51" t="s">
        <v>302</v>
      </c>
      <c r="V51" t="s">
        <v>303</v>
      </c>
      <c r="W51" t="s">
        <v>372</v>
      </c>
      <c r="AA51">
        <f t="shared" ref="AA51:AA57" si="10">214.1/7</f>
        <v>30.585714285714285</v>
      </c>
      <c r="AB51">
        <f t="shared" ref="AB51:AB57" si="11">15.99/7</f>
        <v>2.2842857142857143</v>
      </c>
      <c r="AD51" t="s">
        <v>459</v>
      </c>
      <c r="AE51">
        <f t="shared" si="4"/>
        <v>4.9304999999999994</v>
      </c>
      <c r="AF51">
        <f t="shared" si="2"/>
        <v>37.8005</v>
      </c>
      <c r="AH51">
        <v>0</v>
      </c>
      <c r="AK51" s="1">
        <v>33541</v>
      </c>
      <c r="AM51" t="s">
        <v>59</v>
      </c>
      <c r="AQ51" s="120">
        <f t="shared" ca="1" si="5"/>
        <v>11972.066174537038</v>
      </c>
      <c r="AR51" s="120">
        <f t="shared" si="9"/>
        <v>1373</v>
      </c>
      <c r="AS51">
        <v>0</v>
      </c>
    </row>
    <row r="52" spans="1:45" x14ac:dyDescent="0.25">
      <c r="A52" s="1">
        <v>45450</v>
      </c>
      <c r="B52" s="1">
        <v>45456</v>
      </c>
      <c r="D52" s="2">
        <f t="shared" ca="1" si="6"/>
        <v>6</v>
      </c>
      <c r="E52" s="2">
        <f t="shared" ca="1" si="7"/>
        <v>57.066174537038023</v>
      </c>
      <c r="F52" s="103" t="s">
        <v>171</v>
      </c>
      <c r="G52" s="81" t="str">
        <f>IF(ISBLANK(F52), "", VLOOKUP(VLOOKUP(F52, NHLTeams!$B$2:$F$33, 4,FALSE), Conferences!$A$2:$B$3, 2,FALSE))</f>
        <v>Eastern</v>
      </c>
      <c r="H52" s="85" t="str">
        <f>IF(ISBLANK(F52), "", VLOOKUP(VLOOKUP(F52, NHLTeams!$B$2:$F$33, 5, FALSE), Divisions!$A$2:$B$5, 2, FALSE))</f>
        <v>Metropolitan</v>
      </c>
      <c r="I52" t="s">
        <v>53</v>
      </c>
      <c r="J52" t="s">
        <v>1</v>
      </c>
      <c r="K52" t="s">
        <v>435</v>
      </c>
      <c r="L52">
        <v>13</v>
      </c>
      <c r="M52">
        <v>0</v>
      </c>
      <c r="N52">
        <v>0</v>
      </c>
      <c r="O52" t="s">
        <v>293</v>
      </c>
      <c r="P52" t="s">
        <v>4</v>
      </c>
      <c r="Q52" t="s">
        <v>430</v>
      </c>
      <c r="R52" t="s">
        <v>21</v>
      </c>
      <c r="S52" t="s">
        <v>20</v>
      </c>
      <c r="T52" s="118">
        <v>56</v>
      </c>
      <c r="U52" t="s">
        <v>302</v>
      </c>
      <c r="V52" t="s">
        <v>303</v>
      </c>
      <c r="W52" t="s">
        <v>372</v>
      </c>
      <c r="AA52">
        <f t="shared" si="10"/>
        <v>30.585714285714285</v>
      </c>
      <c r="AB52">
        <f t="shared" si="11"/>
        <v>2.2842857142857143</v>
      </c>
      <c r="AC52">
        <v>93</v>
      </c>
      <c r="AD52" t="s">
        <v>459</v>
      </c>
      <c r="AE52">
        <f t="shared" si="4"/>
        <v>-9.0195000000000007</v>
      </c>
      <c r="AF52">
        <f t="shared" si="2"/>
        <v>-69.149500000000003</v>
      </c>
      <c r="AH52">
        <v>0</v>
      </c>
      <c r="AK52" s="1">
        <v>35576</v>
      </c>
      <c r="AM52" t="s">
        <v>64</v>
      </c>
      <c r="AQ52" s="120">
        <f t="shared" ca="1" si="5"/>
        <v>9937.066174537038</v>
      </c>
      <c r="AR52" s="120">
        <f t="shared" si="9"/>
        <v>-662</v>
      </c>
      <c r="AS52">
        <v>0</v>
      </c>
    </row>
    <row r="53" spans="1:45" x14ac:dyDescent="0.25">
      <c r="A53" s="1">
        <v>45450</v>
      </c>
      <c r="B53" s="1">
        <v>45456</v>
      </c>
      <c r="D53" s="2">
        <f t="shared" ca="1" si="6"/>
        <v>6</v>
      </c>
      <c r="E53" s="2">
        <f t="shared" ca="1" si="7"/>
        <v>57.066174537038023</v>
      </c>
      <c r="F53" s="112" t="s">
        <v>117</v>
      </c>
      <c r="G53" s="81" t="str">
        <f>IF(ISBLANK(F53), "", VLOOKUP(VLOOKUP(F53, NHLTeams!$B$2:$F$33, 4,FALSE), Conferences!$A$2:$B$3, 2,FALSE))</f>
        <v>Eastern</v>
      </c>
      <c r="H53" s="85" t="str">
        <f>IF(ISBLANK(F53), "", VLOOKUP(VLOOKUP(F53, NHLTeams!$B$2:$F$33, 5, FALSE), Divisions!$A$2:$B$5, 2, FALSE))</f>
        <v>Metropolitan</v>
      </c>
      <c r="I53" t="s">
        <v>53</v>
      </c>
      <c r="J53" t="s">
        <v>443</v>
      </c>
      <c r="K53" t="s">
        <v>436</v>
      </c>
      <c r="L53">
        <v>13</v>
      </c>
      <c r="M53">
        <v>0</v>
      </c>
      <c r="N53">
        <v>0</v>
      </c>
      <c r="O53" t="s">
        <v>75</v>
      </c>
      <c r="P53" t="s">
        <v>4</v>
      </c>
      <c r="Q53" t="s">
        <v>10</v>
      </c>
      <c r="R53" t="s">
        <v>20</v>
      </c>
      <c r="S53" t="s">
        <v>3</v>
      </c>
      <c r="T53" s="118">
        <v>56</v>
      </c>
      <c r="U53" t="s">
        <v>302</v>
      </c>
      <c r="V53" t="s">
        <v>303</v>
      </c>
      <c r="W53" t="s">
        <v>372</v>
      </c>
      <c r="AA53">
        <f t="shared" si="10"/>
        <v>30.585714285714285</v>
      </c>
      <c r="AB53">
        <f t="shared" si="11"/>
        <v>2.2842857142857143</v>
      </c>
      <c r="AC53">
        <v>93</v>
      </c>
      <c r="AD53" t="s">
        <v>459</v>
      </c>
      <c r="AE53">
        <f t="shared" si="4"/>
        <v>-9.0195000000000007</v>
      </c>
      <c r="AF53">
        <f t="shared" si="2"/>
        <v>-69.149500000000003</v>
      </c>
      <c r="AH53">
        <v>0</v>
      </c>
      <c r="AK53" s="1">
        <v>34194</v>
      </c>
      <c r="AM53" t="s">
        <v>60</v>
      </c>
      <c r="AQ53" s="120">
        <f t="shared" ca="1" si="5"/>
        <v>11319.066174537038</v>
      </c>
      <c r="AR53" s="120">
        <f t="shared" si="9"/>
        <v>720</v>
      </c>
      <c r="AS53">
        <v>0</v>
      </c>
    </row>
    <row r="54" spans="1:45" x14ac:dyDescent="0.25">
      <c r="A54" s="1">
        <v>45450</v>
      </c>
      <c r="B54" s="1">
        <v>45461</v>
      </c>
      <c r="C54" s="1">
        <v>45474</v>
      </c>
      <c r="D54" s="2">
        <f t="shared" ca="1" si="6"/>
        <v>11</v>
      </c>
      <c r="E54" s="2">
        <f t="shared" ca="1" si="7"/>
        <v>52.066174537038023</v>
      </c>
      <c r="F54" s="110" t="s">
        <v>209</v>
      </c>
      <c r="G54" s="81" t="str">
        <f>IF(ISBLANK(F54), "", VLOOKUP(VLOOKUP(F54, NHLTeams!$B$2:$F$33, 4,FALSE), Conferences!$A$2:$B$3, 2,FALSE))</f>
        <v>Eastern</v>
      </c>
      <c r="H54" s="82" t="str">
        <f>IF(ISBLANK(F54), "", VLOOKUP(VLOOKUP(F54, NHLTeams!$B$2:$F$33, 5, FALSE), Divisions!$A$2:$B$5, 2, FALSE))</f>
        <v>Atlantic</v>
      </c>
      <c r="I54" t="s">
        <v>53</v>
      </c>
      <c r="J54" t="s">
        <v>437</v>
      </c>
      <c r="K54" t="s">
        <v>413</v>
      </c>
      <c r="L54">
        <v>91</v>
      </c>
      <c r="M54">
        <v>1</v>
      </c>
      <c r="N54">
        <v>0</v>
      </c>
      <c r="O54" t="s">
        <v>293</v>
      </c>
      <c r="P54" t="s">
        <v>4</v>
      </c>
      <c r="Q54" t="s">
        <v>10</v>
      </c>
      <c r="R54" t="s">
        <v>20</v>
      </c>
      <c r="T54" s="118">
        <v>56</v>
      </c>
      <c r="U54" t="s">
        <v>302</v>
      </c>
      <c r="V54" t="s">
        <v>303</v>
      </c>
      <c r="W54" t="s">
        <v>372</v>
      </c>
      <c r="AA54">
        <f t="shared" si="10"/>
        <v>30.585714285714285</v>
      </c>
      <c r="AB54">
        <f t="shared" si="11"/>
        <v>2.2842857142857143</v>
      </c>
      <c r="AC54">
        <v>93</v>
      </c>
      <c r="AD54" t="s">
        <v>459</v>
      </c>
      <c r="AE54">
        <f t="shared" si="4"/>
        <v>-9.0195000000000007</v>
      </c>
      <c r="AF54">
        <f t="shared" si="2"/>
        <v>-69.149500000000003</v>
      </c>
      <c r="AH54">
        <v>0</v>
      </c>
      <c r="AK54" s="1">
        <v>32911</v>
      </c>
      <c r="AM54" t="s">
        <v>260</v>
      </c>
      <c r="AQ54" s="120">
        <f t="shared" ca="1" si="5"/>
        <v>12602.066174537038</v>
      </c>
      <c r="AR54" s="120">
        <f t="shared" si="9"/>
        <v>2003</v>
      </c>
      <c r="AS54">
        <v>0</v>
      </c>
    </row>
    <row r="55" spans="1:45" x14ac:dyDescent="0.25">
      <c r="A55" s="1">
        <v>45450</v>
      </c>
      <c r="B55" s="1">
        <v>45456</v>
      </c>
      <c r="D55" s="2">
        <f t="shared" ca="1" si="6"/>
        <v>6</v>
      </c>
      <c r="E55" s="2">
        <f t="shared" ca="1" si="7"/>
        <v>57.066174537038023</v>
      </c>
      <c r="F55" s="16" t="s">
        <v>65</v>
      </c>
      <c r="G55" s="83" t="str">
        <f>IF(ISBLANK(F55), "", VLOOKUP(VLOOKUP(F55, NHLTeams!$B$2:$F$33, 4,FALSE), Conferences!$A$2:$B$3, 2,FALSE))</f>
        <v>Western</v>
      </c>
      <c r="H55" s="93" t="str">
        <f>IF(ISBLANK(F55), "", VLOOKUP(VLOOKUP(F55, NHLTeams!$B$2:$F$33, 5, FALSE), Divisions!$A$2:$B$5, 2, FALSE))</f>
        <v>Central</v>
      </c>
      <c r="I55" t="s">
        <v>53</v>
      </c>
      <c r="J55" t="s">
        <v>438</v>
      </c>
      <c r="K55" t="s">
        <v>9</v>
      </c>
      <c r="L55">
        <v>81</v>
      </c>
      <c r="M55">
        <v>0</v>
      </c>
      <c r="N55">
        <v>0</v>
      </c>
      <c r="O55" t="s">
        <v>75</v>
      </c>
      <c r="P55" t="s">
        <v>262</v>
      </c>
      <c r="Q55" t="s">
        <v>385</v>
      </c>
      <c r="R55" t="s">
        <v>3</v>
      </c>
      <c r="S55" t="s">
        <v>10</v>
      </c>
      <c r="T55" s="118">
        <v>56</v>
      </c>
      <c r="U55" t="s">
        <v>302</v>
      </c>
      <c r="V55" t="s">
        <v>303</v>
      </c>
      <c r="W55" t="s">
        <v>372</v>
      </c>
      <c r="AA55">
        <f t="shared" si="10"/>
        <v>30.585714285714285</v>
      </c>
      <c r="AB55">
        <f t="shared" si="11"/>
        <v>2.2842857142857143</v>
      </c>
      <c r="AD55" t="s">
        <v>459</v>
      </c>
      <c r="AE55">
        <f t="shared" si="4"/>
        <v>4.9304999999999994</v>
      </c>
      <c r="AF55">
        <f t="shared" si="2"/>
        <v>37.8005</v>
      </c>
      <c r="AH55">
        <v>0</v>
      </c>
      <c r="AK55" s="1">
        <v>35408</v>
      </c>
      <c r="AM55" t="s">
        <v>64</v>
      </c>
      <c r="AQ55" s="120">
        <f t="shared" ca="1" si="5"/>
        <v>10105.066174537038</v>
      </c>
      <c r="AR55" s="120">
        <f t="shared" si="9"/>
        <v>-494</v>
      </c>
      <c r="AS55">
        <v>0</v>
      </c>
    </row>
    <row r="56" spans="1:45" x14ac:dyDescent="0.25">
      <c r="A56" s="1">
        <v>45450</v>
      </c>
      <c r="B56" s="1">
        <v>45456</v>
      </c>
      <c r="D56" s="2">
        <f t="shared" ca="1" si="6"/>
        <v>6</v>
      </c>
      <c r="E56" s="2">
        <f t="shared" ca="1" si="7"/>
        <v>57.066174537038023</v>
      </c>
      <c r="F56" s="111" t="s">
        <v>136</v>
      </c>
      <c r="G56" s="83" t="str">
        <f>IF(ISBLANK(F56), "", VLOOKUP(VLOOKUP(F56, NHLTeams!$B$2:$F$33, 4,FALSE), Conferences!$A$2:$B$3, 2,FALSE))</f>
        <v>Western</v>
      </c>
      <c r="H56" s="93" t="str">
        <f>IF(ISBLANK(F56), "", VLOOKUP(VLOOKUP(F56, NHLTeams!$B$2:$F$33, 5, FALSE), Divisions!$A$2:$B$5, 2, FALSE))</f>
        <v>Central</v>
      </c>
      <c r="I56" t="s">
        <v>53</v>
      </c>
      <c r="J56" t="s">
        <v>439</v>
      </c>
      <c r="K56" t="s">
        <v>440</v>
      </c>
      <c r="L56">
        <v>91</v>
      </c>
      <c r="M56">
        <v>0</v>
      </c>
      <c r="N56">
        <v>0</v>
      </c>
      <c r="O56" t="s">
        <v>293</v>
      </c>
      <c r="P56" t="s">
        <v>4</v>
      </c>
      <c r="Q56" t="s">
        <v>270</v>
      </c>
      <c r="R56" t="s">
        <v>20</v>
      </c>
      <c r="S56" t="s">
        <v>444</v>
      </c>
      <c r="T56" s="118">
        <v>56</v>
      </c>
      <c r="U56" t="s">
        <v>302</v>
      </c>
      <c r="W56" t="s">
        <v>372</v>
      </c>
      <c r="AA56">
        <f t="shared" si="10"/>
        <v>30.585714285714285</v>
      </c>
      <c r="AB56">
        <f t="shared" si="11"/>
        <v>2.2842857142857143</v>
      </c>
      <c r="AD56" t="s">
        <v>459</v>
      </c>
      <c r="AE56">
        <f t="shared" si="4"/>
        <v>4.9304999999999994</v>
      </c>
      <c r="AF56">
        <f t="shared" si="2"/>
        <v>37.8005</v>
      </c>
      <c r="AH56">
        <v>0</v>
      </c>
      <c r="AK56" s="1">
        <v>33634</v>
      </c>
      <c r="AM56" t="s">
        <v>290</v>
      </c>
      <c r="AQ56" s="120">
        <f t="shared" ca="1" si="5"/>
        <v>11879.066174537038</v>
      </c>
      <c r="AR56" s="120">
        <f t="shared" si="9"/>
        <v>1280</v>
      </c>
      <c r="AS56">
        <v>0</v>
      </c>
    </row>
    <row r="57" spans="1:45" x14ac:dyDescent="0.25">
      <c r="A57" s="1">
        <v>45450</v>
      </c>
      <c r="B57" s="1">
        <v>45456</v>
      </c>
      <c r="D57" s="2">
        <f t="shared" ca="1" si="6"/>
        <v>6</v>
      </c>
      <c r="E57" s="2">
        <f t="shared" ca="1" si="7"/>
        <v>57.066174537038023</v>
      </c>
      <c r="F57" s="94" t="s">
        <v>216</v>
      </c>
      <c r="G57" s="83" t="str">
        <f>IF(ISBLANK(F57), "", VLOOKUP(VLOOKUP(F57, NHLTeams!$B$2:$F$33, 4,FALSE), Conferences!$A$2:$B$3, 2,FALSE))</f>
        <v>Western</v>
      </c>
      <c r="H57" s="84" t="str">
        <f>IF(ISBLANK(F57), "", VLOOKUP(VLOOKUP(F57, NHLTeams!$B$2:$F$33, 5, FALSE), Divisions!$A$2:$B$5, 2, FALSE))</f>
        <v>Pacific</v>
      </c>
      <c r="I57" t="s">
        <v>53</v>
      </c>
      <c r="J57" t="s">
        <v>441</v>
      </c>
      <c r="K57" t="s">
        <v>442</v>
      </c>
      <c r="L57">
        <v>40</v>
      </c>
      <c r="M57">
        <v>0</v>
      </c>
      <c r="N57">
        <v>0</v>
      </c>
      <c r="O57" t="s">
        <v>309</v>
      </c>
      <c r="P57" t="s">
        <v>285</v>
      </c>
      <c r="Q57" t="s">
        <v>20</v>
      </c>
      <c r="R57" t="s">
        <v>10</v>
      </c>
      <c r="S57" t="s">
        <v>270</v>
      </c>
      <c r="T57" s="118">
        <v>56</v>
      </c>
      <c r="U57" t="s">
        <v>302</v>
      </c>
      <c r="W57" t="s">
        <v>372</v>
      </c>
      <c r="AA57">
        <f t="shared" si="10"/>
        <v>30.585714285714285</v>
      </c>
      <c r="AB57">
        <f t="shared" si="11"/>
        <v>2.2842857142857143</v>
      </c>
      <c r="AD57" t="s">
        <v>459</v>
      </c>
      <c r="AE57">
        <f t="shared" si="4"/>
        <v>4.9304999999999994</v>
      </c>
      <c r="AF57">
        <f t="shared" si="2"/>
        <v>37.8005</v>
      </c>
      <c r="AH57">
        <v>0</v>
      </c>
      <c r="AK57" s="1">
        <v>36111</v>
      </c>
      <c r="AM57" t="s">
        <v>412</v>
      </c>
      <c r="AQ57" s="120">
        <f t="shared" ca="1" si="5"/>
        <v>9402.066174537038</v>
      </c>
      <c r="AR57" s="120">
        <f t="shared" si="9"/>
        <v>-1197</v>
      </c>
      <c r="AS57">
        <v>0</v>
      </c>
    </row>
    <row r="58" spans="1:45" x14ac:dyDescent="0.25">
      <c r="A58" s="1">
        <v>45452</v>
      </c>
      <c r="B58" s="1">
        <v>45457</v>
      </c>
      <c r="D58" s="2">
        <f t="shared" ca="1" si="6"/>
        <v>5</v>
      </c>
      <c r="E58" s="2">
        <f t="shared" ca="1" si="7"/>
        <v>56.066174537038023</v>
      </c>
      <c r="F58" s="19" t="s">
        <v>5</v>
      </c>
      <c r="G58" s="83" t="str">
        <f>IF(ISBLANK(F58), "", VLOOKUP(VLOOKUP(F58, NHLTeams!$B$2:$F$33, 4,FALSE), Conferences!$A$2:$B$3, 2,FALSE))</f>
        <v>Western</v>
      </c>
      <c r="H58" s="84" t="str">
        <f>IF(ISBLANK(F58), "", VLOOKUP(VLOOKUP(F58, NHLTeams!$B$2:$F$33, 5, FALSE), Divisions!$A$2:$B$5, 2, FALSE))</f>
        <v>Pacific</v>
      </c>
      <c r="I58" t="s">
        <v>53</v>
      </c>
      <c r="J58" t="s">
        <v>443</v>
      </c>
      <c r="K58" t="s">
        <v>436</v>
      </c>
      <c r="L58">
        <v>13</v>
      </c>
      <c r="M58">
        <v>0</v>
      </c>
      <c r="N58">
        <v>0</v>
      </c>
      <c r="O58" t="s">
        <v>75</v>
      </c>
      <c r="P58" t="s">
        <v>330</v>
      </c>
      <c r="Q58" t="s">
        <v>73</v>
      </c>
      <c r="R58" t="s">
        <v>3</v>
      </c>
      <c r="S58" t="s">
        <v>286</v>
      </c>
      <c r="T58" s="118">
        <v>56</v>
      </c>
      <c r="U58" t="s">
        <v>302</v>
      </c>
      <c r="W58" t="s">
        <v>445</v>
      </c>
      <c r="Z58">
        <v>49.99</v>
      </c>
      <c r="AA58">
        <v>1</v>
      </c>
      <c r="AB58">
        <v>0</v>
      </c>
      <c r="AD58" t="s">
        <v>460</v>
      </c>
      <c r="AE58">
        <f t="shared" si="4"/>
        <v>7.6485000000000003</v>
      </c>
      <c r="AF58">
        <f t="shared" si="2"/>
        <v>58.638500000000001</v>
      </c>
      <c r="AH58">
        <v>0</v>
      </c>
      <c r="AK58" s="1">
        <v>34194</v>
      </c>
      <c r="AM58" t="s">
        <v>60</v>
      </c>
      <c r="AQ58" s="120">
        <f t="shared" ca="1" si="5"/>
        <v>11319.066174537038</v>
      </c>
      <c r="AR58" s="120">
        <f t="shared" si="9"/>
        <v>720</v>
      </c>
      <c r="AS58">
        <v>0</v>
      </c>
    </row>
    <row r="59" spans="1:45" x14ac:dyDescent="0.25">
      <c r="A59" s="1">
        <v>45452</v>
      </c>
      <c r="B59" s="1">
        <v>45457</v>
      </c>
      <c r="D59" s="2">
        <f t="shared" ca="1" si="6"/>
        <v>5</v>
      </c>
      <c r="E59" s="2">
        <f t="shared" ca="1" si="7"/>
        <v>56.066174537038023</v>
      </c>
      <c r="F59" s="19" t="s">
        <v>5</v>
      </c>
      <c r="G59" s="83" t="str">
        <f>IF(ISBLANK(F59), "", VLOOKUP(VLOOKUP(F59, NHLTeams!$B$2:$F$33, 4,FALSE), Conferences!$A$2:$B$3, 2,FALSE))</f>
        <v>Western</v>
      </c>
      <c r="H59" s="84" t="str">
        <f>IF(ISBLANK(F59), "", VLOOKUP(VLOOKUP(F59, NHLTeams!$B$2:$F$33, 5, FALSE), Divisions!$A$2:$B$5, 2, FALSE))</f>
        <v>Pacific</v>
      </c>
      <c r="I59" t="s">
        <v>53</v>
      </c>
      <c r="J59" t="s">
        <v>1</v>
      </c>
      <c r="K59" t="s">
        <v>2</v>
      </c>
      <c r="L59">
        <v>19</v>
      </c>
      <c r="M59">
        <v>0</v>
      </c>
      <c r="N59">
        <v>0</v>
      </c>
      <c r="O59" t="s">
        <v>75</v>
      </c>
      <c r="P59" t="s">
        <v>4</v>
      </c>
      <c r="Q59" t="s">
        <v>3</v>
      </c>
      <c r="R59" t="s">
        <v>286</v>
      </c>
      <c r="S59" t="s">
        <v>20</v>
      </c>
      <c r="T59" s="118">
        <v>56</v>
      </c>
      <c r="U59" t="s">
        <v>302</v>
      </c>
      <c r="W59" t="s">
        <v>445</v>
      </c>
      <c r="Z59">
        <v>49.99</v>
      </c>
      <c r="AA59">
        <v>1</v>
      </c>
      <c r="AB59">
        <v>0</v>
      </c>
      <c r="AD59" t="s">
        <v>460</v>
      </c>
      <c r="AE59">
        <f t="shared" si="4"/>
        <v>7.6485000000000003</v>
      </c>
      <c r="AF59">
        <f t="shared" si="2"/>
        <v>58.638500000000001</v>
      </c>
      <c r="AH59">
        <v>0</v>
      </c>
      <c r="AK59" s="1">
        <v>35775</v>
      </c>
      <c r="AM59" t="s">
        <v>64</v>
      </c>
      <c r="AQ59" s="120">
        <f t="shared" ca="1" si="5"/>
        <v>9738.066174537038</v>
      </c>
      <c r="AR59" s="120">
        <f t="shared" si="9"/>
        <v>-861</v>
      </c>
      <c r="AS59">
        <v>0</v>
      </c>
    </row>
    <row r="60" spans="1:45" x14ac:dyDescent="0.25">
      <c r="A60" s="1">
        <v>45470</v>
      </c>
      <c r="B60" s="1">
        <v>45485</v>
      </c>
      <c r="D60" s="2">
        <f t="shared" ca="1" si="6"/>
        <v>15</v>
      </c>
      <c r="E60" s="2">
        <f t="shared" ca="1" si="7"/>
        <v>28.066174537038023</v>
      </c>
      <c r="F60" s="98" t="s">
        <v>88</v>
      </c>
      <c r="G60" s="83" t="str">
        <f>IF(ISBLANK(F60), "", VLOOKUP(VLOOKUP(F60, NHLTeams!$B$2:$F$33, 4,FALSE), Conferences!$A$2:$B$3, 2,FALSE))</f>
        <v>Western</v>
      </c>
      <c r="H60" s="84" t="str">
        <f>IF(ISBLANK(F60), "", VLOOKUP(VLOOKUP(F60, NHLTeams!$B$2:$F$33, 5, FALSE), Divisions!$A$2:$B$5, 2, FALSE))</f>
        <v>Pacific</v>
      </c>
      <c r="I60" t="s">
        <v>53</v>
      </c>
      <c r="J60" t="s">
        <v>449</v>
      </c>
      <c r="K60" t="s">
        <v>450</v>
      </c>
      <c r="L60">
        <v>14</v>
      </c>
      <c r="M60">
        <v>0</v>
      </c>
      <c r="N60">
        <v>0</v>
      </c>
      <c r="O60" t="s">
        <v>293</v>
      </c>
      <c r="P60" t="s">
        <v>4</v>
      </c>
      <c r="Q60" t="s">
        <v>21</v>
      </c>
      <c r="T60" s="118">
        <v>56</v>
      </c>
      <c r="U60" t="s">
        <v>302</v>
      </c>
      <c r="AC60">
        <v>0</v>
      </c>
      <c r="AE60">
        <f t="shared" si="4"/>
        <v>0</v>
      </c>
      <c r="AF60">
        <f t="shared" si="2"/>
        <v>0</v>
      </c>
      <c r="AK60" s="1">
        <v>32910</v>
      </c>
      <c r="AM60" t="s">
        <v>290</v>
      </c>
      <c r="AQ60" s="120">
        <f t="shared" ca="1" si="5"/>
        <v>12603.066174537038</v>
      </c>
      <c r="AR60" s="120">
        <f t="shared" si="9"/>
        <v>2004</v>
      </c>
      <c r="AS60">
        <v>0</v>
      </c>
    </row>
    <row r="61" spans="1:45" x14ac:dyDescent="0.25">
      <c r="A61" s="1">
        <v>45470</v>
      </c>
      <c r="B61" s="1">
        <v>45476</v>
      </c>
      <c r="D61" s="2">
        <f t="shared" ca="1" si="6"/>
        <v>6</v>
      </c>
      <c r="E61" s="2">
        <f t="shared" ca="1" si="7"/>
        <v>37.066174537038023</v>
      </c>
      <c r="F61" s="18" t="s">
        <v>67</v>
      </c>
      <c r="G61" s="81" t="str">
        <f>IF(ISBLANK(F61), "", VLOOKUP(VLOOKUP(F61, NHLTeams!$B$2:$F$33, 4,FALSE), Conferences!$A$2:$B$3, 2,FALSE))</f>
        <v>Eastern</v>
      </c>
      <c r="H61" s="82" t="str">
        <f>IF(ISBLANK(F61), "", VLOOKUP(VLOOKUP(F61, NHLTeams!$B$2:$F$33, 5, FALSE), Divisions!$A$2:$B$5, 2, FALSE))</f>
        <v>Atlantic</v>
      </c>
      <c r="I61" t="s">
        <v>53</v>
      </c>
      <c r="J61" t="s">
        <v>451</v>
      </c>
      <c r="K61" t="s">
        <v>452</v>
      </c>
      <c r="L61">
        <v>16</v>
      </c>
      <c r="M61">
        <v>0</v>
      </c>
      <c r="N61">
        <v>0</v>
      </c>
      <c r="O61" t="s">
        <v>293</v>
      </c>
      <c r="P61" t="s">
        <v>262</v>
      </c>
      <c r="T61" s="118">
        <v>56</v>
      </c>
      <c r="U61" t="s">
        <v>302</v>
      </c>
      <c r="Z61">
        <v>250.65</v>
      </c>
      <c r="AA61">
        <v>28.2</v>
      </c>
      <c r="AB61">
        <v>0</v>
      </c>
      <c r="AC61">
        <v>62.66</v>
      </c>
      <c r="AD61" t="s">
        <v>459</v>
      </c>
      <c r="AE61">
        <f t="shared" si="4"/>
        <v>32.4285</v>
      </c>
      <c r="AF61">
        <f t="shared" si="2"/>
        <v>248.61850000000004</v>
      </c>
      <c r="AG61">
        <v>216.19</v>
      </c>
      <c r="AH61">
        <v>0</v>
      </c>
      <c r="AI61">
        <v>0</v>
      </c>
      <c r="AK61" s="1">
        <v>35555</v>
      </c>
      <c r="AM61" t="s">
        <v>64</v>
      </c>
      <c r="AQ61" s="120">
        <f t="shared" ca="1" si="5"/>
        <v>9958.066174537038</v>
      </c>
      <c r="AR61" s="120">
        <f t="shared" si="9"/>
        <v>-641</v>
      </c>
      <c r="AS61">
        <v>0</v>
      </c>
    </row>
    <row r="62" spans="1:45" x14ac:dyDescent="0.25">
      <c r="A62" s="1">
        <v>45470</v>
      </c>
      <c r="B62" s="1">
        <v>45485</v>
      </c>
      <c r="D62" s="2">
        <f t="shared" ca="1" si="6"/>
        <v>15</v>
      </c>
      <c r="E62" s="2">
        <f t="shared" ca="1" si="7"/>
        <v>28.066174537038023</v>
      </c>
      <c r="F62" s="114" t="s">
        <v>165</v>
      </c>
      <c r="G62" s="81" t="str">
        <f>IF(ISBLANK(F62), "", VLOOKUP(VLOOKUP(F62, NHLTeams!$B$2:$F$33, 4,FALSE), Conferences!$A$2:$B$3, 2,FALSE))</f>
        <v>Eastern</v>
      </c>
      <c r="H62" s="85" t="str">
        <f>IF(ISBLANK(F62), "", VLOOKUP(VLOOKUP(F62, NHLTeams!$B$2:$F$33, 5, FALSE), Divisions!$A$2:$B$5, 2, FALSE))</f>
        <v>Metropolitan</v>
      </c>
      <c r="I62" t="s">
        <v>53</v>
      </c>
      <c r="J62" t="s">
        <v>453</v>
      </c>
      <c r="K62" t="s">
        <v>454</v>
      </c>
      <c r="L62">
        <v>13</v>
      </c>
      <c r="M62">
        <v>0</v>
      </c>
      <c r="N62">
        <v>0</v>
      </c>
      <c r="O62" t="s">
        <v>458</v>
      </c>
      <c r="P62" t="s">
        <v>285</v>
      </c>
      <c r="T62" s="118">
        <v>56</v>
      </c>
      <c r="U62" t="s">
        <v>302</v>
      </c>
      <c r="AD62" t="s">
        <v>461</v>
      </c>
      <c r="AE62">
        <f t="shared" si="4"/>
        <v>0</v>
      </c>
      <c r="AF62">
        <f t="shared" si="2"/>
        <v>0</v>
      </c>
      <c r="AK62" s="1">
        <v>36164</v>
      </c>
      <c r="AM62" t="s">
        <v>322</v>
      </c>
      <c r="AQ62" s="120">
        <f t="shared" ca="1" si="5"/>
        <v>9349.066174537038</v>
      </c>
      <c r="AR62" s="120">
        <f t="shared" si="9"/>
        <v>-1250</v>
      </c>
      <c r="AS62">
        <v>0</v>
      </c>
    </row>
    <row r="63" spans="1:45" x14ac:dyDescent="0.25">
      <c r="A63" s="1">
        <v>45471</v>
      </c>
      <c r="B63" s="1">
        <v>45482</v>
      </c>
      <c r="D63" s="2">
        <f t="shared" ca="1" si="6"/>
        <v>11</v>
      </c>
      <c r="E63" s="2">
        <f t="shared" ca="1" si="7"/>
        <v>31.066174537038023</v>
      </c>
      <c r="F63" s="20" t="s">
        <v>24</v>
      </c>
      <c r="G63" s="81" t="str">
        <f>IF(ISBLANK(F63), "", VLOOKUP(VLOOKUP(F63, NHLTeams!$B$2:$F$33, 4,FALSE), Conferences!$A$2:$B$3, 2,FALSE))</f>
        <v>Eastern</v>
      </c>
      <c r="H63" s="85" t="str">
        <f>IF(ISBLANK(F63), "", VLOOKUP(VLOOKUP(F63, NHLTeams!$B$2:$F$33, 5, FALSE), Divisions!$A$2:$B$5, 2, FALSE))</f>
        <v>Metropolitan</v>
      </c>
      <c r="I63" t="s">
        <v>53</v>
      </c>
      <c r="J63" t="s">
        <v>456</v>
      </c>
      <c r="K63" t="s">
        <v>457</v>
      </c>
      <c r="L63">
        <v>77</v>
      </c>
      <c r="M63">
        <v>0</v>
      </c>
      <c r="N63">
        <v>0</v>
      </c>
      <c r="O63" t="s">
        <v>75</v>
      </c>
      <c r="P63" t="s">
        <v>262</v>
      </c>
      <c r="T63" s="118">
        <v>56</v>
      </c>
      <c r="U63" t="s">
        <v>302</v>
      </c>
      <c r="Z63">
        <v>330.149</v>
      </c>
      <c r="AA63">
        <v>41.85</v>
      </c>
      <c r="AB63">
        <v>0</v>
      </c>
      <c r="AC63">
        <v>93</v>
      </c>
      <c r="AD63" t="s">
        <v>459</v>
      </c>
      <c r="AE63">
        <f>(SUM(Z63:AB63)-AC63)*0.15</f>
        <v>41.849850000000004</v>
      </c>
      <c r="AF63">
        <f t="shared" si="2"/>
        <v>320.84885000000003</v>
      </c>
      <c r="AG63">
        <v>320.83999999999997</v>
      </c>
      <c r="AH63">
        <v>0</v>
      </c>
      <c r="AI63">
        <v>0</v>
      </c>
      <c r="AK63" s="1">
        <v>31769</v>
      </c>
      <c r="AM63" t="s">
        <v>260</v>
      </c>
      <c r="AQ63" s="120">
        <f t="shared" ca="1" si="5"/>
        <v>13744.066174537038</v>
      </c>
      <c r="AR63" s="120">
        <f t="shared" si="9"/>
        <v>3145</v>
      </c>
      <c r="AS63">
        <v>0</v>
      </c>
    </row>
    <row r="64" spans="1:45" x14ac:dyDescent="0.25">
      <c r="A64" s="1">
        <v>45482</v>
      </c>
      <c r="B64" s="1">
        <v>45492</v>
      </c>
      <c r="D64" s="2">
        <f t="shared" ca="1" si="6"/>
        <v>10</v>
      </c>
      <c r="E64" s="2">
        <f t="shared" ca="1" si="7"/>
        <v>21.066174537038023</v>
      </c>
      <c r="F64" s="14" t="s">
        <v>25</v>
      </c>
      <c r="G64" s="81" t="str">
        <f>IF(ISBLANK(F64), "", VLOOKUP(VLOOKUP(F64, NHLTeams!$B$2:$F$33, 4,FALSE), Conferences!$A$2:$B$3, 2,FALSE))</f>
        <v>Eastern</v>
      </c>
      <c r="H64" s="82" t="str">
        <f>IF(ISBLANK(F64), "", VLOOKUP(VLOOKUP(F64, NHLTeams!$B$2:$F$33, 5, FALSE), Divisions!$A$2:$B$5, 2, FALSE))</f>
        <v>Atlantic</v>
      </c>
      <c r="I64" t="s">
        <v>53</v>
      </c>
      <c r="J64" t="s">
        <v>7</v>
      </c>
      <c r="K64" t="s">
        <v>473</v>
      </c>
      <c r="L64">
        <v>92</v>
      </c>
      <c r="M64">
        <v>0</v>
      </c>
      <c r="N64">
        <v>0</v>
      </c>
      <c r="O64" t="s">
        <v>293</v>
      </c>
      <c r="P64" t="s">
        <v>285</v>
      </c>
      <c r="T64" s="118">
        <v>56</v>
      </c>
      <c r="U64" t="s">
        <v>302</v>
      </c>
      <c r="AF64">
        <f t="shared" si="2"/>
        <v>0</v>
      </c>
      <c r="AK64" s="1">
        <v>34786</v>
      </c>
      <c r="AM64" t="s">
        <v>269</v>
      </c>
      <c r="AQ64" s="120">
        <f t="shared" ca="1" si="5"/>
        <v>10727.066174537038</v>
      </c>
      <c r="AR64" s="120">
        <f t="shared" si="9"/>
        <v>128</v>
      </c>
      <c r="AS64">
        <v>0</v>
      </c>
    </row>
    <row r="65" spans="1:45" x14ac:dyDescent="0.25">
      <c r="A65" s="1">
        <v>45483</v>
      </c>
      <c r="B65" s="1">
        <v>45489</v>
      </c>
      <c r="D65" s="2">
        <f t="shared" ca="1" si="6"/>
        <v>6</v>
      </c>
      <c r="E65" s="2">
        <f t="shared" ca="1" si="7"/>
        <v>24.066174537038023</v>
      </c>
      <c r="F65" s="13" t="s">
        <v>6</v>
      </c>
      <c r="G65" s="83" t="str">
        <f>IF(ISBLANK(F65), "", VLOOKUP(VLOOKUP(F65, NHLTeams!$B$2:$F$33, 4,FALSE), Conferences!$A$2:$B$3, 2,FALSE))</f>
        <v>Western</v>
      </c>
      <c r="H65" s="84" t="str">
        <f>IF(ISBLANK(F65), "", VLOOKUP(VLOOKUP(F65, NHLTeams!$B$2:$F$33, 5, FALSE), Divisions!$A$2:$B$5, 2, FALSE))</f>
        <v>Pacific</v>
      </c>
      <c r="I65" t="s">
        <v>53</v>
      </c>
      <c r="J65" t="s">
        <v>9</v>
      </c>
      <c r="K65" t="s">
        <v>455</v>
      </c>
      <c r="L65">
        <v>97</v>
      </c>
      <c r="M65">
        <v>1</v>
      </c>
      <c r="N65">
        <v>0</v>
      </c>
      <c r="O65" t="s">
        <v>293</v>
      </c>
      <c r="P65" t="s">
        <v>285</v>
      </c>
      <c r="T65" s="118">
        <v>56</v>
      </c>
      <c r="U65" t="s">
        <v>302</v>
      </c>
      <c r="AF65">
        <f t="shared" si="2"/>
        <v>0</v>
      </c>
      <c r="AK65" s="1">
        <v>35443</v>
      </c>
      <c r="AM65" t="s">
        <v>59</v>
      </c>
      <c r="AQ65" s="120">
        <f t="shared" ca="1" si="5"/>
        <v>10070.066174537038</v>
      </c>
      <c r="AR65" s="120">
        <f t="shared" si="9"/>
        <v>-529</v>
      </c>
      <c r="AS65">
        <v>0</v>
      </c>
    </row>
    <row r="66" spans="1:45" x14ac:dyDescent="0.25">
      <c r="A66" s="1">
        <v>45495</v>
      </c>
      <c r="D66" s="2">
        <f t="shared" ca="1" si="6"/>
        <v>18.066174537038023</v>
      </c>
      <c r="E66" s="2">
        <f t="shared" ca="1" si="7"/>
        <v>0</v>
      </c>
      <c r="F66" s="17" t="s">
        <v>66</v>
      </c>
      <c r="G66" s="81" t="str">
        <f>IF(ISBLANK(F66), "", VLOOKUP(VLOOKUP(F66, NHLTeams!$B$2:$F$33, 4,FALSE), Conferences!$A$2:$B$3, 2,FALSE))</f>
        <v>Eastern</v>
      </c>
      <c r="H66" s="85" t="str">
        <f>IF(ISBLANK(F66), "", VLOOKUP(VLOOKUP(F66, NHLTeams!$B$2:$F$33, 5, FALSE), Divisions!$A$2:$B$5, 2, FALSE))</f>
        <v>Metropolitan</v>
      </c>
      <c r="I66" t="s">
        <v>53</v>
      </c>
      <c r="J66" t="s">
        <v>474</v>
      </c>
      <c r="K66" t="s">
        <v>416</v>
      </c>
      <c r="L66">
        <v>71</v>
      </c>
      <c r="M66">
        <v>0</v>
      </c>
      <c r="N66">
        <v>0</v>
      </c>
      <c r="O66" t="s">
        <v>297</v>
      </c>
      <c r="P66" t="s">
        <v>285</v>
      </c>
      <c r="T66" s="118">
        <v>56</v>
      </c>
      <c r="U66" t="s">
        <v>302</v>
      </c>
      <c r="AF66">
        <f t="shared" ref="AF66:AF69" si="12">(SUM(Z66:AB66)-AC66)+AE66</f>
        <v>0</v>
      </c>
      <c r="AK66" s="1">
        <v>31624</v>
      </c>
      <c r="AM66" t="s">
        <v>291</v>
      </c>
      <c r="AQ66" s="120">
        <f t="shared" ca="1" si="5"/>
        <v>13889.066174537038</v>
      </c>
      <c r="AR66" s="120">
        <f t="shared" ref="AR66:AR82" si="13">IF(ISBLANK($AK66), 0, DATE(YEAR("1995-08-3"),MONTH("1995-08-3"), DAY("1995-08-3")) - DATE(YEAR($AK66),MONTH($AK66), DAY($AK66)))</f>
        <v>3290</v>
      </c>
      <c r="AS66">
        <v>0</v>
      </c>
    </row>
    <row r="67" spans="1:45" x14ac:dyDescent="0.25">
      <c r="A67" s="1">
        <v>45496</v>
      </c>
      <c r="D67" s="2">
        <f t="shared" ca="1" si="6"/>
        <v>17.066174537038023</v>
      </c>
      <c r="E67" s="2">
        <f t="shared" ca="1" si="7"/>
        <v>0</v>
      </c>
      <c r="F67" s="108" t="s">
        <v>200</v>
      </c>
      <c r="G67" s="83" t="str">
        <f>IF(ISBLANK(F67), "", VLOOKUP(VLOOKUP(F67, NHLTeams!$B$2:$F$33, 4,FALSE), Conferences!$A$2:$B$3, 2,FALSE))</f>
        <v>Western</v>
      </c>
      <c r="H67" s="84" t="str">
        <f>IF(ISBLANK(F67), "", VLOOKUP(VLOOKUP(F67, NHLTeams!$B$2:$F$33, 5, FALSE), Divisions!$A$2:$B$5, 2, FALSE))</f>
        <v>Pacific</v>
      </c>
      <c r="I67" t="s">
        <v>53</v>
      </c>
      <c r="J67" t="s">
        <v>475</v>
      </c>
      <c r="K67" t="s">
        <v>476</v>
      </c>
      <c r="L67">
        <v>19</v>
      </c>
      <c r="M67">
        <v>0</v>
      </c>
      <c r="N67">
        <v>0</v>
      </c>
      <c r="O67" t="s">
        <v>293</v>
      </c>
      <c r="P67" t="s">
        <v>4</v>
      </c>
      <c r="T67" s="118">
        <v>56</v>
      </c>
      <c r="U67" t="s">
        <v>302</v>
      </c>
      <c r="AF67">
        <f t="shared" si="12"/>
        <v>0</v>
      </c>
      <c r="AK67" s="1">
        <v>29038</v>
      </c>
      <c r="AM67" t="s">
        <v>477</v>
      </c>
      <c r="AQ67" s="120">
        <f t="shared" ca="1" si="5"/>
        <v>16475.066174537038</v>
      </c>
      <c r="AR67" s="120">
        <f t="shared" si="13"/>
        <v>5876</v>
      </c>
      <c r="AS67">
        <v>0</v>
      </c>
    </row>
    <row r="68" spans="1:45" x14ac:dyDescent="0.25">
      <c r="A68" s="1">
        <v>45502</v>
      </c>
      <c r="D68" s="2">
        <f t="shared" ca="1" si="6"/>
        <v>11.066174537038023</v>
      </c>
      <c r="E68" s="2">
        <f t="shared" ca="1" si="7"/>
        <v>0</v>
      </c>
      <c r="F68" s="17" t="s">
        <v>66</v>
      </c>
      <c r="G68" s="81" t="str">
        <f>IF(ISBLANK(F68), "", VLOOKUP(VLOOKUP(F68, NHLTeams!$B$2:$F$33, 4,FALSE), Conferences!$A$2:$B$3, 2,FALSE))</f>
        <v>Eastern</v>
      </c>
      <c r="H68" s="85" t="str">
        <f>IF(ISBLANK(F68), "", VLOOKUP(VLOOKUP(F68, NHLTeams!$B$2:$F$33, 5, FALSE), Divisions!$A$2:$B$5, 2, FALSE))</f>
        <v>Metropolitan</v>
      </c>
      <c r="I68" t="s">
        <v>273</v>
      </c>
      <c r="J68" t="s">
        <v>428</v>
      </c>
      <c r="K68" t="s">
        <v>429</v>
      </c>
      <c r="L68">
        <v>58</v>
      </c>
      <c r="O68" t="s">
        <v>293</v>
      </c>
      <c r="P68" t="s">
        <v>485</v>
      </c>
      <c r="T68" s="118">
        <v>54</v>
      </c>
      <c r="U68" t="s">
        <v>311</v>
      </c>
      <c r="AF68">
        <f t="shared" si="12"/>
        <v>0</v>
      </c>
      <c r="AK68" s="1">
        <v>31891</v>
      </c>
      <c r="AM68" t="s">
        <v>291</v>
      </c>
      <c r="AQ68" s="120">
        <f t="shared" ca="1" si="5"/>
        <v>13622.066174537038</v>
      </c>
      <c r="AR68" s="120">
        <f t="shared" si="13"/>
        <v>3023</v>
      </c>
      <c r="AS68">
        <v>0</v>
      </c>
    </row>
    <row r="69" spans="1:45" x14ac:dyDescent="0.25">
      <c r="A69" s="1">
        <v>45504</v>
      </c>
      <c r="B69" s="1">
        <v>45511</v>
      </c>
      <c r="D69" s="2">
        <f t="shared" ca="1" si="6"/>
        <v>7</v>
      </c>
      <c r="E69" s="2">
        <f t="shared" ca="1" si="7"/>
        <v>2.0661745370380231</v>
      </c>
      <c r="F69" s="13" t="s">
        <v>6</v>
      </c>
      <c r="G69" s="83" t="str">
        <f>IF(ISBLANK(F69), "", VLOOKUP(VLOOKUP(F69, NHLTeams!$B$2:$F$33, 4,FALSE), Conferences!$A$2:$B$3, 2,FALSE))</f>
        <v>Western</v>
      </c>
      <c r="H69" s="84" t="str">
        <f>IF(ISBLANK(F69), "", VLOOKUP(VLOOKUP(F69, NHLTeams!$B$2:$F$33, 5, FALSE), Divisions!$A$2:$B$5, 2, FALSE))</f>
        <v>Pacific</v>
      </c>
      <c r="I69" t="s">
        <v>53</v>
      </c>
      <c r="J69" t="s">
        <v>478</v>
      </c>
      <c r="K69" t="s">
        <v>479</v>
      </c>
      <c r="L69">
        <v>29</v>
      </c>
      <c r="M69">
        <v>0</v>
      </c>
      <c r="N69">
        <v>0</v>
      </c>
      <c r="O69" t="s">
        <v>480</v>
      </c>
      <c r="P69" t="s">
        <v>262</v>
      </c>
      <c r="T69" s="118">
        <v>56</v>
      </c>
      <c r="U69" t="s">
        <v>302</v>
      </c>
      <c r="AF69">
        <f t="shared" si="12"/>
        <v>0</v>
      </c>
      <c r="AK69" s="1">
        <v>34999</v>
      </c>
      <c r="AM69" t="s">
        <v>269</v>
      </c>
      <c r="AQ69" s="120">
        <f t="shared" ca="1" si="5"/>
        <v>10514.066174537038</v>
      </c>
      <c r="AR69" s="120">
        <f t="shared" si="13"/>
        <v>-85</v>
      </c>
      <c r="AS69">
        <v>0</v>
      </c>
    </row>
    <row r="70" spans="1:45" x14ac:dyDescent="0.25">
      <c r="A70" s="1">
        <v>45504</v>
      </c>
      <c r="D70" s="2">
        <f t="shared" ca="1" si="6"/>
        <v>9.0661745370380231</v>
      </c>
      <c r="E70" s="2">
        <f t="shared" ca="1" si="7"/>
        <v>0</v>
      </c>
      <c r="F70" s="19" t="s">
        <v>5</v>
      </c>
      <c r="G70" s="83" t="str">
        <f>IF(ISBLANK(F70), "", VLOOKUP(VLOOKUP(F70, NHLTeams!$B$2:$F$33, 4,FALSE), Conferences!$A$2:$B$3, 2,FALSE))</f>
        <v>Western</v>
      </c>
      <c r="H70" s="84" t="str">
        <f>IF(ISBLANK(F70), "", VLOOKUP(VLOOKUP(F70, NHLTeams!$B$2:$F$33, 5, FALSE), Divisions!$A$2:$B$5, 2, FALSE))</f>
        <v>Pacific</v>
      </c>
      <c r="I70" t="s">
        <v>273</v>
      </c>
      <c r="J70" t="s">
        <v>481</v>
      </c>
      <c r="K70" t="s">
        <v>482</v>
      </c>
      <c r="L70">
        <v>52</v>
      </c>
      <c r="M70">
        <v>0</v>
      </c>
      <c r="N70">
        <v>1</v>
      </c>
      <c r="O70" t="s">
        <v>293</v>
      </c>
      <c r="P70" t="s">
        <v>285</v>
      </c>
      <c r="T70" s="118">
        <v>56</v>
      </c>
      <c r="U70" t="s">
        <v>302</v>
      </c>
      <c r="AK70" s="1">
        <v>34341</v>
      </c>
      <c r="AM70" t="s">
        <v>64</v>
      </c>
      <c r="AQ70" s="120">
        <f t="shared" ca="1" si="5"/>
        <v>11172.066174537038</v>
      </c>
      <c r="AR70" s="120">
        <f t="shared" si="13"/>
        <v>573</v>
      </c>
      <c r="AS70">
        <v>0</v>
      </c>
    </row>
    <row r="71" spans="1:45" x14ac:dyDescent="0.25">
      <c r="A71" s="1">
        <v>45510</v>
      </c>
      <c r="D71" s="2">
        <f t="shared" ca="1" si="6"/>
        <v>3.0661745370380231</v>
      </c>
      <c r="E71" s="2">
        <f t="shared" ca="1" si="7"/>
        <v>0</v>
      </c>
      <c r="F71" s="96" t="s">
        <v>177</v>
      </c>
      <c r="G71" s="81" t="str">
        <f>IF(ISBLANK(F71), "", VLOOKUP(VLOOKUP(F71, NHLTeams!$B$2:$F$33, 4,FALSE), Conferences!$A$2:$B$3, 2,FALSE))</f>
        <v>Eastern</v>
      </c>
      <c r="H71" s="85" t="str">
        <f>IF(ISBLANK(F71), "", VLOOKUP(VLOOKUP(F71, NHLTeams!$B$2:$F$33, 5, FALSE), Divisions!$A$2:$B$5, 2, FALSE))</f>
        <v>Metropolitan</v>
      </c>
      <c r="I71" t="s">
        <v>53</v>
      </c>
      <c r="J71" t="s">
        <v>433</v>
      </c>
      <c r="K71" t="s">
        <v>434</v>
      </c>
      <c r="L71">
        <v>10</v>
      </c>
      <c r="M71">
        <v>0</v>
      </c>
      <c r="N71">
        <v>0</v>
      </c>
      <c r="O71" t="s">
        <v>297</v>
      </c>
      <c r="P71" t="s">
        <v>484</v>
      </c>
      <c r="T71" s="118">
        <v>56</v>
      </c>
      <c r="U71" t="s">
        <v>302</v>
      </c>
      <c r="V71" t="s">
        <v>303</v>
      </c>
      <c r="AG71">
        <v>336.94</v>
      </c>
      <c r="AK71" s="1">
        <v>33541</v>
      </c>
      <c r="AM71" t="s">
        <v>59</v>
      </c>
      <c r="AQ71" s="120">
        <f t="shared" ref="AQ71:AQ75" ca="1" si="14">NOW()-AK71</f>
        <v>11972.066174537038</v>
      </c>
      <c r="AR71" s="120">
        <f t="shared" si="13"/>
        <v>1373</v>
      </c>
      <c r="AS71">
        <v>0</v>
      </c>
    </row>
    <row r="72" spans="1:45" x14ac:dyDescent="0.25">
      <c r="D72" s="2">
        <f t="shared" ca="1" si="6"/>
        <v>45513.066174537038</v>
      </c>
      <c r="E72" s="2">
        <f t="shared" ca="1" si="7"/>
        <v>0</v>
      </c>
      <c r="F72" s="80"/>
      <c r="G72" s="80" t="str">
        <f>IF(ISBLANK(F72), "", VLOOKUP(VLOOKUP(F72, NHLTeams!$B$2:$F$33, 4,FALSE), Conferences!$A$2:$B$3, 2,FALSE))</f>
        <v/>
      </c>
      <c r="H72" s="80" t="str">
        <f>IF(ISBLANK(F72), "", VLOOKUP(VLOOKUP(F72, NHLTeams!$B$2:$F$33, 5, FALSE), Divisions!$A$2:$B$5, 2, FALSE))</f>
        <v/>
      </c>
      <c r="AQ72" s="120">
        <f t="shared" ca="1" si="14"/>
        <v>45513.066174537038</v>
      </c>
      <c r="AR72" s="120">
        <f t="shared" si="13"/>
        <v>0</v>
      </c>
    </row>
    <row r="73" spans="1:45" x14ac:dyDescent="0.25">
      <c r="D73" s="2">
        <f t="shared" ca="1" si="6"/>
        <v>45513.066174537038</v>
      </c>
      <c r="E73" s="2">
        <f t="shared" ca="1" si="7"/>
        <v>0</v>
      </c>
      <c r="F73" s="80"/>
      <c r="G73" s="80" t="str">
        <f>IF(ISBLANK(F73), "", VLOOKUP(VLOOKUP(F73, NHLTeams!$B$2:$F$33, 4,FALSE), Conferences!$A$2:$B$3, 2,FALSE))</f>
        <v/>
      </c>
      <c r="H73" s="80" t="str">
        <f>IF(ISBLANK(F73), "", VLOOKUP(VLOOKUP(F73, NHLTeams!$B$2:$F$33, 5, FALSE), Divisions!$A$2:$B$5, 2, FALSE))</f>
        <v/>
      </c>
      <c r="AQ73" s="120">
        <f t="shared" ca="1" si="14"/>
        <v>45513.066174537038</v>
      </c>
      <c r="AR73" s="120">
        <f t="shared" si="13"/>
        <v>0</v>
      </c>
    </row>
    <row r="74" spans="1:45" x14ac:dyDescent="0.25">
      <c r="D74" s="2">
        <f t="shared" ca="1" si="6"/>
        <v>45513.066174537038</v>
      </c>
      <c r="E74" s="2">
        <f t="shared" ca="1" si="7"/>
        <v>0</v>
      </c>
      <c r="F74" s="80"/>
      <c r="G74" s="80" t="str">
        <f>IF(ISBLANK(F74), "", VLOOKUP(VLOOKUP(F74, NHLTeams!$B$2:$F$33, 4,FALSE), Conferences!$A$2:$B$3, 2,FALSE))</f>
        <v/>
      </c>
      <c r="H74" s="80" t="str">
        <f>IF(ISBLANK(F74), "", VLOOKUP(VLOOKUP(F74, NHLTeams!$B$2:$F$33, 5, FALSE), Divisions!$A$2:$B$5, 2, FALSE))</f>
        <v/>
      </c>
      <c r="AQ74" s="120">
        <f t="shared" ca="1" si="14"/>
        <v>45513.066174537038</v>
      </c>
      <c r="AR74" s="120">
        <f t="shared" si="13"/>
        <v>0</v>
      </c>
    </row>
    <row r="75" spans="1:45" x14ac:dyDescent="0.25">
      <c r="D75" s="2">
        <f t="shared" ref="D75:D101" ca="1" si="15">IF(ISBLANK(B75), (NOW()-A75), (B75-A75))</f>
        <v>45513.066174537038</v>
      </c>
      <c r="E75" s="2">
        <f t="shared" ref="E75:E101" ca="1" si="16">IF(ISBLANK(B75), 0, NOW()-B75)</f>
        <v>0</v>
      </c>
      <c r="F75" s="80"/>
      <c r="G75" s="80" t="str">
        <f>IF(ISBLANK(F75), "", VLOOKUP(VLOOKUP(F75, NHLTeams!$B$2:$F$33, 4,FALSE), Conferences!$A$2:$B$3, 2,FALSE))</f>
        <v/>
      </c>
      <c r="H75" s="80" t="str">
        <f>IF(ISBLANK(F75), "", VLOOKUP(VLOOKUP(F75, NHLTeams!$B$2:$F$33, 5, FALSE), Divisions!$A$2:$B$5, 2, FALSE))</f>
        <v/>
      </c>
      <c r="AQ75" s="120">
        <f t="shared" ca="1" si="14"/>
        <v>45513.066174537038</v>
      </c>
      <c r="AR75" s="120">
        <f t="shared" si="13"/>
        <v>0</v>
      </c>
    </row>
    <row r="76" spans="1:45" x14ac:dyDescent="0.25">
      <c r="D76" s="2">
        <f t="shared" ca="1" si="15"/>
        <v>45513.066174537038</v>
      </c>
      <c r="E76" s="2">
        <f t="shared" ca="1" si="16"/>
        <v>0</v>
      </c>
      <c r="F76" s="80"/>
      <c r="G76" s="80" t="str">
        <f>IF(ISBLANK(F76), "", VLOOKUP(VLOOKUP(F76, NHLTeams!$B$2:$F$33, 4,FALSE), Conferences!$A$2:$B$3, 2,FALSE))</f>
        <v/>
      </c>
      <c r="H76" s="80" t="str">
        <f>IF(ISBLANK(F76), "", VLOOKUP(VLOOKUP(F76, NHLTeams!$B$2:$F$33, 5, FALSE), Divisions!$A$2:$B$5, 2, FALSE))</f>
        <v/>
      </c>
      <c r="AR76" s="120">
        <f t="shared" si="13"/>
        <v>0</v>
      </c>
    </row>
    <row r="77" spans="1:45" x14ac:dyDescent="0.25">
      <c r="D77" s="2">
        <f t="shared" ca="1" si="15"/>
        <v>45513.066174537038</v>
      </c>
      <c r="E77" s="2">
        <f t="shared" ca="1" si="16"/>
        <v>0</v>
      </c>
      <c r="F77" s="80"/>
      <c r="G77" s="80" t="str">
        <f>IF(ISBLANK(F77), "", VLOOKUP(VLOOKUP(F77, NHLTeams!$B$2:$F$33, 4,FALSE), Conferences!$A$2:$B$3, 2,FALSE))</f>
        <v/>
      </c>
      <c r="H77" s="80" t="str">
        <f>IF(ISBLANK(F77), "", VLOOKUP(VLOOKUP(F77, NHLTeams!$B$2:$F$33, 5, FALSE), Divisions!$A$2:$B$5, 2, FALSE))</f>
        <v/>
      </c>
      <c r="AR77" s="120">
        <f t="shared" si="13"/>
        <v>0</v>
      </c>
    </row>
    <row r="78" spans="1:45" x14ac:dyDescent="0.25">
      <c r="D78" s="2">
        <f t="shared" ca="1" si="15"/>
        <v>45513.066174537038</v>
      </c>
      <c r="E78" s="2">
        <f t="shared" ca="1" si="16"/>
        <v>0</v>
      </c>
      <c r="F78" s="80"/>
      <c r="G78" s="80" t="str">
        <f>IF(ISBLANK(F78), "", VLOOKUP(VLOOKUP(F78, NHLTeams!$B$2:$F$33, 4,FALSE), Conferences!$A$2:$B$3, 2,FALSE))</f>
        <v/>
      </c>
      <c r="H78" s="80" t="str">
        <f>IF(ISBLANK(F78), "", VLOOKUP(VLOOKUP(F78, NHLTeams!$B$2:$F$33, 5, FALSE), Divisions!$A$2:$B$5, 2, FALSE))</f>
        <v/>
      </c>
      <c r="AR78" s="120">
        <f t="shared" si="13"/>
        <v>0</v>
      </c>
    </row>
    <row r="79" spans="1:45" x14ac:dyDescent="0.25">
      <c r="D79" s="2">
        <f t="shared" ca="1" si="15"/>
        <v>45513.066174537038</v>
      </c>
      <c r="E79" s="2">
        <f t="shared" ca="1" si="16"/>
        <v>0</v>
      </c>
      <c r="F79" s="80"/>
      <c r="G79" s="80" t="str">
        <f>IF(ISBLANK(F79), "", VLOOKUP(VLOOKUP(F79, NHLTeams!$B$2:$F$33, 4,FALSE), Conferences!$A$2:$B$3, 2,FALSE))</f>
        <v/>
      </c>
      <c r="H79" s="80" t="str">
        <f>IF(ISBLANK(F79), "", VLOOKUP(VLOOKUP(F79, NHLTeams!$B$2:$F$33, 5, FALSE), Divisions!$A$2:$B$5, 2, FALSE))</f>
        <v/>
      </c>
      <c r="AR79" s="120">
        <f t="shared" si="13"/>
        <v>0</v>
      </c>
    </row>
    <row r="80" spans="1:45" x14ac:dyDescent="0.25">
      <c r="D80" s="2">
        <f t="shared" ca="1" si="15"/>
        <v>45513.066174537038</v>
      </c>
      <c r="E80" s="2">
        <f t="shared" ca="1" si="16"/>
        <v>0</v>
      </c>
      <c r="F80" s="80"/>
      <c r="G80" s="80" t="str">
        <f>IF(ISBLANK(F80), "", VLOOKUP(VLOOKUP(F80, NHLTeams!$B$2:$F$33, 4,FALSE), Conferences!$A$2:$B$3, 2,FALSE))</f>
        <v/>
      </c>
      <c r="H80" s="80" t="str">
        <f>IF(ISBLANK(F80), "", VLOOKUP(VLOOKUP(F80, NHLTeams!$B$2:$F$33, 5, FALSE), Divisions!$A$2:$B$5, 2, FALSE))</f>
        <v/>
      </c>
      <c r="AR80" s="120">
        <f t="shared" si="13"/>
        <v>0</v>
      </c>
    </row>
    <row r="81" spans="4:44" x14ac:dyDescent="0.25">
      <c r="D81" s="2">
        <f t="shared" ca="1" si="15"/>
        <v>45513.066174537038</v>
      </c>
      <c r="E81" s="2">
        <f t="shared" ca="1" si="16"/>
        <v>0</v>
      </c>
      <c r="F81" s="80"/>
      <c r="G81" s="80" t="str">
        <f>IF(ISBLANK(F81), "", VLOOKUP(VLOOKUP(F81, NHLTeams!$B$2:$F$33, 4,FALSE), Conferences!$A$2:$B$3, 2,FALSE))</f>
        <v/>
      </c>
      <c r="H81" s="80" t="str">
        <f>IF(ISBLANK(F81), "", VLOOKUP(VLOOKUP(F81, NHLTeams!$B$2:$F$33, 5, FALSE), Divisions!$A$2:$B$5, 2, FALSE))</f>
        <v/>
      </c>
      <c r="AR81" s="120">
        <f t="shared" si="13"/>
        <v>0</v>
      </c>
    </row>
    <row r="82" spans="4:44" x14ac:dyDescent="0.25">
      <c r="D82" s="2">
        <f t="shared" ca="1" si="15"/>
        <v>45513.066174537038</v>
      </c>
      <c r="E82" s="2">
        <f t="shared" ca="1" si="16"/>
        <v>0</v>
      </c>
      <c r="F82" s="80"/>
      <c r="G82" s="80" t="str">
        <f>IF(ISBLANK(F82), "", VLOOKUP(VLOOKUP(F82, NHLTeams!$B$2:$F$33, 4,FALSE), Conferences!$A$2:$B$3, 2,FALSE))</f>
        <v/>
      </c>
      <c r="H82" s="80" t="str">
        <f>IF(ISBLANK(F82), "", VLOOKUP(VLOOKUP(F82, NHLTeams!$B$2:$F$33, 5, FALSE), Divisions!$A$2:$B$5, 2, FALSE))</f>
        <v/>
      </c>
      <c r="AR82" s="120">
        <f t="shared" si="13"/>
        <v>0</v>
      </c>
    </row>
    <row r="83" spans="4:44" x14ac:dyDescent="0.25">
      <c r="D83" s="2">
        <f t="shared" ca="1" si="15"/>
        <v>45513.066174537038</v>
      </c>
      <c r="E83" s="2">
        <f t="shared" ca="1" si="16"/>
        <v>0</v>
      </c>
      <c r="F83" s="80"/>
      <c r="G83" s="80" t="str">
        <f>IF(ISBLANK(F83), "", VLOOKUP(VLOOKUP(F83, NHLTeams!$B$2:$F$33, 4,FALSE), Conferences!$A$2:$B$3, 2,FALSE))</f>
        <v/>
      </c>
      <c r="H83" s="80" t="str">
        <f>IF(ISBLANK(F83), "", VLOOKUP(VLOOKUP(F83, NHLTeams!$B$2:$F$33, 5, FALSE), Divisions!$A$2:$B$5, 2, FALSE))</f>
        <v/>
      </c>
    </row>
    <row r="84" spans="4:44" x14ac:dyDescent="0.25">
      <c r="D84" s="2">
        <f t="shared" ca="1" si="15"/>
        <v>45513.066174537038</v>
      </c>
      <c r="E84" s="2">
        <f t="shared" ca="1" si="16"/>
        <v>0</v>
      </c>
      <c r="F84" s="80"/>
      <c r="G84" s="80" t="str">
        <f>IF(ISBLANK(F84), "", VLOOKUP(VLOOKUP(F84, NHLTeams!$B$2:$F$33, 4,FALSE), Conferences!$A$2:$B$3, 2,FALSE))</f>
        <v/>
      </c>
      <c r="H84" s="80" t="str">
        <f>IF(ISBLANK(F84), "", VLOOKUP(VLOOKUP(F84, NHLTeams!$B$2:$F$33, 5, FALSE), Divisions!$A$2:$B$5, 2, FALSE))</f>
        <v/>
      </c>
    </row>
    <row r="85" spans="4:44" x14ac:dyDescent="0.25">
      <c r="D85" s="2">
        <f t="shared" ca="1" si="15"/>
        <v>45513.066174537038</v>
      </c>
      <c r="E85" s="2">
        <f t="shared" ca="1" si="16"/>
        <v>0</v>
      </c>
      <c r="F85" s="80"/>
      <c r="G85" s="80" t="str">
        <f>IF(ISBLANK(F85), "", VLOOKUP(VLOOKUP(F85, NHLTeams!$B$2:$F$33, 4,FALSE), Conferences!$A$2:$B$3, 2,FALSE))</f>
        <v/>
      </c>
      <c r="H85" s="80" t="str">
        <f>IF(ISBLANK(F85), "", VLOOKUP(VLOOKUP(F85, NHLTeams!$B$2:$F$33, 5, FALSE), Divisions!$A$2:$B$5, 2, FALSE))</f>
        <v/>
      </c>
    </row>
    <row r="86" spans="4:44" x14ac:dyDescent="0.25">
      <c r="D86" s="2">
        <f t="shared" ca="1" si="15"/>
        <v>45513.066174537038</v>
      </c>
      <c r="E86" s="2">
        <f t="shared" ca="1" si="16"/>
        <v>0</v>
      </c>
      <c r="F86" s="80"/>
      <c r="G86" s="80" t="str">
        <f>IF(ISBLANK(F86), "", VLOOKUP(VLOOKUP(F86, NHLTeams!$B$2:$F$33, 4,FALSE), Conferences!$A$2:$B$3, 2,FALSE))</f>
        <v/>
      </c>
      <c r="H86" s="80" t="str">
        <f>IF(ISBLANK(F86), "", VLOOKUP(VLOOKUP(F86, NHLTeams!$B$2:$F$33, 5, FALSE), Divisions!$A$2:$B$5, 2, FALSE))</f>
        <v/>
      </c>
    </row>
    <row r="87" spans="4:44" x14ac:dyDescent="0.25">
      <c r="D87" s="2">
        <f t="shared" ca="1" si="15"/>
        <v>45513.066174537038</v>
      </c>
      <c r="E87" s="2">
        <f t="shared" ca="1" si="16"/>
        <v>0</v>
      </c>
      <c r="F87" s="80"/>
      <c r="G87" s="80" t="str">
        <f>IF(ISBLANK(F87), "", VLOOKUP(VLOOKUP(F87, NHLTeams!$B$2:$F$33, 4,FALSE), Conferences!$A$2:$B$3, 2,FALSE))</f>
        <v/>
      </c>
      <c r="H87" s="80" t="str">
        <f>IF(ISBLANK(F87), "", VLOOKUP(VLOOKUP(F87, NHLTeams!$B$2:$F$33, 5, FALSE), Divisions!$A$2:$B$5, 2, FALSE))</f>
        <v/>
      </c>
    </row>
    <row r="88" spans="4:44" x14ac:dyDescent="0.25">
      <c r="D88" s="2">
        <f t="shared" ca="1" si="15"/>
        <v>45513.066174537038</v>
      </c>
      <c r="E88" s="2">
        <f t="shared" ca="1" si="16"/>
        <v>0</v>
      </c>
      <c r="F88" s="80"/>
      <c r="G88" s="80" t="str">
        <f>IF(ISBLANK(F88), "", VLOOKUP(VLOOKUP(F88, NHLTeams!$B$2:$F$33, 4,FALSE), Conferences!$A$2:$B$3, 2,FALSE))</f>
        <v/>
      </c>
      <c r="H88" s="80" t="str">
        <f>IF(ISBLANK(F88), "", VLOOKUP(VLOOKUP(F88, NHLTeams!$B$2:$F$33, 5, FALSE), Divisions!$A$2:$B$5, 2, FALSE))</f>
        <v/>
      </c>
    </row>
    <row r="89" spans="4:44" x14ac:dyDescent="0.25">
      <c r="D89" s="2">
        <f t="shared" ca="1" si="15"/>
        <v>45513.066174537038</v>
      </c>
      <c r="E89" s="2">
        <f t="shared" ca="1" si="16"/>
        <v>0</v>
      </c>
      <c r="F89" s="80"/>
      <c r="G89" s="80" t="str">
        <f>IF(ISBLANK(F89), "", VLOOKUP(VLOOKUP(F89, NHLTeams!$B$2:$F$33, 4,FALSE), Conferences!$A$2:$B$3, 2,FALSE))</f>
        <v/>
      </c>
      <c r="H89" s="80" t="str">
        <f>IF(ISBLANK(F89), "", VLOOKUP(VLOOKUP(F89, NHLTeams!$B$2:$F$33, 5, FALSE), Divisions!$A$2:$B$5, 2, FALSE))</f>
        <v/>
      </c>
    </row>
    <row r="90" spans="4:44" x14ac:dyDescent="0.25">
      <c r="D90" s="2">
        <f t="shared" ca="1" si="15"/>
        <v>45513.066174537038</v>
      </c>
      <c r="E90" s="2">
        <f t="shared" ca="1" si="16"/>
        <v>0</v>
      </c>
      <c r="F90" s="80"/>
      <c r="G90" s="80" t="str">
        <f>IF(ISBLANK(F90), "", VLOOKUP(VLOOKUP(F90, NHLTeams!$B$2:$F$33, 4,FALSE), Conferences!$A$2:$B$3, 2,FALSE))</f>
        <v/>
      </c>
      <c r="H90" s="80" t="str">
        <f>IF(ISBLANK(F90), "", VLOOKUP(VLOOKUP(F90, NHLTeams!$B$2:$F$33, 5, FALSE), Divisions!$A$2:$B$5, 2, FALSE))</f>
        <v/>
      </c>
    </row>
    <row r="91" spans="4:44" x14ac:dyDescent="0.25">
      <c r="D91" s="2">
        <f t="shared" ca="1" si="15"/>
        <v>45513.066174537038</v>
      </c>
      <c r="E91" s="2">
        <f t="shared" ca="1" si="16"/>
        <v>0</v>
      </c>
      <c r="F91" s="80"/>
      <c r="G91" s="80" t="str">
        <f>IF(ISBLANK(F91), "", VLOOKUP(VLOOKUP(F91, NHLTeams!$B$2:$F$33, 4,FALSE), Conferences!$A$2:$B$3, 2,FALSE))</f>
        <v/>
      </c>
      <c r="H91" s="80" t="str">
        <f>IF(ISBLANK(F91), "", VLOOKUP(VLOOKUP(F91, NHLTeams!$B$2:$F$33, 5, FALSE), Divisions!$A$2:$B$5, 2, FALSE))</f>
        <v/>
      </c>
    </row>
    <row r="92" spans="4:44" x14ac:dyDescent="0.25">
      <c r="D92" s="2">
        <f t="shared" ca="1" si="15"/>
        <v>45513.066174537038</v>
      </c>
      <c r="E92" s="2">
        <f t="shared" ca="1" si="16"/>
        <v>0</v>
      </c>
      <c r="F92" s="80"/>
      <c r="G92" s="80" t="str">
        <f>IF(ISBLANK(F92), "", VLOOKUP(VLOOKUP(F92, NHLTeams!$B$2:$F$33, 4,FALSE), Conferences!$A$2:$B$3, 2,FALSE))</f>
        <v/>
      </c>
      <c r="H92" s="80" t="str">
        <f>IF(ISBLANK(F92), "", VLOOKUP(VLOOKUP(F92, NHLTeams!$B$2:$F$33, 5, FALSE), Divisions!$A$2:$B$5, 2, FALSE))</f>
        <v/>
      </c>
    </row>
    <row r="93" spans="4:44" x14ac:dyDescent="0.25">
      <c r="D93" s="2">
        <f t="shared" ca="1" si="15"/>
        <v>45513.066174537038</v>
      </c>
      <c r="E93" s="2">
        <f t="shared" ca="1" si="16"/>
        <v>0</v>
      </c>
      <c r="F93" s="80"/>
      <c r="G93" s="80" t="str">
        <f>IF(ISBLANK(F93), "", VLOOKUP(VLOOKUP(F93, NHLTeams!$B$2:$F$33, 4,FALSE), Conferences!$A$2:$B$3, 2,FALSE))</f>
        <v/>
      </c>
      <c r="H93" s="80" t="str">
        <f>IF(ISBLANK(F93), "", VLOOKUP(VLOOKUP(F93, NHLTeams!$B$2:$F$33, 5, FALSE), Divisions!$A$2:$B$5, 2, FALSE))</f>
        <v/>
      </c>
    </row>
    <row r="94" spans="4:44" x14ac:dyDescent="0.25">
      <c r="D94" s="2">
        <f t="shared" ca="1" si="15"/>
        <v>45513.066174537038</v>
      </c>
      <c r="E94" s="2">
        <f t="shared" ca="1" si="16"/>
        <v>0</v>
      </c>
      <c r="F94" s="80"/>
      <c r="G94" s="80" t="str">
        <f>IF(ISBLANK(F94), "", VLOOKUP(VLOOKUP(F94, NHLTeams!$B$2:$F$33, 4,FALSE), Conferences!$A$2:$B$3, 2,FALSE))</f>
        <v/>
      </c>
      <c r="H94" s="80" t="str">
        <f>IF(ISBLANK(F94), "", VLOOKUP(VLOOKUP(F94, NHLTeams!$B$2:$F$33, 5, FALSE), Divisions!$A$2:$B$5, 2, FALSE))</f>
        <v/>
      </c>
    </row>
    <row r="95" spans="4:44" x14ac:dyDescent="0.25">
      <c r="D95" s="2">
        <f t="shared" ca="1" si="15"/>
        <v>45513.066174537038</v>
      </c>
      <c r="E95" s="2">
        <f t="shared" ca="1" si="16"/>
        <v>0</v>
      </c>
      <c r="F95" s="80"/>
      <c r="G95" s="80" t="str">
        <f>IF(ISBLANK(F95), "", VLOOKUP(VLOOKUP(F95, NHLTeams!$B$2:$F$33, 4,FALSE), Conferences!$A$2:$B$3, 2,FALSE))</f>
        <v/>
      </c>
      <c r="H95" s="80" t="str">
        <f>IF(ISBLANK(F95), "", VLOOKUP(VLOOKUP(F95, NHLTeams!$B$2:$F$33, 5, FALSE), Divisions!$A$2:$B$5, 2, FALSE))</f>
        <v/>
      </c>
    </row>
    <row r="96" spans="4:44" x14ac:dyDescent="0.25">
      <c r="D96" s="2">
        <f t="shared" ca="1" si="15"/>
        <v>45513.066174537038</v>
      </c>
      <c r="E96" s="2">
        <f t="shared" ca="1" si="16"/>
        <v>0</v>
      </c>
      <c r="F96" s="80"/>
      <c r="G96" s="80" t="str">
        <f>IF(ISBLANK(F96), "", VLOOKUP(VLOOKUP(F96, NHLTeams!$B$2:$F$33, 4,FALSE), Conferences!$A$2:$B$3, 2,FALSE))</f>
        <v/>
      </c>
      <c r="H96" s="80" t="str">
        <f>IF(ISBLANK(F96), "", VLOOKUP(VLOOKUP(F96, NHLTeams!$B$2:$F$33, 5, FALSE), Divisions!$A$2:$B$5, 2, FALSE))</f>
        <v/>
      </c>
    </row>
    <row r="97" spans="4:8" x14ac:dyDescent="0.25">
      <c r="D97" s="2">
        <f t="shared" ca="1" si="15"/>
        <v>45513.066174537038</v>
      </c>
      <c r="E97" s="2">
        <f t="shared" ca="1" si="16"/>
        <v>0</v>
      </c>
      <c r="F97" s="80"/>
      <c r="G97" s="80" t="str">
        <f>IF(ISBLANK(F97), "", VLOOKUP(VLOOKUP(F97, NHLTeams!$B$2:$F$33, 4,FALSE), Conferences!$A$2:$B$3, 2,FALSE))</f>
        <v/>
      </c>
      <c r="H97" s="80" t="str">
        <f>IF(ISBLANK(F97), "", VLOOKUP(VLOOKUP(F97, NHLTeams!$B$2:$F$33, 5, FALSE), Divisions!$A$2:$B$5, 2, FALSE))</f>
        <v/>
      </c>
    </row>
    <row r="98" spans="4:8" x14ac:dyDescent="0.25">
      <c r="D98" s="2">
        <f t="shared" ca="1" si="15"/>
        <v>45513.066174537038</v>
      </c>
      <c r="E98" s="2">
        <f t="shared" ca="1" si="16"/>
        <v>0</v>
      </c>
      <c r="F98" s="80"/>
      <c r="G98" s="80" t="str">
        <f>IF(ISBLANK(F98), "", VLOOKUP(VLOOKUP(F98, NHLTeams!$B$2:$F$33, 4,FALSE), Conferences!$A$2:$B$3, 2,FALSE))</f>
        <v/>
      </c>
      <c r="H98" s="80" t="str">
        <f>IF(ISBLANK(F98), "", VLOOKUP(VLOOKUP(F98, NHLTeams!$B$2:$F$33, 5, FALSE), Divisions!$A$2:$B$5, 2, FALSE))</f>
        <v/>
      </c>
    </row>
    <row r="99" spans="4:8" x14ac:dyDescent="0.25">
      <c r="D99" s="2">
        <f t="shared" ca="1" si="15"/>
        <v>45513.066174537038</v>
      </c>
      <c r="E99" s="2">
        <f t="shared" ca="1" si="16"/>
        <v>0</v>
      </c>
      <c r="F99" s="80"/>
      <c r="G99" s="80" t="str">
        <f>IF(ISBLANK(F99), "", VLOOKUP(VLOOKUP(F99, NHLTeams!$B$2:$F$33, 4,FALSE), Conferences!$A$2:$B$3, 2,FALSE))</f>
        <v/>
      </c>
      <c r="H99" s="80" t="str">
        <f>IF(ISBLANK(F99), "", VLOOKUP(VLOOKUP(F99, NHLTeams!$B$2:$F$33, 5, FALSE), Divisions!$A$2:$B$5, 2, FALSE))</f>
        <v/>
      </c>
    </row>
    <row r="100" spans="4:8" x14ac:dyDescent="0.25">
      <c r="D100" s="2">
        <f t="shared" ca="1" si="15"/>
        <v>45513.066174537038</v>
      </c>
      <c r="E100" s="2">
        <f t="shared" ca="1" si="16"/>
        <v>0</v>
      </c>
      <c r="F100" s="80"/>
      <c r="G100" s="80" t="str">
        <f>IF(ISBLANK(F100), "", VLOOKUP(VLOOKUP(F100, NHLTeams!$B$2:$F$33, 4,FALSE), Conferences!$A$2:$B$3, 2,FALSE))</f>
        <v/>
      </c>
      <c r="H100" s="80" t="str">
        <f>IF(ISBLANK(F100), "", VLOOKUP(VLOOKUP(F100, NHLTeams!$B$2:$F$33, 5, FALSE), Divisions!$A$2:$B$5, 2, FALSE))</f>
        <v/>
      </c>
    </row>
    <row r="101" spans="4:8" x14ac:dyDescent="0.25">
      <c r="D101" s="2">
        <f t="shared" ca="1" si="15"/>
        <v>45513.066174537038</v>
      </c>
      <c r="E101" s="2">
        <f t="shared" ca="1" si="16"/>
        <v>0</v>
      </c>
      <c r="F101" s="80"/>
      <c r="G101" s="80" t="str">
        <f>IF(ISBLANK(F101), "", VLOOKUP(VLOOKUP(F101, NHLTeams!$B$2:$F$33, 4,FALSE), Conferences!$A$2:$B$3, 2,FALSE))</f>
        <v/>
      </c>
      <c r="H101" s="80" t="str">
        <f>IF(ISBLANK(F101), "", VLOOKUP(VLOOKUP(F101, NHLTeams!$B$2:$F$33, 5, FALSE), Divisions!$A$2:$B$5, 2, FALSE))</f>
        <v/>
      </c>
    </row>
    <row r="102" spans="4:8" x14ac:dyDescent="0.25">
      <c r="F102" s="80"/>
      <c r="G102" s="80" t="str">
        <f>IF(ISBLANK(F102), "", VLOOKUP(VLOOKUP(F102, NHLTeams!$B$2:$F$33, 4,FALSE), Conferences!$A$2:$B$3, 2,FALSE))</f>
        <v/>
      </c>
      <c r="H102" s="80" t="str">
        <f>IF(ISBLANK(F102), "", VLOOKUP(VLOOKUP(F102, NHLTeams!$B$2:$F$33, 5, FALSE), Divisions!$A$2:$B$5, 2, FALSE))</f>
        <v/>
      </c>
    </row>
    <row r="103" spans="4:8" x14ac:dyDescent="0.25">
      <c r="F103" s="80"/>
      <c r="G103" s="80"/>
      <c r="H103" s="80"/>
    </row>
    <row r="104" spans="4:8" x14ac:dyDescent="0.25">
      <c r="F104" s="80"/>
      <c r="G104" s="80"/>
      <c r="H104" s="80"/>
    </row>
  </sheetData>
  <conditionalFormatting sqref="AK2:AK101">
    <cfRule type="cellIs" dxfId="5" priority="2" operator="greaterThan">
      <formula>35280</formula>
    </cfRule>
    <cfRule type="cellIs" dxfId="4" priority="3" operator="lessThan">
      <formula>34549</formula>
    </cfRule>
    <cfRule type="cellIs" dxfId="3" priority="4" operator="between">
      <formula>34549</formula>
      <formula>35280</formula>
    </cfRule>
  </conditionalFormatting>
  <conditionalFormatting sqref="AR1:AR1048576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204EF-B44D-4DB5-BB2C-B495CB5B6929}">
  <dimension ref="A1:AS3"/>
  <sheetViews>
    <sheetView workbookViewId="0">
      <selection activeCell="L4" sqref="L4"/>
    </sheetView>
  </sheetViews>
  <sheetFormatPr defaultRowHeight="15" x14ac:dyDescent="0.25"/>
  <cols>
    <col min="1" max="3" width="10.42578125" bestFit="1" customWidth="1"/>
  </cols>
  <sheetData>
    <row r="1" spans="1:45" x14ac:dyDescent="0.25">
      <c r="A1" t="s">
        <v>11</v>
      </c>
      <c r="B1" t="s">
        <v>12</v>
      </c>
      <c r="C1" t="s">
        <v>362</v>
      </c>
      <c r="D1" t="s">
        <v>76</v>
      </c>
      <c r="E1" t="s">
        <v>77</v>
      </c>
      <c r="F1" t="s">
        <v>462</v>
      </c>
      <c r="G1" t="s">
        <v>464</v>
      </c>
      <c r="H1" t="s">
        <v>468</v>
      </c>
      <c r="I1" s="80" t="s">
        <v>13</v>
      </c>
      <c r="J1" t="s">
        <v>52</v>
      </c>
      <c r="K1" t="s">
        <v>14</v>
      </c>
      <c r="L1" t="s">
        <v>15</v>
      </c>
      <c r="M1" t="s">
        <v>23</v>
      </c>
      <c r="N1" t="s">
        <v>359</v>
      </c>
      <c r="O1" t="s">
        <v>360</v>
      </c>
      <c r="P1" t="s">
        <v>74</v>
      </c>
      <c r="Q1" t="s">
        <v>16</v>
      </c>
      <c r="R1" t="s">
        <v>18</v>
      </c>
      <c r="S1" t="s">
        <v>19</v>
      </c>
      <c r="T1" t="s">
        <v>299</v>
      </c>
      <c r="U1" s="118" t="s">
        <v>45</v>
      </c>
      <c r="V1" t="s">
        <v>300</v>
      </c>
      <c r="W1" t="s">
        <v>301</v>
      </c>
      <c r="X1" t="s">
        <v>363</v>
      </c>
      <c r="Y1" s="109" t="s">
        <v>364</v>
      </c>
      <c r="Z1" t="s">
        <v>296</v>
      </c>
      <c r="AA1" t="s">
        <v>39</v>
      </c>
      <c r="AB1" t="s">
        <v>40</v>
      </c>
      <c r="AC1" t="s">
        <v>41</v>
      </c>
      <c r="AD1" t="s">
        <v>42</v>
      </c>
      <c r="AE1" t="s">
        <v>49</v>
      </c>
      <c r="AF1" t="s">
        <v>43</v>
      </c>
      <c r="AG1" t="s">
        <v>44</v>
      </c>
      <c r="AH1" t="s">
        <v>17</v>
      </c>
      <c r="AI1" t="s">
        <v>46</v>
      </c>
      <c r="AJ1" t="s">
        <v>47</v>
      </c>
      <c r="AK1" t="s">
        <v>48</v>
      </c>
      <c r="AL1" t="s">
        <v>54</v>
      </c>
      <c r="AM1" t="s">
        <v>55</v>
      </c>
      <c r="AN1" t="s">
        <v>56</v>
      </c>
      <c r="AO1" t="s">
        <v>57</v>
      </c>
      <c r="AP1" t="s">
        <v>335</v>
      </c>
      <c r="AQ1" t="s">
        <v>336</v>
      </c>
      <c r="AR1" s="120" t="s">
        <v>367</v>
      </c>
      <c r="AS1" s="120" t="s">
        <v>448</v>
      </c>
    </row>
    <row r="2" spans="1:45" x14ac:dyDescent="0.25">
      <c r="A2" s="1">
        <v>44928</v>
      </c>
      <c r="B2" s="1">
        <v>44928</v>
      </c>
      <c r="C2" s="1">
        <v>44928</v>
      </c>
      <c r="D2" s="2">
        <f t="shared" ref="D2:D3" ca="1" si="0">IF(ISBLANK(B2), (NOW()-A2), (B2-A2))</f>
        <v>0</v>
      </c>
      <c r="E2" s="2">
        <f t="shared" ref="E2" ca="1" si="1">IF(ISBLANK(B2), 0, NOW()-B2)</f>
        <v>585.06617453703802</v>
      </c>
      <c r="F2" s="2" t="s">
        <v>463</v>
      </c>
      <c r="G2" s="2" t="s">
        <v>465</v>
      </c>
      <c r="H2" s="2" t="s">
        <v>469</v>
      </c>
      <c r="I2" s="12" t="s">
        <v>466</v>
      </c>
      <c r="M2">
        <v>19</v>
      </c>
      <c r="N2">
        <v>0</v>
      </c>
      <c r="O2">
        <v>0</v>
      </c>
      <c r="P2" t="s">
        <v>75</v>
      </c>
      <c r="Q2" t="s">
        <v>4</v>
      </c>
      <c r="R2" t="s">
        <v>3</v>
      </c>
      <c r="S2" t="s">
        <v>20</v>
      </c>
      <c r="T2" t="s">
        <v>286</v>
      </c>
      <c r="U2" s="118">
        <v>56</v>
      </c>
      <c r="V2" t="s">
        <v>302</v>
      </c>
      <c r="W2" t="s">
        <v>303</v>
      </c>
      <c r="X2" t="s">
        <v>374</v>
      </c>
      <c r="Y2" s="109" t="s">
        <v>378</v>
      </c>
      <c r="Z2">
        <v>284.99</v>
      </c>
      <c r="AA2">
        <v>392.8245</v>
      </c>
      <c r="AB2">
        <v>58.486956499999998</v>
      </c>
      <c r="AC2">
        <v>54.484999999999999</v>
      </c>
      <c r="AD2">
        <v>0</v>
      </c>
      <c r="AF2">
        <v>0</v>
      </c>
      <c r="AG2">
        <f t="shared" ref="AG2" si="2">(SUM(AA2:AC2)-AD2)+AF2</f>
        <v>505.79645650000003</v>
      </c>
      <c r="AH2">
        <v>447.31</v>
      </c>
      <c r="AI2">
        <v>1</v>
      </c>
      <c r="AJ2">
        <v>0</v>
      </c>
      <c r="AK2">
        <v>1.3783317399999999</v>
      </c>
      <c r="AL2" s="1">
        <v>35775</v>
      </c>
      <c r="AN2" t="s">
        <v>64</v>
      </c>
      <c r="AP2" t="s">
        <v>347</v>
      </c>
      <c r="AQ2" t="s">
        <v>377</v>
      </c>
      <c r="AR2" s="120">
        <f ca="1">DATE(YEAR(NOW()),MONTH(NOW()), DAY(NOW())) - DATE(YEAR($AL2),MONTH($AL2), DAY($AL2))</f>
        <v>9738</v>
      </c>
      <c r="AS2" s="120">
        <f t="shared" ref="AS2" si="3">IF(ISBLANK($AL2), 0, DATE(YEAR("1995-08-3"),MONTH("1995-08-3"), DAY("1995-08-3")) - DATE(YEAR($AL2),MONTH($AL2), DAY($AL2)))</f>
        <v>-861</v>
      </c>
    </row>
    <row r="3" spans="1:45" x14ac:dyDescent="0.25">
      <c r="A3" s="1">
        <v>45482</v>
      </c>
      <c r="D3" s="2">
        <f t="shared" ca="1" si="0"/>
        <v>31.066174537038023</v>
      </c>
      <c r="F3" s="2" t="s">
        <v>463</v>
      </c>
      <c r="G3" t="s">
        <v>467</v>
      </c>
      <c r="H3" t="s">
        <v>470</v>
      </c>
      <c r="I3" s="12" t="s">
        <v>466</v>
      </c>
      <c r="J3" t="s">
        <v>53</v>
      </c>
      <c r="K3" t="s">
        <v>471</v>
      </c>
      <c r="L3" t="s">
        <v>472</v>
      </c>
    </row>
  </sheetData>
  <conditionalFormatting sqref="AL2">
    <cfRule type="cellIs" dxfId="2" priority="2" operator="greaterThan">
      <formula>35280</formula>
    </cfRule>
    <cfRule type="cellIs" dxfId="1" priority="3" operator="lessThan">
      <formula>34549</formula>
    </cfRule>
    <cfRule type="cellIs" dxfId="0" priority="4" operator="between">
      <formula>34549</formula>
      <formula>35280</formula>
    </cfRule>
  </conditionalFormatting>
  <conditionalFormatting sqref="AS1:AS2">
    <cfRule type="colorScale" priority="1">
      <colorScale>
        <cfvo type="num" val="-730"/>
        <cfvo type="num" val="0"/>
        <cfvo type="num" val="730"/>
        <color theme="5" tint="0.59999389629810485"/>
        <color theme="9"/>
        <color theme="3" tint="0.59999389629810485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C23-D606-47F1-B56F-0023BA547B2D}">
  <dimension ref="A1:J10"/>
  <sheetViews>
    <sheetView workbookViewId="0">
      <selection activeCell="C37" sqref="C37"/>
    </sheetView>
  </sheetViews>
  <sheetFormatPr defaultRowHeight="15" x14ac:dyDescent="0.25"/>
  <cols>
    <col min="7" max="7" width="11.28515625" customWidth="1"/>
  </cols>
  <sheetData>
    <row r="1" spans="1:10" x14ac:dyDescent="0.25">
      <c r="A1" s="119" t="s">
        <v>409</v>
      </c>
    </row>
    <row r="2" spans="1:10" x14ac:dyDescent="0.25">
      <c r="A2" t="s">
        <v>410</v>
      </c>
      <c r="G2" s="119" t="s">
        <v>413</v>
      </c>
      <c r="H2" t="s">
        <v>210</v>
      </c>
      <c r="I2" t="s">
        <v>4</v>
      </c>
      <c r="J2" t="s">
        <v>10</v>
      </c>
    </row>
    <row r="3" spans="1:10" x14ac:dyDescent="0.25">
      <c r="G3" t="s">
        <v>414</v>
      </c>
      <c r="H3" t="s">
        <v>123</v>
      </c>
      <c r="I3" t="s">
        <v>4</v>
      </c>
      <c r="J3" t="s">
        <v>3</v>
      </c>
    </row>
    <row r="4" spans="1:10" x14ac:dyDescent="0.25">
      <c r="G4" t="s">
        <v>415</v>
      </c>
      <c r="H4" t="s">
        <v>137</v>
      </c>
      <c r="I4" t="s">
        <v>4</v>
      </c>
      <c r="J4" t="s">
        <v>270</v>
      </c>
    </row>
    <row r="5" spans="1:10" x14ac:dyDescent="0.25">
      <c r="G5" t="s">
        <v>416</v>
      </c>
      <c r="H5" t="s">
        <v>190</v>
      </c>
    </row>
    <row r="6" spans="1:10" x14ac:dyDescent="0.25">
      <c r="G6" t="s">
        <v>417</v>
      </c>
      <c r="H6" t="s">
        <v>152</v>
      </c>
    </row>
    <row r="7" spans="1:10" x14ac:dyDescent="0.25">
      <c r="G7" t="s">
        <v>418</v>
      </c>
      <c r="H7" t="s">
        <v>97</v>
      </c>
    </row>
    <row r="8" spans="1:10" x14ac:dyDescent="0.25">
      <c r="G8" t="s">
        <v>419</v>
      </c>
      <c r="H8" t="s">
        <v>97</v>
      </c>
    </row>
    <row r="9" spans="1:10" x14ac:dyDescent="0.25">
      <c r="G9" s="119" t="s">
        <v>429</v>
      </c>
    </row>
    <row r="10" spans="1:10" x14ac:dyDescent="0.25">
      <c r="G10" s="119" t="s">
        <v>427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4625-2DAE-4419-BE44-2A1D6CC80305}">
  <sheetPr codeName="Sheet5"/>
  <dimension ref="B5:E27"/>
  <sheetViews>
    <sheetView workbookViewId="0">
      <selection activeCell="E25" sqref="E25"/>
    </sheetView>
  </sheetViews>
  <sheetFormatPr defaultRowHeight="15" x14ac:dyDescent="0.25"/>
  <cols>
    <col min="2" max="2" width="22.28515625" customWidth="1"/>
    <col min="3" max="3" width="8.42578125" bestFit="1" customWidth="1"/>
    <col min="4" max="5" width="10.42578125" bestFit="1" customWidth="1"/>
  </cols>
  <sheetData>
    <row r="5" spans="2:3" x14ac:dyDescent="0.25">
      <c r="B5" t="s">
        <v>271</v>
      </c>
      <c r="C5" s="80">
        <f>CountDistinct(JerseyData!$F$2:$F$102,FALSE)</f>
        <v>32</v>
      </c>
    </row>
    <row r="6" spans="2:3" x14ac:dyDescent="0.25">
      <c r="B6" t="s">
        <v>272</v>
      </c>
      <c r="C6" s="80">
        <f>COUNTA(JerseyData!$F$2:$F$102)</f>
        <v>70</v>
      </c>
    </row>
    <row r="7" spans="2:3" x14ac:dyDescent="0.25">
      <c r="B7" t="s">
        <v>304</v>
      </c>
      <c r="C7">
        <f>SUM(JerseyData!$AF$2:$AF$101)</f>
        <v>7989.1143707371157</v>
      </c>
    </row>
    <row r="9" spans="2:3" ht="15.75" thickBot="1" x14ac:dyDescent="0.3">
      <c r="B9" s="100" t="s">
        <v>305</v>
      </c>
    </row>
    <row r="10" spans="2:3" x14ac:dyDescent="0.25">
      <c r="B10" t="s">
        <v>256</v>
      </c>
      <c r="C10">
        <f>COUNTIF(JerseyData!$G$2:$G$102, B10)</f>
        <v>37</v>
      </c>
    </row>
    <row r="11" spans="2:3" x14ac:dyDescent="0.25">
      <c r="B11" t="s">
        <v>250</v>
      </c>
      <c r="C11">
        <f>COUNTIF(JerseyData!$G$2:$G$102, B11)</f>
        <v>33</v>
      </c>
    </row>
    <row r="13" spans="2:3" ht="15.75" thickBot="1" x14ac:dyDescent="0.3">
      <c r="B13" s="100" t="s">
        <v>306</v>
      </c>
    </row>
    <row r="14" spans="2:3" x14ac:dyDescent="0.25">
      <c r="B14" t="s">
        <v>35</v>
      </c>
      <c r="C14">
        <f>COUNTIF(JerseyData!$H$2:$H$102, B14)</f>
        <v>15</v>
      </c>
    </row>
    <row r="15" spans="2:3" x14ac:dyDescent="0.25">
      <c r="B15" t="s">
        <v>37</v>
      </c>
      <c r="C15">
        <f>COUNTIF(JerseyData!$H$2:$H$102, B15)</f>
        <v>18</v>
      </c>
    </row>
    <row r="16" spans="2:3" x14ac:dyDescent="0.25">
      <c r="B16" t="s">
        <v>38</v>
      </c>
      <c r="C16">
        <f>COUNTIF(JerseyData!$H$2:$H$102, B16)</f>
        <v>14</v>
      </c>
    </row>
    <row r="17" spans="2:5" x14ac:dyDescent="0.25">
      <c r="B17" t="s">
        <v>36</v>
      </c>
      <c r="C17">
        <f>COUNTIF(JerseyData!$H$2:$H$102, B17)</f>
        <v>23</v>
      </c>
    </row>
    <row r="19" spans="2:5" ht="15.75" thickBot="1" x14ac:dyDescent="0.3">
      <c r="B19" s="100" t="s">
        <v>365</v>
      </c>
      <c r="C19" t="s">
        <v>369</v>
      </c>
      <c r="D19" t="s">
        <v>54</v>
      </c>
    </row>
    <row r="20" spans="2:5" x14ac:dyDescent="0.25">
      <c r="B20" t="s">
        <v>367</v>
      </c>
      <c r="D20" s="1">
        <f>MIN(JerseyData!$AK$2:$AK$100)</f>
        <v>22307</v>
      </c>
    </row>
    <row r="21" spans="2:5" x14ac:dyDescent="0.25">
      <c r="B21" t="s">
        <v>366</v>
      </c>
      <c r="D21" s="1">
        <f>MAX(JerseyData!$AK$2:$AK$100)</f>
        <v>36997</v>
      </c>
    </row>
    <row r="22" spans="2:5" x14ac:dyDescent="0.25">
      <c r="B22" t="s">
        <v>368</v>
      </c>
      <c r="D22" s="1">
        <f>AVERAGE(JerseyData!$AK$2:$AK$100)</f>
        <v>33255.157142857141</v>
      </c>
    </row>
    <row r="23" spans="2:5" x14ac:dyDescent="0.25">
      <c r="B23" t="s">
        <v>370</v>
      </c>
      <c r="D23" s="1">
        <f>MIN(ABS(JerseyData!$AK$2:$AK$100 - "1995-08-03"))</f>
        <v>5411</v>
      </c>
    </row>
    <row r="24" spans="2:5" x14ac:dyDescent="0.25">
      <c r="D24" s="1">
        <f>ABS(JerseyData!$AK$2:$AK$100 - DATE(1995,8,3))</f>
        <v>1778</v>
      </c>
    </row>
    <row r="25" spans="2:5" x14ac:dyDescent="0.25">
      <c r="D25" t="e">
        <f>INDEX(JerseyData!$AK$2:$AK$100, MATCH(MIN(ABS(JerseyData!$AK$2:$AK$100 - DATE(1995,8,3))), ABS(JerseyData!$AK$2:$AK$100 - DATE(1995,8,3)), 0))</f>
        <v>#N/A</v>
      </c>
      <c r="E25" s="1">
        <f>MIN(ABS(JerseyData!$AK$2:$AK$100-DATE(1995,8,3)))</f>
        <v>2083</v>
      </c>
    </row>
    <row r="26" spans="2:5" x14ac:dyDescent="0.25">
      <c r="D26" t="e">
        <f>INDEX(A1:Z1, MATCH(MIN(ABS(A1:Z1 - DATE(2022,1,1))), ABS(A1:Z1 - DATE(2022,1,1)), 0))</f>
        <v>#N/A</v>
      </c>
    </row>
    <row r="27" spans="2:5" x14ac:dyDescent="0.25">
      <c r="D27" t="e">
        <f>INDEX(A1:Z1, MATCH(MIN(ABS(A1:Z1 - DATE(2022,1,1))), ABS(A1:Z1 - DATE(2022,1,1)), 0))</f>
        <v>#N/A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2663-68D1-4DFA-A88F-653DB8565129}">
  <sheetPr codeName="Sheet2"/>
  <dimension ref="A1:L33"/>
  <sheetViews>
    <sheetView workbookViewId="0">
      <selection activeCell="G22" sqref="G22"/>
    </sheetView>
  </sheetViews>
  <sheetFormatPr defaultRowHeight="15" x14ac:dyDescent="0.25"/>
  <cols>
    <col min="1" max="1" width="3" bestFit="1" customWidth="1"/>
    <col min="2" max="2" width="21.42578125" bestFit="1" customWidth="1"/>
    <col min="3" max="3" width="16" bestFit="1" customWidth="1"/>
    <col min="4" max="4" width="38.5703125" bestFit="1" customWidth="1"/>
    <col min="5" max="5" width="11.28515625" bestFit="1" customWidth="1"/>
    <col min="6" max="6" width="8.140625" bestFit="1" customWidth="1"/>
    <col min="7" max="8" width="8.85546875" bestFit="1" customWidth="1"/>
    <col min="9" max="10" width="9.42578125" bestFit="1" customWidth="1"/>
    <col min="11" max="12" width="8.85546875" bestFit="1" customWidth="1"/>
  </cols>
  <sheetData>
    <row r="1" spans="1:12" x14ac:dyDescent="0.25">
      <c r="A1" s="3" t="s">
        <v>78</v>
      </c>
      <c r="B1" s="3" t="s">
        <v>79</v>
      </c>
      <c r="C1" s="3" t="s">
        <v>80</v>
      </c>
      <c r="D1" s="3" t="s">
        <v>81</v>
      </c>
      <c r="E1" s="3" t="s">
        <v>33</v>
      </c>
      <c r="F1" s="3" t="s">
        <v>34</v>
      </c>
      <c r="G1" s="3" t="s">
        <v>82</v>
      </c>
      <c r="H1" s="3" t="s">
        <v>83</v>
      </c>
      <c r="I1" s="3" t="s">
        <v>84</v>
      </c>
      <c r="J1" s="3" t="s">
        <v>85</v>
      </c>
      <c r="K1" s="3" t="s">
        <v>86</v>
      </c>
      <c r="L1" s="3" t="s">
        <v>87</v>
      </c>
    </row>
    <row r="2" spans="1:12" x14ac:dyDescent="0.25">
      <c r="A2" s="4">
        <v>0</v>
      </c>
      <c r="B2" s="5" t="s">
        <v>88</v>
      </c>
      <c r="C2" s="5" t="s">
        <v>89</v>
      </c>
      <c r="D2" s="5" t="s">
        <v>90</v>
      </c>
      <c r="E2" s="4">
        <v>2</v>
      </c>
      <c r="F2" s="4">
        <v>4</v>
      </c>
      <c r="G2" s="21" t="s">
        <v>91</v>
      </c>
      <c r="H2" s="22" t="s">
        <v>92</v>
      </c>
      <c r="I2" s="23" t="s">
        <v>93</v>
      </c>
      <c r="J2" s="24" t="s">
        <v>94</v>
      </c>
      <c r="K2" s="5" t="s">
        <v>95</v>
      </c>
      <c r="L2" s="5" t="s">
        <v>95</v>
      </c>
    </row>
    <row r="3" spans="1:12" x14ac:dyDescent="0.25">
      <c r="A3" s="4">
        <v>1</v>
      </c>
      <c r="B3" s="5" t="s">
        <v>96</v>
      </c>
      <c r="C3" s="5" t="s">
        <v>97</v>
      </c>
      <c r="D3" s="5" t="s">
        <v>98</v>
      </c>
      <c r="E3" s="4">
        <v>2</v>
      </c>
      <c r="F3" s="4">
        <v>3</v>
      </c>
      <c r="G3" s="78" t="s">
        <v>99</v>
      </c>
      <c r="H3" s="26" t="s">
        <v>100</v>
      </c>
      <c r="I3" s="23" t="s">
        <v>93</v>
      </c>
      <c r="J3" s="5" t="s">
        <v>94</v>
      </c>
      <c r="K3" s="5" t="s">
        <v>95</v>
      </c>
      <c r="L3" s="5" t="s">
        <v>95</v>
      </c>
    </row>
    <row r="4" spans="1:12" x14ac:dyDescent="0.25">
      <c r="A4" s="4">
        <v>2</v>
      </c>
      <c r="B4" s="5" t="s">
        <v>101</v>
      </c>
      <c r="C4" s="5" t="s">
        <v>102</v>
      </c>
      <c r="D4" s="5" t="s">
        <v>103</v>
      </c>
      <c r="E4" s="4">
        <v>1</v>
      </c>
      <c r="F4" s="4">
        <v>1</v>
      </c>
      <c r="G4" s="27" t="s">
        <v>104</v>
      </c>
      <c r="H4" s="25" t="s">
        <v>105</v>
      </c>
      <c r="I4" s="5" t="s">
        <v>94</v>
      </c>
      <c r="J4" s="5" t="s">
        <v>95</v>
      </c>
      <c r="K4" s="5" t="s">
        <v>95</v>
      </c>
      <c r="L4" s="5" t="s">
        <v>95</v>
      </c>
    </row>
    <row r="5" spans="1:12" x14ac:dyDescent="0.25">
      <c r="A5" s="4">
        <v>3</v>
      </c>
      <c r="B5" s="5" t="s">
        <v>106</v>
      </c>
      <c r="C5" s="5" t="s">
        <v>107</v>
      </c>
      <c r="D5" s="5" t="s">
        <v>108</v>
      </c>
      <c r="E5" s="4">
        <v>1</v>
      </c>
      <c r="F5" s="4">
        <v>1</v>
      </c>
      <c r="G5" s="28" t="s">
        <v>109</v>
      </c>
      <c r="H5" s="29" t="s">
        <v>110</v>
      </c>
      <c r="I5" s="30" t="s">
        <v>111</v>
      </c>
      <c r="J5" s="5" t="s">
        <v>94</v>
      </c>
      <c r="K5" s="5" t="s">
        <v>95</v>
      </c>
      <c r="L5" s="5" t="s">
        <v>95</v>
      </c>
    </row>
    <row r="6" spans="1:12" x14ac:dyDescent="0.25">
      <c r="A6" s="4">
        <v>4</v>
      </c>
      <c r="B6" s="5" t="s">
        <v>5</v>
      </c>
      <c r="C6" s="5" t="s">
        <v>123</v>
      </c>
      <c r="D6" s="5" t="s">
        <v>124</v>
      </c>
      <c r="E6" s="4">
        <v>2</v>
      </c>
      <c r="F6" s="4">
        <v>4</v>
      </c>
      <c r="G6" s="31" t="s">
        <v>125</v>
      </c>
      <c r="H6" s="32" t="s">
        <v>126</v>
      </c>
      <c r="I6" s="23" t="s">
        <v>93</v>
      </c>
      <c r="J6" s="5" t="s">
        <v>94</v>
      </c>
      <c r="K6" s="33" t="s">
        <v>127</v>
      </c>
      <c r="L6" s="5" t="s">
        <v>95</v>
      </c>
    </row>
    <row r="7" spans="1:12" x14ac:dyDescent="0.25">
      <c r="A7" s="4">
        <v>5</v>
      </c>
      <c r="B7" s="5" t="s">
        <v>112</v>
      </c>
      <c r="C7" s="5" t="s">
        <v>113</v>
      </c>
      <c r="D7" s="5" t="s">
        <v>114</v>
      </c>
      <c r="E7" s="4">
        <v>1</v>
      </c>
      <c r="F7" s="4">
        <v>2</v>
      </c>
      <c r="G7" s="34" t="s">
        <v>115</v>
      </c>
      <c r="H7" s="25" t="s">
        <v>105</v>
      </c>
      <c r="I7" s="5" t="s">
        <v>94</v>
      </c>
      <c r="J7" s="35" t="s">
        <v>116</v>
      </c>
      <c r="K7" s="5" t="s">
        <v>95</v>
      </c>
      <c r="L7" s="5" t="s">
        <v>95</v>
      </c>
    </row>
    <row r="8" spans="1:12" x14ac:dyDescent="0.25">
      <c r="A8" s="4">
        <v>6</v>
      </c>
      <c r="B8" s="5" t="s">
        <v>128</v>
      </c>
      <c r="C8" s="5" t="s">
        <v>129</v>
      </c>
      <c r="D8" s="5" t="s">
        <v>130</v>
      </c>
      <c r="E8" s="4">
        <v>2</v>
      </c>
      <c r="F8" s="4">
        <v>3</v>
      </c>
      <c r="G8" s="36" t="s">
        <v>131</v>
      </c>
      <c r="H8" s="25" t="s">
        <v>105</v>
      </c>
      <c r="I8" s="5" t="s">
        <v>94</v>
      </c>
      <c r="J8" s="5" t="s">
        <v>95</v>
      </c>
      <c r="K8" s="5" t="s">
        <v>95</v>
      </c>
      <c r="L8" s="5" t="s">
        <v>95</v>
      </c>
    </row>
    <row r="9" spans="1:12" x14ac:dyDescent="0.25">
      <c r="A9" s="4">
        <v>7</v>
      </c>
      <c r="B9" s="5" t="s">
        <v>26</v>
      </c>
      <c r="C9" s="5" t="s">
        <v>132</v>
      </c>
      <c r="D9" s="5" t="s">
        <v>133</v>
      </c>
      <c r="E9" s="4">
        <v>2</v>
      </c>
      <c r="F9" s="4">
        <v>3</v>
      </c>
      <c r="G9" s="76" t="s">
        <v>134</v>
      </c>
      <c r="H9" s="77" t="s">
        <v>135</v>
      </c>
      <c r="I9" s="25" t="s">
        <v>105</v>
      </c>
      <c r="J9" s="5" t="s">
        <v>94</v>
      </c>
      <c r="K9" s="5" t="s">
        <v>95</v>
      </c>
      <c r="L9" s="5" t="s">
        <v>95</v>
      </c>
    </row>
    <row r="10" spans="1:12" x14ac:dyDescent="0.25">
      <c r="A10" s="4">
        <v>8</v>
      </c>
      <c r="B10" s="5" t="s">
        <v>117</v>
      </c>
      <c r="C10" s="5" t="s">
        <v>118</v>
      </c>
      <c r="D10" s="5" t="s">
        <v>119</v>
      </c>
      <c r="E10" s="4">
        <v>1</v>
      </c>
      <c r="F10" s="4">
        <v>2</v>
      </c>
      <c r="G10" s="75" t="s">
        <v>120</v>
      </c>
      <c r="H10" s="37" t="s">
        <v>121</v>
      </c>
      <c r="I10" s="38" t="s">
        <v>122</v>
      </c>
      <c r="J10" s="5" t="s">
        <v>94</v>
      </c>
      <c r="K10" s="5" t="s">
        <v>95</v>
      </c>
      <c r="L10" s="5" t="s">
        <v>95</v>
      </c>
    </row>
    <row r="11" spans="1:12" x14ac:dyDescent="0.25">
      <c r="A11" s="4">
        <v>9</v>
      </c>
      <c r="B11" s="5" t="s">
        <v>136</v>
      </c>
      <c r="C11" s="5" t="s">
        <v>137</v>
      </c>
      <c r="D11" s="5" t="s">
        <v>138</v>
      </c>
      <c r="E11" s="4">
        <v>2</v>
      </c>
      <c r="F11" s="4">
        <v>3</v>
      </c>
      <c r="G11" s="39" t="s">
        <v>139</v>
      </c>
      <c r="H11" s="23" t="s">
        <v>93</v>
      </c>
      <c r="I11" s="5" t="s">
        <v>94</v>
      </c>
      <c r="J11" s="40" t="s">
        <v>140</v>
      </c>
      <c r="K11" s="5" t="s">
        <v>95</v>
      </c>
      <c r="L11" s="5" t="s">
        <v>95</v>
      </c>
    </row>
    <row r="12" spans="1:12" x14ac:dyDescent="0.25">
      <c r="A12" s="4">
        <v>10</v>
      </c>
      <c r="B12" s="5" t="s">
        <v>141</v>
      </c>
      <c r="C12" s="5" t="s">
        <v>142</v>
      </c>
      <c r="D12" s="5" t="s">
        <v>143</v>
      </c>
      <c r="E12" s="4">
        <v>1</v>
      </c>
      <c r="F12" s="4">
        <v>1</v>
      </c>
      <c r="G12" s="70" t="s">
        <v>121</v>
      </c>
      <c r="H12" s="5" t="s">
        <v>94</v>
      </c>
      <c r="I12" s="5" t="s">
        <v>95</v>
      </c>
      <c r="J12" s="5" t="s">
        <v>95</v>
      </c>
      <c r="K12" s="5" t="s">
        <v>95</v>
      </c>
      <c r="L12" s="5" t="s">
        <v>95</v>
      </c>
    </row>
    <row r="13" spans="1:12" x14ac:dyDescent="0.25">
      <c r="A13" s="4">
        <v>11</v>
      </c>
      <c r="B13" s="5" t="s">
        <v>6</v>
      </c>
      <c r="C13" s="5" t="s">
        <v>144</v>
      </c>
      <c r="D13" s="5" t="s">
        <v>145</v>
      </c>
      <c r="E13" s="4">
        <v>2</v>
      </c>
      <c r="F13" s="4">
        <v>4</v>
      </c>
      <c r="G13" s="41" t="s">
        <v>146</v>
      </c>
      <c r="H13" s="28" t="s">
        <v>109</v>
      </c>
      <c r="I13" s="5" t="s">
        <v>94</v>
      </c>
      <c r="J13" s="5" t="s">
        <v>95</v>
      </c>
      <c r="K13" s="5" t="s">
        <v>95</v>
      </c>
      <c r="L13" s="5" t="s">
        <v>95</v>
      </c>
    </row>
    <row r="14" spans="1:12" x14ac:dyDescent="0.25">
      <c r="A14" s="4">
        <v>12</v>
      </c>
      <c r="B14" s="5" t="s">
        <v>0</v>
      </c>
      <c r="C14" s="5" t="s">
        <v>147</v>
      </c>
      <c r="D14" s="5" t="s">
        <v>148</v>
      </c>
      <c r="E14" s="4">
        <v>1</v>
      </c>
      <c r="F14" s="4">
        <v>1</v>
      </c>
      <c r="G14" s="74" t="s">
        <v>125</v>
      </c>
      <c r="H14" s="42" t="s">
        <v>149</v>
      </c>
      <c r="I14" s="25" t="s">
        <v>105</v>
      </c>
      <c r="J14" s="5" t="s">
        <v>94</v>
      </c>
      <c r="K14" s="43" t="s">
        <v>150</v>
      </c>
      <c r="L14" s="5" t="s">
        <v>95</v>
      </c>
    </row>
    <row r="15" spans="1:12" x14ac:dyDescent="0.25">
      <c r="A15" s="4">
        <v>13</v>
      </c>
      <c r="B15" s="5" t="s">
        <v>151</v>
      </c>
      <c r="C15" s="5" t="s">
        <v>152</v>
      </c>
      <c r="D15" s="5" t="s">
        <v>153</v>
      </c>
      <c r="E15" s="4">
        <v>2</v>
      </c>
      <c r="F15" s="4">
        <v>4</v>
      </c>
      <c r="G15" s="64" t="s">
        <v>154</v>
      </c>
      <c r="H15" s="44" t="s">
        <v>155</v>
      </c>
      <c r="I15" s="5" t="s">
        <v>94</v>
      </c>
      <c r="J15" s="23" t="s">
        <v>93</v>
      </c>
      <c r="K15" s="5" t="s">
        <v>95</v>
      </c>
      <c r="L15" s="5" t="s">
        <v>95</v>
      </c>
    </row>
    <row r="16" spans="1:12" x14ac:dyDescent="0.25">
      <c r="A16" s="4">
        <v>14</v>
      </c>
      <c r="B16" s="5" t="s">
        <v>156</v>
      </c>
      <c r="C16" s="5" t="s">
        <v>157</v>
      </c>
      <c r="D16" s="5" t="s">
        <v>158</v>
      </c>
      <c r="E16" s="4">
        <v>2</v>
      </c>
      <c r="F16" s="4">
        <v>3</v>
      </c>
      <c r="G16" s="73" t="s">
        <v>159</v>
      </c>
      <c r="H16" s="45" t="s">
        <v>160</v>
      </c>
      <c r="I16" s="27" t="s">
        <v>104</v>
      </c>
      <c r="J16" s="5" t="s">
        <v>94</v>
      </c>
      <c r="K16" s="5" t="s">
        <v>95</v>
      </c>
      <c r="L16" s="5" t="s">
        <v>95</v>
      </c>
    </row>
    <row r="17" spans="1:12" x14ac:dyDescent="0.25">
      <c r="A17" s="4">
        <v>15</v>
      </c>
      <c r="B17" s="5" t="s">
        <v>25</v>
      </c>
      <c r="C17" s="5" t="s">
        <v>161</v>
      </c>
      <c r="D17" s="5" t="s">
        <v>162</v>
      </c>
      <c r="E17" s="4">
        <v>1</v>
      </c>
      <c r="F17" s="4">
        <v>1</v>
      </c>
      <c r="G17" s="71" t="s">
        <v>163</v>
      </c>
      <c r="H17" s="72" t="s">
        <v>164</v>
      </c>
      <c r="I17" s="5" t="s">
        <v>94</v>
      </c>
      <c r="J17" s="5" t="s">
        <v>95</v>
      </c>
      <c r="K17" s="5" t="s">
        <v>95</v>
      </c>
      <c r="L17" s="5" t="s">
        <v>95</v>
      </c>
    </row>
    <row r="18" spans="1:12" x14ac:dyDescent="0.25">
      <c r="A18" s="4">
        <v>16</v>
      </c>
      <c r="B18" s="5" t="s">
        <v>168</v>
      </c>
      <c r="C18" s="5" t="s">
        <v>169</v>
      </c>
      <c r="D18" s="5" t="s">
        <v>170</v>
      </c>
      <c r="E18" s="4">
        <v>2</v>
      </c>
      <c r="F18" s="4">
        <v>3</v>
      </c>
      <c r="G18" s="27" t="s">
        <v>104</v>
      </c>
      <c r="H18" s="28" t="s">
        <v>109</v>
      </c>
      <c r="I18" s="5" t="s">
        <v>94</v>
      </c>
      <c r="J18" s="5" t="s">
        <v>95</v>
      </c>
      <c r="K18" s="5" t="s">
        <v>95</v>
      </c>
      <c r="L18" s="5" t="s">
        <v>95</v>
      </c>
    </row>
    <row r="19" spans="1:12" x14ac:dyDescent="0.25">
      <c r="A19" s="4">
        <v>17</v>
      </c>
      <c r="B19" s="5" t="s">
        <v>165</v>
      </c>
      <c r="C19" s="5" t="s">
        <v>166</v>
      </c>
      <c r="D19" s="5" t="s">
        <v>167</v>
      </c>
      <c r="E19" s="4">
        <v>1</v>
      </c>
      <c r="F19" s="4">
        <v>2</v>
      </c>
      <c r="G19" s="70" t="s">
        <v>121</v>
      </c>
      <c r="H19" s="25" t="s">
        <v>105</v>
      </c>
      <c r="I19" s="5" t="s">
        <v>94</v>
      </c>
      <c r="J19" s="5" t="s">
        <v>95</v>
      </c>
      <c r="K19" s="5" t="s">
        <v>95</v>
      </c>
      <c r="L19" s="5" t="s">
        <v>95</v>
      </c>
    </row>
    <row r="20" spans="1:12" x14ac:dyDescent="0.25">
      <c r="A20" s="4">
        <v>18</v>
      </c>
      <c r="B20" s="5" t="s">
        <v>171</v>
      </c>
      <c r="C20" s="5" t="s">
        <v>172</v>
      </c>
      <c r="D20" s="5" t="s">
        <v>173</v>
      </c>
      <c r="E20" s="4">
        <v>1</v>
      </c>
      <c r="F20" s="4">
        <v>2</v>
      </c>
      <c r="G20" s="69" t="s">
        <v>174</v>
      </c>
      <c r="H20" s="46" t="s">
        <v>175</v>
      </c>
      <c r="I20" s="5" t="s">
        <v>94</v>
      </c>
      <c r="J20" s="47" t="s">
        <v>176</v>
      </c>
      <c r="K20" s="5" t="s">
        <v>95</v>
      </c>
      <c r="L20" s="5" t="s">
        <v>95</v>
      </c>
    </row>
    <row r="21" spans="1:12" x14ac:dyDescent="0.25">
      <c r="A21" s="4">
        <v>19</v>
      </c>
      <c r="B21" s="5" t="s">
        <v>177</v>
      </c>
      <c r="C21" s="5" t="s">
        <v>178</v>
      </c>
      <c r="D21" s="5" t="s">
        <v>179</v>
      </c>
      <c r="E21" s="4">
        <v>1</v>
      </c>
      <c r="F21" s="4">
        <v>2</v>
      </c>
      <c r="G21" s="68" t="s">
        <v>180</v>
      </c>
      <c r="H21" s="37" t="s">
        <v>121</v>
      </c>
      <c r="I21" s="5" t="s">
        <v>94</v>
      </c>
      <c r="J21" s="5" t="s">
        <v>95</v>
      </c>
      <c r="K21" s="5" t="s">
        <v>95</v>
      </c>
      <c r="L21" s="5" t="s">
        <v>95</v>
      </c>
    </row>
    <row r="22" spans="1:12" x14ac:dyDescent="0.25">
      <c r="A22" s="4">
        <v>20</v>
      </c>
      <c r="B22" s="5" t="s">
        <v>181</v>
      </c>
      <c r="C22" s="5" t="s">
        <v>182</v>
      </c>
      <c r="D22" s="5" t="s">
        <v>183</v>
      </c>
      <c r="E22" s="4">
        <v>1</v>
      </c>
      <c r="F22" s="4">
        <v>1</v>
      </c>
      <c r="G22" s="67" t="s">
        <v>184</v>
      </c>
      <c r="H22" s="25" t="s">
        <v>105</v>
      </c>
      <c r="I22" s="5" t="s">
        <v>94</v>
      </c>
      <c r="J22" s="48" t="s">
        <v>185</v>
      </c>
      <c r="K22" s="5" t="s">
        <v>95</v>
      </c>
      <c r="L22" s="5" t="s">
        <v>95</v>
      </c>
    </row>
    <row r="23" spans="1:12" x14ac:dyDescent="0.25">
      <c r="A23" s="4">
        <v>21</v>
      </c>
      <c r="B23" s="5" t="s">
        <v>186</v>
      </c>
      <c r="C23" s="5" t="s">
        <v>187</v>
      </c>
      <c r="D23" s="5" t="s">
        <v>188</v>
      </c>
      <c r="E23" s="4">
        <v>1</v>
      </c>
      <c r="F23" s="4">
        <v>2</v>
      </c>
      <c r="G23" s="49" t="s">
        <v>189</v>
      </c>
      <c r="H23" s="25" t="s">
        <v>105</v>
      </c>
      <c r="I23" s="5" t="s">
        <v>94</v>
      </c>
      <c r="J23" s="5" t="s">
        <v>95</v>
      </c>
      <c r="K23" s="5" t="s">
        <v>95</v>
      </c>
      <c r="L23" s="5" t="s">
        <v>95</v>
      </c>
    </row>
    <row r="24" spans="1:12" x14ac:dyDescent="0.25">
      <c r="A24" s="4">
        <v>22</v>
      </c>
      <c r="B24" s="5" t="s">
        <v>66</v>
      </c>
      <c r="C24" s="5" t="s">
        <v>190</v>
      </c>
      <c r="D24" s="5" t="s">
        <v>191</v>
      </c>
      <c r="E24" s="4">
        <v>1</v>
      </c>
      <c r="F24" s="4">
        <v>2</v>
      </c>
      <c r="G24" s="27" t="s">
        <v>104</v>
      </c>
      <c r="H24" s="25" t="s">
        <v>105</v>
      </c>
      <c r="I24" s="5" t="s">
        <v>94</v>
      </c>
      <c r="J24" s="5" t="s">
        <v>95</v>
      </c>
      <c r="K24" s="5" t="s">
        <v>95</v>
      </c>
      <c r="L24" s="5" t="s">
        <v>95</v>
      </c>
    </row>
    <row r="25" spans="1:12" x14ac:dyDescent="0.25">
      <c r="A25" s="4">
        <v>23</v>
      </c>
      <c r="B25" s="5" t="s">
        <v>200</v>
      </c>
      <c r="C25" s="5" t="s">
        <v>201</v>
      </c>
      <c r="D25" s="5" t="s">
        <v>202</v>
      </c>
      <c r="E25" s="4">
        <v>2</v>
      </c>
      <c r="F25" s="4">
        <v>4</v>
      </c>
      <c r="G25" s="60" t="s">
        <v>203</v>
      </c>
      <c r="H25" s="50" t="s">
        <v>204</v>
      </c>
      <c r="I25" s="25" t="s">
        <v>105</v>
      </c>
      <c r="J25" s="5" t="s">
        <v>94</v>
      </c>
      <c r="K25" s="5" t="s">
        <v>95</v>
      </c>
      <c r="L25" s="5" t="s">
        <v>95</v>
      </c>
    </row>
    <row r="26" spans="1:12" x14ac:dyDescent="0.25">
      <c r="A26" s="4">
        <v>24</v>
      </c>
      <c r="B26" s="5" t="s">
        <v>192</v>
      </c>
      <c r="C26" s="5" t="s">
        <v>193</v>
      </c>
      <c r="D26" s="5" t="s">
        <v>194</v>
      </c>
      <c r="E26" s="4">
        <v>2</v>
      </c>
      <c r="F26" s="4">
        <v>4</v>
      </c>
      <c r="G26" s="61" t="s">
        <v>195</v>
      </c>
      <c r="H26" s="51" t="s">
        <v>196</v>
      </c>
      <c r="I26" s="52" t="s">
        <v>197</v>
      </c>
      <c r="J26" s="53" t="s">
        <v>198</v>
      </c>
      <c r="K26" s="5" t="s">
        <v>94</v>
      </c>
      <c r="L26" s="54" t="s">
        <v>199</v>
      </c>
    </row>
    <row r="27" spans="1:12" x14ac:dyDescent="0.25">
      <c r="A27" s="4">
        <v>25</v>
      </c>
      <c r="B27" s="5" t="s">
        <v>205</v>
      </c>
      <c r="C27" s="5" t="s">
        <v>206</v>
      </c>
      <c r="D27" s="5" t="s">
        <v>207</v>
      </c>
      <c r="E27" s="4">
        <v>2</v>
      </c>
      <c r="F27" s="4">
        <v>3</v>
      </c>
      <c r="G27" s="62" t="s">
        <v>208</v>
      </c>
      <c r="H27" s="29" t="s">
        <v>110</v>
      </c>
      <c r="I27" s="28" t="s">
        <v>109</v>
      </c>
      <c r="J27" s="5" t="s">
        <v>94</v>
      </c>
      <c r="K27" s="5" t="s">
        <v>95</v>
      </c>
      <c r="L27" s="5" t="s">
        <v>95</v>
      </c>
    </row>
    <row r="28" spans="1:12" x14ac:dyDescent="0.25">
      <c r="A28" s="4">
        <v>26</v>
      </c>
      <c r="B28" s="5" t="s">
        <v>209</v>
      </c>
      <c r="C28" s="5" t="s">
        <v>210</v>
      </c>
      <c r="D28" s="5" t="s">
        <v>211</v>
      </c>
      <c r="E28" s="4">
        <v>1</v>
      </c>
      <c r="F28" s="4">
        <v>1</v>
      </c>
      <c r="G28" s="63" t="s">
        <v>212</v>
      </c>
      <c r="H28" s="23" t="s">
        <v>93</v>
      </c>
      <c r="I28" s="5" t="s">
        <v>94</v>
      </c>
      <c r="J28" s="35" t="s">
        <v>116</v>
      </c>
      <c r="K28" s="5" t="s">
        <v>95</v>
      </c>
      <c r="L28" s="5" t="s">
        <v>95</v>
      </c>
    </row>
    <row r="29" spans="1:12" x14ac:dyDescent="0.25">
      <c r="A29" s="4">
        <v>27</v>
      </c>
      <c r="B29" s="5" t="s">
        <v>67</v>
      </c>
      <c r="C29" s="5" t="s">
        <v>213</v>
      </c>
      <c r="D29" s="5" t="s">
        <v>214</v>
      </c>
      <c r="E29" s="4">
        <v>1</v>
      </c>
      <c r="F29" s="4">
        <v>1</v>
      </c>
      <c r="G29" s="64" t="s">
        <v>154</v>
      </c>
      <c r="H29" s="5" t="s">
        <v>94</v>
      </c>
      <c r="I29" s="66" t="s">
        <v>215</v>
      </c>
      <c r="J29" s="5" t="s">
        <v>95</v>
      </c>
      <c r="K29" s="5" t="s">
        <v>95</v>
      </c>
      <c r="L29" s="5" t="s">
        <v>95</v>
      </c>
    </row>
    <row r="30" spans="1:12" x14ac:dyDescent="0.25">
      <c r="A30" s="4">
        <v>28</v>
      </c>
      <c r="B30" s="5" t="s">
        <v>216</v>
      </c>
      <c r="C30" s="5" t="s">
        <v>217</v>
      </c>
      <c r="D30" s="5" t="s">
        <v>218</v>
      </c>
      <c r="E30" s="4">
        <v>2</v>
      </c>
      <c r="F30" s="4">
        <v>4</v>
      </c>
      <c r="G30" s="65" t="s">
        <v>219</v>
      </c>
      <c r="H30" s="55" t="s">
        <v>220</v>
      </c>
      <c r="I30" s="56" t="s">
        <v>221</v>
      </c>
      <c r="J30" s="5" t="s">
        <v>94</v>
      </c>
      <c r="K30" s="5" t="s">
        <v>95</v>
      </c>
      <c r="L30" s="5" t="s">
        <v>95</v>
      </c>
    </row>
    <row r="31" spans="1:12" x14ac:dyDescent="0.25">
      <c r="A31" s="4">
        <v>29</v>
      </c>
      <c r="B31" s="5" t="s">
        <v>222</v>
      </c>
      <c r="C31" s="5" t="s">
        <v>223</v>
      </c>
      <c r="D31" s="5" t="s">
        <v>224</v>
      </c>
      <c r="E31" s="4">
        <v>2</v>
      </c>
      <c r="F31" s="4">
        <v>4</v>
      </c>
      <c r="G31" s="57" t="s">
        <v>225</v>
      </c>
      <c r="H31" s="58" t="s">
        <v>226</v>
      </c>
      <c r="I31" s="31" t="s">
        <v>125</v>
      </c>
      <c r="J31" s="25" t="s">
        <v>105</v>
      </c>
      <c r="K31" s="5" t="s">
        <v>94</v>
      </c>
      <c r="L31" s="5" t="s">
        <v>95</v>
      </c>
    </row>
    <row r="32" spans="1:12" x14ac:dyDescent="0.25">
      <c r="A32" s="4">
        <v>30</v>
      </c>
      <c r="B32" s="5" t="s">
        <v>24</v>
      </c>
      <c r="C32" s="5" t="s">
        <v>231</v>
      </c>
      <c r="D32" s="5" t="s">
        <v>232</v>
      </c>
      <c r="E32" s="4">
        <v>1</v>
      </c>
      <c r="F32" s="4">
        <v>2</v>
      </c>
      <c r="G32" s="31" t="s">
        <v>125</v>
      </c>
      <c r="H32" s="28" t="s">
        <v>109</v>
      </c>
      <c r="I32" s="5" t="s">
        <v>94</v>
      </c>
      <c r="J32" s="40" t="s">
        <v>140</v>
      </c>
      <c r="K32" s="5" t="s">
        <v>95</v>
      </c>
      <c r="L32" s="5" t="s">
        <v>95</v>
      </c>
    </row>
    <row r="33" spans="1:12" x14ac:dyDescent="0.25">
      <c r="A33" s="4">
        <v>31</v>
      </c>
      <c r="B33" s="5" t="s">
        <v>65</v>
      </c>
      <c r="C33" s="5" t="s">
        <v>227</v>
      </c>
      <c r="D33" s="5" t="s">
        <v>228</v>
      </c>
      <c r="E33" s="4">
        <v>2</v>
      </c>
      <c r="F33" s="4">
        <v>3</v>
      </c>
      <c r="G33" s="28" t="s">
        <v>109</v>
      </c>
      <c r="H33" s="79" t="s">
        <v>229</v>
      </c>
      <c r="I33" s="59" t="s">
        <v>230</v>
      </c>
      <c r="J33" s="5" t="s">
        <v>94</v>
      </c>
      <c r="K33" s="5" t="s">
        <v>95</v>
      </c>
      <c r="L33" s="5" t="s">
        <v>95</v>
      </c>
    </row>
  </sheetData>
  <sortState xmlns:xlrd2="http://schemas.microsoft.com/office/spreadsheetml/2017/richdata2" ref="A2:L33">
    <sortCondition ref="A2:A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7365-40BF-49E7-8EBE-D1BE4450240F}">
  <sheetPr codeName="Sheet3"/>
  <dimension ref="A1:G5"/>
  <sheetViews>
    <sheetView workbookViewId="0">
      <selection activeCell="A2" sqref="A2"/>
    </sheetView>
  </sheetViews>
  <sheetFormatPr defaultRowHeight="15" x14ac:dyDescent="0.25"/>
  <cols>
    <col min="1" max="1" width="2.7109375" bestFit="1" customWidth="1"/>
    <col min="2" max="2" width="12.5703125" bestFit="1" customWidth="1"/>
    <col min="3" max="3" width="36" bestFit="1" customWidth="1"/>
    <col min="4" max="4" width="9.42578125" bestFit="1" customWidth="1"/>
    <col min="5" max="5" width="9.140625" bestFit="1" customWidth="1"/>
    <col min="6" max="6" width="9.28515625" bestFit="1" customWidth="1"/>
    <col min="7" max="7" width="8.42578125" bestFit="1" customWidth="1"/>
  </cols>
  <sheetData>
    <row r="1" spans="1:7" x14ac:dyDescent="0.25">
      <c r="A1" s="6" t="s">
        <v>34</v>
      </c>
      <c r="B1" s="6" t="s">
        <v>233</v>
      </c>
      <c r="C1" s="6" t="s">
        <v>234</v>
      </c>
      <c r="D1" s="6" t="s">
        <v>235</v>
      </c>
      <c r="E1" s="6" t="s">
        <v>236</v>
      </c>
      <c r="F1" s="6" t="s">
        <v>237</v>
      </c>
      <c r="G1" s="6" t="s">
        <v>238</v>
      </c>
    </row>
    <row r="2" spans="1:7" x14ac:dyDescent="0.25">
      <c r="A2" s="7">
        <v>1</v>
      </c>
      <c r="B2" s="8" t="s">
        <v>35</v>
      </c>
      <c r="C2" s="8" t="s">
        <v>239</v>
      </c>
      <c r="D2" s="87" t="s">
        <v>240</v>
      </c>
      <c r="E2" s="92" t="s">
        <v>241</v>
      </c>
      <c r="F2" s="91" t="s">
        <v>242</v>
      </c>
      <c r="G2" s="86" t="s">
        <v>94</v>
      </c>
    </row>
    <row r="3" spans="1:7" x14ac:dyDescent="0.25">
      <c r="A3" s="7">
        <v>2</v>
      </c>
      <c r="B3" s="8" t="s">
        <v>37</v>
      </c>
      <c r="C3" s="8" t="s">
        <v>243</v>
      </c>
      <c r="D3" s="88" t="s">
        <v>244</v>
      </c>
      <c r="E3" s="92" t="s">
        <v>241</v>
      </c>
      <c r="F3" s="91" t="s">
        <v>242</v>
      </c>
      <c r="G3" s="8" t="s">
        <v>94</v>
      </c>
    </row>
    <row r="4" spans="1:7" x14ac:dyDescent="0.25">
      <c r="A4" s="7">
        <v>3</v>
      </c>
      <c r="B4" s="86" t="s">
        <v>38</v>
      </c>
      <c r="C4" s="8" t="s">
        <v>245</v>
      </c>
      <c r="D4" s="89" t="s">
        <v>246</v>
      </c>
      <c r="E4" s="92" t="s">
        <v>241</v>
      </c>
      <c r="F4" s="91" t="s">
        <v>242</v>
      </c>
      <c r="G4" s="8" t="s">
        <v>94</v>
      </c>
    </row>
    <row r="5" spans="1:7" x14ac:dyDescent="0.25">
      <c r="A5" s="7">
        <v>4</v>
      </c>
      <c r="B5" s="8" t="s">
        <v>36</v>
      </c>
      <c r="C5" s="8" t="s">
        <v>247</v>
      </c>
      <c r="D5" s="90" t="s">
        <v>248</v>
      </c>
      <c r="E5" s="92" t="s">
        <v>241</v>
      </c>
      <c r="F5" s="91" t="s">
        <v>242</v>
      </c>
      <c r="G5" s="8" t="s">
        <v>94</v>
      </c>
    </row>
  </sheetData>
  <sortState xmlns:xlrd2="http://schemas.microsoft.com/office/spreadsheetml/2017/richdata2" ref="A2:G5">
    <sortCondition ref="A2:A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EB2F-ECAF-4C57-8F1A-6A867E9C00B9}">
  <sheetPr codeName="Sheet4"/>
  <dimension ref="A1:G3"/>
  <sheetViews>
    <sheetView workbookViewId="0">
      <selection activeCell="A2" sqref="A2"/>
    </sheetView>
  </sheetViews>
  <sheetFormatPr defaultRowHeight="15" x14ac:dyDescent="0.25"/>
  <cols>
    <col min="1" max="1" width="2.7109375" bestFit="1" customWidth="1"/>
    <col min="2" max="2" width="16.42578125" bestFit="1" customWidth="1"/>
    <col min="3" max="3" width="36.42578125" bestFit="1" customWidth="1"/>
    <col min="4" max="4" width="9.5703125" bestFit="1" customWidth="1"/>
    <col min="5" max="5" width="8.42578125" bestFit="1" customWidth="1"/>
    <col min="6" max="6" width="9.5703125" bestFit="1" customWidth="1"/>
    <col min="7" max="7" width="10" customWidth="1"/>
  </cols>
  <sheetData>
    <row r="1" spans="1:7" x14ac:dyDescent="0.25">
      <c r="A1" s="9" t="s">
        <v>33</v>
      </c>
      <c r="B1" s="9" t="s">
        <v>249</v>
      </c>
      <c r="C1" s="9" t="s">
        <v>234</v>
      </c>
      <c r="D1" s="9" t="s">
        <v>235</v>
      </c>
      <c r="E1" s="9" t="s">
        <v>236</v>
      </c>
      <c r="F1" s="9" t="s">
        <v>237</v>
      </c>
      <c r="G1" s="9" t="s">
        <v>238</v>
      </c>
    </row>
    <row r="2" spans="1:7" x14ac:dyDescent="0.25">
      <c r="A2" s="10">
        <v>1</v>
      </c>
      <c r="B2" s="11" t="s">
        <v>250</v>
      </c>
      <c r="C2" s="11" t="s">
        <v>251</v>
      </c>
      <c r="D2" s="11" t="s">
        <v>252</v>
      </c>
      <c r="E2" s="11" t="s">
        <v>253</v>
      </c>
      <c r="F2" s="11" t="s">
        <v>254</v>
      </c>
      <c r="G2" s="11" t="s">
        <v>255</v>
      </c>
    </row>
    <row r="3" spans="1:7" x14ac:dyDescent="0.25">
      <c r="A3" s="10">
        <v>2</v>
      </c>
      <c r="B3" s="11" t="s">
        <v>256</v>
      </c>
      <c r="C3" s="11" t="s">
        <v>257</v>
      </c>
      <c r="D3" s="11" t="s">
        <v>154</v>
      </c>
      <c r="E3" s="11" t="s">
        <v>253</v>
      </c>
      <c r="F3" s="11" t="s">
        <v>258</v>
      </c>
      <c r="G3" s="1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JerseyData</vt:lpstr>
      <vt:lpstr>NikeJerseys</vt:lpstr>
      <vt:lpstr>Wishlist</vt:lpstr>
      <vt:lpstr>Reporting</vt:lpstr>
      <vt:lpstr>NHLTeams</vt:lpstr>
      <vt:lpstr>Divisions</vt:lpstr>
      <vt:lpstr>Conferences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Briggs</cp:lastModifiedBy>
  <dcterms:created xsi:type="dcterms:W3CDTF">2023-09-26T01:39:03Z</dcterms:created>
  <dcterms:modified xsi:type="dcterms:W3CDTF">2024-08-09T04:38:44Z</dcterms:modified>
</cp:coreProperties>
</file>